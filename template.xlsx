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bookViews>
    <workbookView xWindow="-108" yWindow="-108" windowWidth="23256" windowHeight="12456" tabRatio="500" activeTab="1" xr2:uid="{00000000-000D-0000-FFFF-FFFF00000000}"/>
  </bookViews>
  <sheets>
    <sheet name="Tổng quan" sheetId="1" r:id="rId1"/>
    <sheet name="Sổ thu chi" sheetId="2" r:id="rId2"/>
    <sheet name="Báo cáo năm" sheetId="3" r:id="rId3"/>
    <sheet name="Danh mục" sheetId="4" r:id="rId4"/>
  </sheets>
  <definedNames>
    <definedName name="_xlnm._FilterDatabase" localSheetId="1" hidden="1">'Sổ thu chi'!$A$4:$L$1979</definedName>
    <definedName name="NAM">'Danh mục'!$C$3</definedName>
    <definedName name="THANG">'Tổng quan'!$F$3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#,##0;[Red]\(#,##0\);\-"/>
    <numFmt numFmtId="169" formatCode="0.0%;[Red]\-0.0%;\-"/>
    <numFmt numFmtId="170" formatCode="mm/yyyy"/>
    <numFmt numFmtId="171" formatCode="0.0%"/>
    <numFmt numFmtId="172" formatCode="0%&quot; thu nhập&quot;"/>
    <numFmt numFmtId="173" formatCode="&quot;Lũy kế: &quot;#,##0;[Red]&quot;Lũy kế: -&quot;#,##0;&quot;Lũy kế: -&quot;"/>
    <numFmt numFmtId="174" formatCode="&quot;Lũy kế: &quot;0.0%"/>
  </numFmts>
  <fonts count="21" x14ac:knownFonts="1">
    <font>
      <sz val="11"/>
      <color theme="1"/>
      <name val="Calibri"/>
      <charset val="1"/>
    </font>
    <font>
      <b/>
      <sz val="16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1"/>
      <color rgb="FF2E75B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9"/>
      <name val="Arial"/>
      <charset val="1"/>
    </font>
    <font>
      <b/>
      <sz val="10"/>
      <color rgb="FFC00000"/>
      <name val="Arial"/>
      <charset val="1"/>
    </font>
    <font>
      <sz val="8"/>
      <color rgb="FFA6A6A6"/>
      <name val="Arial"/>
      <charset val="1"/>
    </font>
    <font>
      <b/>
      <sz val="9"/>
      <color rgb="FFC00000"/>
      <name val="Arial"/>
      <charset val="1"/>
    </font>
    <font>
      <i/>
      <sz val="9"/>
      <color rgb="FFC00000"/>
      <name val="Arial"/>
      <charset val="1"/>
    </font>
    <font>
      <b/>
      <sz val="12"/>
      <color rgb="FF0000FF"/>
      <name val="Arial"/>
      <charset val="1"/>
    </font>
    <font>
      <b/>
      <sz val="14"/>
      <color rgb="FF2E75B6"/>
      <name val="Arial"/>
      <charset val="1"/>
    </font>
    <font>
      <b/>
      <sz val="14"/>
      <color rgb="FFC55A11"/>
      <name val="Arial"/>
      <charset val="1"/>
    </font>
    <font>
      <b/>
      <sz val="14"/>
      <color rgb="FF548235"/>
      <name val="Arial"/>
      <charset val="1"/>
    </font>
    <font>
      <b/>
      <sz val="14"/>
      <color rgb="FF1F3864"/>
      <name val="Arial"/>
      <charset val="1"/>
    </font>
    <font>
      <b/>
      <sz val="14"/>
      <color rgb="FF7030A0"/>
      <name val="Arial"/>
      <charset val="1"/>
    </font>
    <font>
      <sz val="9"/>
      <color rgb="FF595959"/>
      <name val="Arial"/>
      <charset val="1"/>
    </font>
    <font>
      <b/>
      <sz val="9"/>
      <color rgb="FF59595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4A7EBB"/>
      </patternFill>
    </fill>
    <fill>
      <patternFill patternType="solid">
        <fgColor rgb="FFC55A11"/>
        <bgColor rgb="FFC0504D"/>
      </patternFill>
    </fill>
    <fill>
      <patternFill patternType="solid">
        <fgColor rgb="FF548235"/>
        <bgColor rgb="FF595959"/>
      </patternFill>
    </fill>
    <fill>
      <patternFill patternType="solid">
        <fgColor rgb="FF7030A0"/>
        <bgColor rgb="FF3333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4" fillId="2" borderId="1" xfId="0" applyNumberFormat="1" applyFont="1" applyFill="1" applyBorder="1"/>
    <xf numFmtId="0" fontId="5" fillId="3" borderId="0" xfId="0" applyFont="1" applyFill="1"/>
    <xf numFmtId="0" fontId="0" fillId="3" borderId="0" xfId="0" applyFill="1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2" borderId="1" xfId="0" applyFont="1" applyFill="1" applyBorder="1"/>
    <xf numFmtId="9" fontId="4" fillId="2" borderId="1" xfId="0" applyNumberFormat="1" applyFont="1" applyFill="1" applyBorder="1"/>
    <xf numFmtId="0" fontId="7" fillId="0" borderId="1" xfId="0" applyFont="1" applyBorder="1"/>
    <xf numFmtId="0" fontId="8" fillId="0" borderId="0" xfId="0" applyFont="1"/>
    <xf numFmtId="9" fontId="3" fillId="5" borderId="1" xfId="0" applyNumberFormat="1" applyFont="1" applyFill="1" applyBorder="1"/>
    <xf numFmtId="0" fontId="9" fillId="0" borderId="0" xfId="0" applyFont="1"/>
    <xf numFmtId="0" fontId="8" fillId="5" borderId="1" xfId="0" applyFont="1" applyFill="1" applyBorder="1"/>
    <xf numFmtId="0" fontId="7" fillId="5" borderId="1" xfId="0" applyFont="1" applyFill="1" applyBorder="1"/>
    <xf numFmtId="168" fontId="4" fillId="2" borderId="1" xfId="0" applyNumberFormat="1" applyFont="1" applyFill="1" applyBorder="1"/>
    <xf numFmtId="0" fontId="10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8" fontId="7" fillId="0" borderId="1" xfId="0" applyNumberFormat="1" applyFont="1" applyBorder="1"/>
    <xf numFmtId="168" fontId="3" fillId="5" borderId="1" xfId="0" applyNumberFormat="1" applyFont="1" applyFill="1" applyBorder="1"/>
    <xf numFmtId="168" fontId="7" fillId="5" borderId="1" xfId="0" applyNumberFormat="1" applyFont="1" applyFill="1" applyBorder="1"/>
    <xf numFmtId="0" fontId="3" fillId="5" borderId="1" xfId="0" applyFont="1" applyFill="1" applyBorder="1"/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/>
    <xf numFmtId="168" fontId="3" fillId="0" borderId="1" xfId="0" applyNumberFormat="1" applyFont="1" applyBorder="1"/>
    <xf numFmtId="0" fontId="11" fillId="5" borderId="1" xfId="0" applyFont="1" applyFill="1" applyBorder="1"/>
    <xf numFmtId="169" fontId="7" fillId="0" borderId="1" xfId="0" applyNumberFormat="1" applyFont="1" applyBorder="1"/>
    <xf numFmtId="169" fontId="3" fillId="5" borderId="1" xfId="0" applyNumberFormat="1" applyFont="1" applyFill="1" applyBorder="1"/>
    <xf numFmtId="169" fontId="7" fillId="5" borderId="1" xfId="0" applyNumberFormat="1" applyFont="1" applyFill="1" applyBorder="1"/>
    <xf numFmtId="14" fontId="7" fillId="0" borderId="1" xfId="0" applyNumberFormat="1" applyFont="1" applyBorder="1"/>
    <xf numFmtId="170" fontId="7" fillId="5" borderId="1" xfId="0" applyNumberFormat="1" applyFont="1" applyFill="1" applyBorder="1"/>
    <xf numFmtId="0" fontId="2" fillId="0" borderId="1" xfId="0" applyFont="1" applyBorder="1"/>
    <xf numFmtId="0" fontId="12" fillId="0" borderId="1" xfId="0" applyFont="1" applyBorder="1"/>
    <xf numFmtId="0" fontId="3" fillId="0" borderId="0" xfId="0" applyFont="1" applyAlignment="1">
      <alignment horizontal="right"/>
    </xf>
    <xf numFmtId="1" fontId="3" fillId="0" borderId="1" xfId="0" applyNumberFormat="1" applyFont="1" applyBorder="1"/>
    <xf numFmtId="1" fontId="13" fillId="2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 vertical="center"/>
    </xf>
    <xf numFmtId="168" fontId="15" fillId="0" borderId="1" xfId="0" applyNumberFormat="1" applyFont="1" applyBorder="1" applyAlignment="1">
      <alignment horizontal="center" vertical="center"/>
    </xf>
    <xf numFmtId="168" fontId="16" fillId="0" borderId="1" xfId="0" applyNumberFormat="1" applyFont="1" applyBorder="1" applyAlignment="1">
      <alignment horizontal="center" vertical="center"/>
    </xf>
    <xf numFmtId="168" fontId="17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172" fontId="19" fillId="0" borderId="0" xfId="0" applyNumberFormat="1" applyFont="1" applyAlignment="1">
      <alignment horizontal="center"/>
    </xf>
    <xf numFmtId="173" fontId="20" fillId="5" borderId="1" xfId="0" applyNumberFormat="1" applyFont="1" applyFill="1" applyBorder="1" applyAlignment="1">
      <alignment horizontal="center"/>
    </xf>
    <xf numFmtId="174" fontId="20" fillId="5" borderId="1" xfId="0" applyNumberFormat="1" applyFont="1" applyFill="1" applyBorder="1" applyAlignment="1">
      <alignment horizontal="center"/>
    </xf>
    <xf numFmtId="9" fontId="7" fillId="0" borderId="1" xfId="0" applyNumberFormat="1" applyFont="1" applyBorder="1"/>
    <xf numFmtId="0" fontId="8" fillId="0" borderId="1" xfId="0" applyFont="1" applyBorder="1"/>
    <xf numFmtId="0" fontId="19" fillId="0" borderId="1" xfId="0" applyFont="1" applyBorder="1"/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21">
    <dxf>
      <font>
        <b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ill>
        <patternFill patternType="solid">
          <bgColor rgb="FFE2EFDA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C00000"/>
      </font>
    </dxf>
    <dxf>
      <font>
        <b/>
      </font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C00000"/>
      </font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548235"/>
      <rgbColor rgb="00800080"/>
      <rgbColor rgb="004F81BD"/>
      <rgbColor rgb="00BFBFBF"/>
      <rgbColor rgb="00878787"/>
      <rgbColor rgb="0070AD47"/>
      <rgbColor rgb="00BE4B48"/>
      <rgbColor rgb="00FFF2CC"/>
      <rgbColor rgb="00DDEBF7"/>
      <rgbColor rgb="00660066"/>
      <rgbColor rgb="00C0504D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A"/>
      <rgbColor rgb="00C6EFCE"/>
      <rgbColor rgb="00FFEB9C"/>
      <rgbColor rgb="009BBB59"/>
      <rgbColor rgb="00F2F2F2"/>
      <rgbColor rgb="00CC99FF"/>
      <rgbColor rgb="00FFC7CE"/>
      <rgbColor rgb="002E75B6"/>
      <rgbColor rgb="004BACC6"/>
      <rgbColor rgb="0098B855"/>
      <rgbColor rgb="00FFC000"/>
      <rgbColor rgb="00F79646"/>
      <rgbColor rgb="00C55A11"/>
      <rgbColor rgb="008064A2"/>
      <rgbColor rgb="00A6A6A6"/>
      <rgbColor rgb="001F3864"/>
      <rgbColor rgb="004A7EBB"/>
      <rgbColor rgb="00003300"/>
      <rgbColor rgb="00333300"/>
      <rgbColor rgb="009C5700"/>
      <rgbColor rgb="007030A0"/>
      <rgbColor rgb="00333399"/>
      <rgbColor rgb="00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 panose="020F0502020204030204"/>
              </a:rPr>
              <a:t>Ngân sách vs Thực tế theo hũ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quan'!$D$11</c:f>
              <c:strCache>
                <c:ptCount val="1"/>
                <c:pt idx="0">
                  <c:v>Ngân sách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'Tổng quan'!$B$12:$B$17</c:f>
              <c:strCache>
                <c:ptCount val="6"/>
                <c:pt idx="0">
                  <c:v>Thiết yếu</c:v>
                </c:pt>
                <c:pt idx="1">
                  <c:v>Tự do tài chính</c:v>
                </c:pt>
                <c:pt idx="2">
                  <c:v>Tiết kiệm dài hạn</c:v>
                </c:pt>
                <c:pt idx="3">
                  <c:v>Giáo dục</c:v>
                </c:pt>
                <c:pt idx="4">
                  <c:v>Hưởng thụ</c:v>
                </c:pt>
                <c:pt idx="5">
                  <c:v>Cho đi</c:v>
                </c:pt>
              </c:strCache>
            </c:strRef>
          </c:cat>
          <c:val>
            <c:numRef>
              <c:f>'Tổng quan'!$D$12:$D$17</c:f>
            </c:numRef>
          </c:val>
          <c:extLst>
            <c:ext xmlns:c16="http://schemas.microsoft.com/office/drawing/2014/chart" uri="{C3380CC4-5D6E-409C-BE32-E72D297353CC}">
              <c16:uniqueId val="{00000000-C390-4D11-B542-718175AB06E2}"/>
            </c:ext>
          </c:extLst>
        </c:ser>
        <c:ser>
          <c:idx val="1"/>
          <c:order val="1"/>
          <c:tx>
            <c:strRef>
              <c:f>'Tổng quan'!$E$11</c:f>
              <c:strCache>
                <c:ptCount val="1"/>
                <c:pt idx="0">
                  <c:v>Đã chi / đã nạp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'Tổng quan'!$B$12:$B$17</c:f>
              <c:strCache>
                <c:ptCount val="6"/>
                <c:pt idx="0">
                  <c:v>Thiết yếu</c:v>
                </c:pt>
                <c:pt idx="1">
                  <c:v>Tự do tài chính</c:v>
                </c:pt>
                <c:pt idx="2">
                  <c:v>Tiết kiệm dài hạn</c:v>
                </c:pt>
                <c:pt idx="3">
                  <c:v>Giáo dục</c:v>
                </c:pt>
                <c:pt idx="4">
                  <c:v>Hưởng thụ</c:v>
                </c:pt>
                <c:pt idx="5">
                  <c:v>Cho đi</c:v>
                </c:pt>
              </c:strCache>
            </c:strRef>
          </c:cat>
          <c:val>
            <c:numRef>
              <c:f>'Tổng quan'!$E$12:$E$17</c:f>
            </c:numRef>
          </c:val>
          <c:extLst>
            <c:ext xmlns:c16="http://schemas.microsoft.com/office/drawing/2014/chart" uri="{C3380CC4-5D6E-409C-BE32-E72D297353CC}">
              <c16:uniqueId val="{00000001-C390-4D11-B542-718175AB0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17493"/>
        <c:axId val="10820591"/>
      </c:barChart>
      <c:catAx>
        <c:axId val="432174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10820591"/>
        <c:crosses val="autoZero"/>
        <c:auto val="1"/>
        <c:lblAlgn val="ctr"/>
        <c:lblOffset val="100"/>
        <c:noMultiLvlLbl val="0"/>
      </c:catAx>
      <c:valAx>
        <c:axId val="1082059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432174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fd01d780-77d3-4cad-86ff-a6cad90657be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 panose="020F0502020204030204"/>
              </a:rPr>
              <a:t>Cơ cấu chi theo hũ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'Tổng quan'!$E$11</c:f>
              <c:strCache>
                <c:ptCount val="1"/>
                <c:pt idx="0">
                  <c:v>Đã chi / đã nạp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B1B-4A4F-8FF7-172DE3941B9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B1B-4A4F-8FF7-172DE3941B9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B1B-4A4F-8FF7-172DE3941B9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B1B-4A4F-8FF7-172DE3941B97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B1B-4A4F-8FF7-172DE3941B97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0B1B-4A4F-8FF7-172DE3941B97}"/>
              </c:ext>
            </c:extLst>
          </c:dPt>
          <c:dLbls>
            <c:dLbl>
              <c:idx val="0"/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1B-4A4F-8FF7-172DE3941B97}"/>
                </c:ext>
              </c:extLst>
            </c:dLbl>
            <c:dLbl>
              <c:idx val="1"/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1B-4A4F-8FF7-172DE3941B97}"/>
                </c:ext>
              </c:extLst>
            </c:dLbl>
            <c:dLbl>
              <c:idx val="2"/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1B-4A4F-8FF7-172DE3941B97}"/>
                </c:ext>
              </c:extLst>
            </c:dLbl>
            <c:dLbl>
              <c:idx val="3"/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1B-4A4F-8FF7-172DE3941B97}"/>
                </c:ext>
              </c:extLst>
            </c:dLbl>
            <c:dLbl>
              <c:idx val="4"/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B1B-4A4F-8FF7-172DE3941B97}"/>
                </c:ext>
              </c:extLst>
            </c:dLbl>
            <c:dLbl>
              <c:idx val="5"/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B1B-4A4F-8FF7-172DE3941B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'Tổng quan'!$B$12:$B$17</c:f>
              <c:strCache>
                <c:ptCount val="6"/>
                <c:pt idx="0">
                  <c:v>Thiết yếu</c:v>
                </c:pt>
                <c:pt idx="1">
                  <c:v>Tự do tài chính</c:v>
                </c:pt>
                <c:pt idx="2">
                  <c:v>Tiết kiệm dài hạn</c:v>
                </c:pt>
                <c:pt idx="3">
                  <c:v>Giáo dục</c:v>
                </c:pt>
                <c:pt idx="4">
                  <c:v>Hưởng thụ</c:v>
                </c:pt>
                <c:pt idx="5">
                  <c:v>Cho đi</c:v>
                </c:pt>
              </c:strCache>
            </c:strRef>
          </c:cat>
          <c:val>
            <c:numRef>
              <c:f>'Tổng quan'!$E$12:$E$17</c:f>
            </c:numRef>
          </c:val>
          <c:extLst>
            <c:ext xmlns:c16="http://schemas.microsoft.com/office/drawing/2014/chart" uri="{C3380CC4-5D6E-409C-BE32-E72D297353CC}">
              <c16:uniqueId val="{0000000C-0B1B-4A4F-8FF7-172DE3941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434eb79b-f07d-4066-82cf-d7b9e81b8cc2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 panose="020F0502020204030204"/>
              </a:rPr>
              <a:t>Thu nhập – Chi tiêu – Tích lũy theo tháng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Thu nhập</c:v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'Báo cáo năm'!$D$4:$O$4</c:f>
              <c:strCache>
                <c:ptCount val="12"/>
                <c:pt idx="0">
                  <c:v>T1/2026</c:v>
                </c:pt>
                <c:pt idx="1">
                  <c:v>T2/2026</c:v>
                </c:pt>
                <c:pt idx="2">
                  <c:v>T3/2026</c:v>
                </c:pt>
                <c:pt idx="3">
                  <c:v>T4/2026</c:v>
                </c:pt>
                <c:pt idx="4">
                  <c:v>T5/2026</c:v>
                </c:pt>
                <c:pt idx="5">
                  <c:v>T6/2026</c:v>
                </c:pt>
                <c:pt idx="6">
                  <c:v>T7/2026</c:v>
                </c:pt>
                <c:pt idx="7">
                  <c:v>T8/2026</c:v>
                </c:pt>
                <c:pt idx="8">
                  <c:v>T9/2026</c:v>
                </c:pt>
                <c:pt idx="9">
                  <c:v>T10/2026</c:v>
                </c:pt>
                <c:pt idx="10">
                  <c:v>T11/2026</c:v>
                </c:pt>
                <c:pt idx="11">
                  <c:v>T12/2026</c:v>
                </c:pt>
              </c:strCache>
            </c:strRef>
          </c:cat>
          <c:val>
            <c:numRef>
              <c:f>'Báo cáo năm'!$D$16:$O$16</c:f>
            </c:numRef>
          </c:val>
          <c:smooth val="0"/>
          <c:extLst>
            <c:ext xmlns:c16="http://schemas.microsoft.com/office/drawing/2014/chart" uri="{C3380CC4-5D6E-409C-BE32-E72D297353CC}">
              <c16:uniqueId val="{00000000-AFE9-4F7E-8C72-BBF5CD6CEB54}"/>
            </c:ext>
          </c:extLst>
        </c:ser>
        <c:ser>
          <c:idx val="1"/>
          <c:order val="1"/>
          <c:tx>
            <c:v>Chi tiêu</c:v>
          </c:tx>
          <c:spPr>
            <a:ln w="2844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'Báo cáo năm'!$D$4:$O$4</c:f>
              <c:strCache>
                <c:ptCount val="12"/>
                <c:pt idx="0">
                  <c:v>T1/2026</c:v>
                </c:pt>
                <c:pt idx="1">
                  <c:v>T2/2026</c:v>
                </c:pt>
                <c:pt idx="2">
                  <c:v>T3/2026</c:v>
                </c:pt>
                <c:pt idx="3">
                  <c:v>T4/2026</c:v>
                </c:pt>
                <c:pt idx="4">
                  <c:v>T5/2026</c:v>
                </c:pt>
                <c:pt idx="5">
                  <c:v>T6/2026</c:v>
                </c:pt>
                <c:pt idx="6">
                  <c:v>T7/2026</c:v>
                </c:pt>
                <c:pt idx="7">
                  <c:v>T8/2026</c:v>
                </c:pt>
                <c:pt idx="8">
                  <c:v>T9/2026</c:v>
                </c:pt>
                <c:pt idx="9">
                  <c:v>T10/2026</c:v>
                </c:pt>
                <c:pt idx="10">
                  <c:v>T11/2026</c:v>
                </c:pt>
                <c:pt idx="11">
                  <c:v>T12/2026</c:v>
                </c:pt>
              </c:strCache>
            </c:strRef>
          </c:cat>
          <c:val>
            <c:numRef>
              <c:f>'Báo cáo năm'!$D$86:$O$86</c:f>
            </c:numRef>
          </c:val>
          <c:smooth val="0"/>
          <c:extLst>
            <c:ext xmlns:c16="http://schemas.microsoft.com/office/drawing/2014/chart" uri="{C3380CC4-5D6E-409C-BE32-E72D297353CC}">
              <c16:uniqueId val="{00000001-AFE9-4F7E-8C72-BBF5CD6CEB54}"/>
            </c:ext>
          </c:extLst>
        </c:ser>
        <c:ser>
          <c:idx val="2"/>
          <c:order val="2"/>
          <c:tx>
            <c:v>Tích lũy</c:v>
          </c:tx>
          <c:spPr>
            <a:ln w="28440" cap="rnd" cmpd="sng" algn="ctr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'Báo cáo năm'!$D$4:$O$4</c:f>
              <c:strCache>
                <c:ptCount val="12"/>
                <c:pt idx="0">
                  <c:v>T1/2026</c:v>
                </c:pt>
                <c:pt idx="1">
                  <c:v>T2/2026</c:v>
                </c:pt>
                <c:pt idx="2">
                  <c:v>T3/2026</c:v>
                </c:pt>
                <c:pt idx="3">
                  <c:v>T4/2026</c:v>
                </c:pt>
                <c:pt idx="4">
                  <c:v>T5/2026</c:v>
                </c:pt>
                <c:pt idx="5">
                  <c:v>T6/2026</c:v>
                </c:pt>
                <c:pt idx="6">
                  <c:v>T7/2026</c:v>
                </c:pt>
                <c:pt idx="7">
                  <c:v>T8/2026</c:v>
                </c:pt>
                <c:pt idx="8">
                  <c:v>T9/2026</c:v>
                </c:pt>
                <c:pt idx="9">
                  <c:v>T10/2026</c:v>
                </c:pt>
                <c:pt idx="10">
                  <c:v>T11/2026</c:v>
                </c:pt>
                <c:pt idx="11">
                  <c:v>T12/2026</c:v>
                </c:pt>
              </c:strCache>
            </c:strRef>
          </c:cat>
          <c:val>
            <c:numRef>
              <c:f>'Báo cáo năm'!$D$87:$O$87</c:f>
            </c:numRef>
          </c:val>
          <c:smooth val="0"/>
          <c:extLst>
            <c:ext xmlns:c16="http://schemas.microsoft.com/office/drawing/2014/chart" uri="{C3380CC4-5D6E-409C-BE32-E72D297353CC}">
              <c16:uniqueId val="{00000002-AFE9-4F7E-8C72-BBF5CD6CE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59175830"/>
        <c:axId val="86813066"/>
      </c:lineChart>
      <c:catAx>
        <c:axId val="591758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86813066"/>
        <c:crosses val="autoZero"/>
        <c:auto val="1"/>
        <c:lblAlgn val="ctr"/>
        <c:lblOffset val="100"/>
        <c:noMultiLvlLbl val="0"/>
      </c:catAx>
      <c:valAx>
        <c:axId val="8681306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591758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5bb6227f-188b-498b-91bd-46989560a55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18360</xdr:rowOff>
    </xdr:from>
    <xdr:to>
      <xdr:col>4</xdr:col>
      <xdr:colOff>943920</xdr:colOff>
      <xdr:row>39</xdr:row>
      <xdr:rowOff>51120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25</xdr:row>
      <xdr:rowOff>18360</xdr:rowOff>
    </xdr:from>
    <xdr:to>
      <xdr:col>7</xdr:col>
      <xdr:colOff>1203120</xdr:colOff>
      <xdr:row>39</xdr:row>
      <xdr:rowOff>51120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131040</xdr:rowOff>
    </xdr:from>
    <xdr:to>
      <xdr:col>9</xdr:col>
      <xdr:colOff>110880</xdr:colOff>
      <xdr:row>107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1:O51"/>
  <sheetViews>
    <sheetView showGridLines="0" workbookViewId="0">
      <pane ySplit="3" topLeftCell="A25" activePane="bottomLeft" state="frozen"/>
      <selection pane="bottomLeft" activeCell="L28" sqref="L28"/>
    </sheetView>
  </sheetViews>
  <sheetFormatPr defaultColWidth="8.6640625" defaultRowHeight="14.4" x14ac:dyDescent="0.3"/>
  <cols>
    <col min="1" max="1" width="2" customWidth="1"/>
    <col min="2" max="2" width="19" customWidth="1"/>
    <col min="3" max="7" width="17" customWidth="1"/>
    <col min="8" max="8" width="19" customWidth="1"/>
    <col min="9" max="9" width="2" customWidth="1"/>
    <col min="10" max="10" width="32" customWidth="1"/>
    <col min="11" max="11" width="15" customWidth="1"/>
    <col min="12" max="14" width="13" customWidth="1"/>
    <col min="15" max="15" width="10" customWidth="1"/>
  </cols>
  <sheetData>
    <row r="1" spans="2:15" ht="21" x14ac:dyDescent="0.4">
      <c r="B1" s="1">
        <f>"TỔNG QUAN TÀI CHÍNH GIA ĐÌNH – THÁNG "&amp;$F$3&amp;"/"&amp;NAM</f>
      </c>
    </row>
    <row r="3" spans="2:15" ht="15.6" x14ac:dyDescent="0.3">
      <c r="B3" s="35" t="inlineStr">
        <is>
          <t xml:space="preserve">Năm:</t>
        </is>
      </c>
      <c r="C3" s="36">
        <f>NAM</f>
      </c>
      <c r="E3" s="35" t="inlineStr">
        <is>
          <t xml:space="preserve">Chọn tháng ►</t>
        </is>
      </c>
      <c r="F3" s="37">
        <v>9</v>
      </c>
      <c r="G3" s="2" t="inlineStr">
        <is>
          <t xml:space="preserve">(bấm mũi tên chọn 1–12)</t>
        </is>
      </c>
    </row>
    <row r="5" spans="2:15" x14ac:dyDescent="0.3">
      <c r="B5" s="38" t="inlineStr">
        <is>
          <t xml:space="preserve">Tổng thu nhập</t>
        </is>
      </c>
      <c r="C5" s="39" t="inlineStr">
        <is>
          <t xml:space="preserve">Chi tiêu</t>
        </is>
      </c>
      <c r="D5" s="40" t="inlineStr">
        <is>
          <t xml:space="preserve">Tích lũy &amp; đầu tư</t>
        </is>
      </c>
      <c r="E5" s="41" t="inlineStr">
        <is>
          <t xml:space="preserve">Dòng tiền ròng</t>
        </is>
      </c>
      <c r="F5" s="40" t="inlineStr">
        <is>
          <t xml:space="preserve">Tỷ lệ tích lũy</t>
        </is>
      </c>
      <c r="G5" s="42" t="inlineStr">
        <is>
          <t xml:space="preserve">Chi cho con</t>
        </is>
      </c>
    </row>
    <row r="6" spans="2:15" ht="30" customHeight="1" x14ac:dyDescent="0.3">
      <c r="B6" s="43">
        <f>INDEX('Báo cáo năm'!$D$16:$O$16,THANG)</f>
      </c>
      <c r="C6" s="44">
        <f>INDEX('Báo cáo năm'!$D$86:$O$86,THANG)</f>
      </c>
      <c r="D6" s="45">
        <f>INDEX('Báo cáo năm'!$D$87:$O$87,THANG)</f>
      </c>
      <c r="E6" s="46">
        <f>INDEX('Báo cáo năm'!$D$88:$O$88,THANG)</f>
      </c>
      <c r="F6" s="47">
        <f>IFERROR(D6/B6,0)</f>
      </c>
      <c r="G6" s="48">
        <f>INDEX('Báo cáo năm'!$D$91:$O$91,THANG)</f>
      </c>
    </row>
    <row r="7" spans="2:15" x14ac:dyDescent="0.3">
      <c r="B7" s="49">
        <f>"Tháng "&amp;THANG</f>
      </c>
      <c r="C7" s="50">
        <f>IFERROR(C6/B6,0)</f>
      </c>
      <c r="D7" s="50">
        <f>IFERROR(D6/B6,0)</f>
      </c>
      <c r="E7" s="49">
        <f>IF(E6&lt;0,"⚠ Chi vượt thu","✔ Thu ≥ chi")</f>
      </c>
      <c r="F7" s="49" t="inlineStr">
        <is>
          <t xml:space="preserve">Nên ≥ 20%</t>
        </is>
      </c>
      <c r="G7" s="50">
        <f>IFERROR(G6/B6,0)</f>
      </c>
    </row>
    <row r="8" spans="2:15" x14ac:dyDescent="0.3">
      <c r="B8" s="51">
        <f>SUMPRODUCT(('Báo cáo năm'!$D$3:$O$3&lt;=THANG)*'Báo cáo năm'!$D$16:$O$16)</f>
      </c>
      <c r="C8" s="51">
        <f>SUMPRODUCT(('Báo cáo năm'!$D$3:$O$3&lt;=THANG)*'Báo cáo năm'!$D$86:$O$86)</f>
      </c>
      <c r="D8" s="51">
        <f>SUMPRODUCT(('Báo cáo năm'!$D$3:$O$3&lt;=THANG)*'Báo cáo năm'!$D$87:$O$87)</f>
      </c>
      <c r="E8" s="51">
        <f>SUMPRODUCT(('Báo cáo năm'!$D$3:$O$3&lt;=THANG)*'Báo cáo năm'!$D$88:$O$88)</f>
      </c>
      <c r="F8" s="52">
        <f>IFERROR(D8/B8,0)</f>
      </c>
      <c r="G8" s="51">
        <f>SUMPRODUCT(('Báo cáo năm'!$D$3:$O$3&lt;=THANG)*'Báo cáo năm'!$D$91:$O$91)</f>
      </c>
    </row>
    <row r="10" spans="2:15" x14ac:dyDescent="0.3">
      <c r="B10" s="5" t="inlineStr">
        <is>
          <t xml:space="preserve">PHÂN BỔ 6 HŨ TRONG THÁNG</t>
        </is>
      </c>
      <c r="C10" s="6"/>
      <c r="D10" s="6"/>
      <c r="E10" s="6"/>
      <c r="F10" s="6"/>
      <c r="G10" s="6"/>
      <c r="H10" s="6"/>
      <c r="J10" s="5">
        <f>"CHI TIẾT DANH MỤC CHI – THÁNG "&amp;THANG</f>
      </c>
      <c r="K10" s="6"/>
      <c r="L10" s="6"/>
      <c r="M10" s="6"/>
      <c r="N10" s="6"/>
      <c r="O10" s="6"/>
    </row>
    <row r="11" spans="2:15" ht="26.4" x14ac:dyDescent="0.3">
      <c r="B11" s="7" t="inlineStr">
        <is>
          <t xml:space="preserve">Hũ</t>
        </is>
      </c>
      <c r="C11" s="7" t="inlineStr">
        <is>
          <t xml:space="preserve">Tỷ lệ</t>
        </is>
      </c>
      <c r="D11" s="7" t="inlineStr">
        <is>
          <t xml:space="preserve">Ngân sách</t>
        </is>
      </c>
      <c r="E11" s="7" t="inlineStr">
        <is>
          <t xml:space="preserve">Đã chi / đã nạp</t>
        </is>
      </c>
      <c r="F11" s="7" t="inlineStr">
        <is>
          <t xml:space="preserve">Còn lại</t>
        </is>
      </c>
      <c r="G11" s="7" t="inlineStr">
        <is>
          <t xml:space="preserve">% sử dụng</t>
        </is>
      </c>
      <c r="H11" s="7" t="inlineStr">
        <is>
          <t xml:space="preserve">Đánh giá</t>
        </is>
      </c>
      <c r="J11" s="7" t="inlineStr">
        <is>
          <t xml:space="preserve">Danh mục chi</t>
        </is>
      </c>
      <c r="K11" s="7" t="inlineStr">
        <is>
          <t xml:space="preserve">Hũ</t>
        </is>
      </c>
      <c r="L11" s="7" t="inlineStr">
        <is>
          <t xml:space="preserve">Hạn mức</t>
        </is>
      </c>
      <c r="M11" s="7" t="inlineStr">
        <is>
          <t xml:space="preserve">Thực chi</t>
        </is>
      </c>
      <c r="N11" s="7" t="inlineStr">
        <is>
          <t xml:space="preserve">Còn lại</t>
        </is>
      </c>
      <c r="O11" s="7" t="inlineStr">
        <is>
          <t xml:space="preserve">% hạn mức</t>
        </is>
      </c>
    </row>
    <row r="12" spans="2:15" x14ac:dyDescent="0.3">
      <c r="B12" s="11">
        <f>'Danh mục'!B7</f>
      </c>
      <c r="C12" s="53">
        <f>'Danh mục'!C7</f>
      </c>
      <c r="D12" s="20">
        <f>INDEX('Báo cáo năm'!$D$22:$O$22,THANG)</f>
      </c>
      <c r="E12" s="20">
        <f>INDEX('Báo cáo năm'!$D$23:$O$23,THANG)</f>
      </c>
      <c r="F12" s="20">
        <f t="shared" ref="F12:F17" si="0">D12-E12</f>
      </c>
      <c r="G12" s="53">
        <f t="shared" ref="G12:G18" si="1">IFERROR(E12/D12,0)</f>
      </c>
      <c r="H12" s="11">
        <f>IF(D12=0,"Chưa có thu nhập",IF('Danh mục'!D7="Tích lũy",IF(G12&gt;=1,"✔ Đã nạp đủ","▲ Chưa nạp đủ"),IF(G12&gt;1,"✖ Vượt ngân sách",IF(G12&gt;=0.85,"▲ Sắp hết","✔ Trong ngân sách"))))</f>
      </c>
      <c r="J12" s="54">
        <f>'Báo cáo năm'!B43</f>
      </c>
      <c r="K12" s="55">
        <f>'Báo cáo năm'!C43</f>
      </c>
      <c r="L12" s="20">
        <f>IF(N('Báo cáo năm'!R43)&gt;0,'Báo cáo năm'!R43,"")</f>
      </c>
      <c r="M12" s="20">
        <f>IF(J12="","",INDEX('Báo cáo năm'!$D$43:$O$43,THANG))</f>
      </c>
      <c r="N12" s="20">
        <f t="shared" ref="N12:N51" si="2">IF(L12="","",L12-M12)</f>
      </c>
      <c r="O12" s="53">
        <f t="shared" ref="O12:O51" si="3">IF(L12="","",M12/L12)</f>
      </c>
    </row>
    <row r="13" spans="2:15" x14ac:dyDescent="0.3">
      <c r="B13" s="11">
        <f>'Danh mục'!B8</f>
      </c>
      <c r="C13" s="53">
        <f>'Danh mục'!C8</f>
      </c>
      <c r="D13" s="20">
        <f>INDEX('Báo cáo năm'!$D$25:$O$25,THANG)</f>
      </c>
      <c r="E13" s="20">
        <f>INDEX('Báo cáo năm'!$D$26:$O$26,THANG)</f>
      </c>
      <c r="F13" s="20">
        <f t="shared" si="0"/>
      </c>
      <c r="G13" s="53">
        <f t="shared" si="1"/>
      </c>
      <c r="H13" s="11">
        <f>IF(D13=0,"Chưa có thu nhập",IF('Danh mục'!D8="Tích lũy",IF(G13&gt;=1,"✔ Đã nạp đủ","▲ Chưa nạp đủ"),IF(G13&gt;1,"✖ Vượt ngân sách",IF(G13&gt;=0.85,"▲ Sắp hết","✔ Trong ngân sách"))))</f>
      </c>
      <c r="J13" s="54">
        <f>'Báo cáo năm'!B44</f>
      </c>
      <c r="K13" s="55">
        <f>'Báo cáo năm'!C44</f>
      </c>
      <c r="L13" s="20">
        <f>IF(N('Báo cáo năm'!R44)&gt;0,'Báo cáo năm'!R44,"")</f>
      </c>
      <c r="M13" s="20">
        <f>IF(J13="","",INDEX('Báo cáo năm'!$D$44:$O$44,THANG))</f>
      </c>
      <c r="N13" s="20">
        <f t="shared" si="2"/>
      </c>
      <c r="O13" s="53">
        <f t="shared" si="3"/>
      </c>
    </row>
    <row r="14" spans="2:15" x14ac:dyDescent="0.3">
      <c r="B14" s="11">
        <f>'Danh mục'!B9</f>
      </c>
      <c r="C14" s="53">
        <f>'Danh mục'!C9</f>
      </c>
      <c r="D14" s="20">
        <f>INDEX('Báo cáo năm'!$D$28:$O$28,THANG)</f>
      </c>
      <c r="E14" s="20">
        <f>INDEX('Báo cáo năm'!$D$29:$O$29,THANG)</f>
      </c>
      <c r="F14" s="20">
        <f t="shared" si="0"/>
      </c>
      <c r="G14" s="53">
        <f t="shared" si="1"/>
      </c>
      <c r="H14" s="11">
        <f>IF(D14=0,"Chưa có thu nhập",IF('Danh mục'!D9="Tích lũy",IF(G14&gt;=1,"✔ Đã nạp đủ","▲ Chưa nạp đủ"),IF(G14&gt;1,"✖ Vượt ngân sách",IF(G14&gt;=0.85,"▲ Sắp hết","✔ Trong ngân sách"))))</f>
      </c>
      <c r="J14" s="54">
        <f>'Báo cáo năm'!B45</f>
      </c>
      <c r="K14" s="55">
        <f>'Báo cáo năm'!C45</f>
      </c>
      <c r="L14" s="20">
        <f>IF(N('Báo cáo năm'!R45)&gt;0,'Báo cáo năm'!R45,"")</f>
      </c>
      <c r="M14" s="20">
        <f>IF(J14="","",INDEX('Báo cáo năm'!$D$45:$O$45,THANG))</f>
      </c>
      <c r="N14" s="20">
        <f t="shared" si="2"/>
      </c>
      <c r="O14" s="53">
        <f t="shared" si="3"/>
      </c>
    </row>
    <row r="15" spans="2:15" x14ac:dyDescent="0.3">
      <c r="B15" s="11">
        <f>'Danh mục'!B10</f>
      </c>
      <c r="C15" s="53">
        <f>'Danh mục'!C10</f>
      </c>
      <c r="D15" s="20">
        <f>INDEX('Báo cáo năm'!$D$31:$O$31,THANG)</f>
      </c>
      <c r="E15" s="20">
        <f>INDEX('Báo cáo năm'!$D$32:$O$32,THANG)</f>
      </c>
      <c r="F15" s="20">
        <f t="shared" si="0"/>
      </c>
      <c r="G15" s="53">
        <f t="shared" si="1"/>
      </c>
      <c r="H15" s="11">
        <f>IF(D15=0,"Chưa có thu nhập",IF('Danh mục'!D10="Tích lũy",IF(G15&gt;=1,"✔ Đã nạp đủ","▲ Chưa nạp đủ"),IF(G15&gt;1,"✖ Vượt ngân sách",IF(G15&gt;=0.85,"▲ Sắp hết","✔ Trong ngân sách"))))</f>
      </c>
      <c r="J15" s="54">
        <f>'Báo cáo năm'!B46</f>
      </c>
      <c r="K15" s="55">
        <f>'Báo cáo năm'!C46</f>
      </c>
      <c r="L15" s="20">
        <f>IF(N('Báo cáo năm'!R46)&gt;0,'Báo cáo năm'!R46,"")</f>
      </c>
      <c r="M15" s="20">
        <f>IF(J15="","",INDEX('Báo cáo năm'!$D$46:$O$46,THANG))</f>
      </c>
      <c r="N15" s="20">
        <f t="shared" si="2"/>
      </c>
      <c r="O15" s="53">
        <f t="shared" si="3"/>
      </c>
    </row>
    <row r="16" spans="2:15" x14ac:dyDescent="0.3">
      <c r="B16" s="11">
        <f>'Danh mục'!B11</f>
      </c>
      <c r="C16" s="53">
        <f>'Danh mục'!C11</f>
      </c>
      <c r="D16" s="20">
        <f>INDEX('Báo cáo năm'!$D$34:$O$34,THANG)</f>
      </c>
      <c r="E16" s="20">
        <f>INDEX('Báo cáo năm'!$D$35:$O$35,THANG)</f>
      </c>
      <c r="F16" s="20">
        <f t="shared" si="0"/>
      </c>
      <c r="G16" s="53">
        <f t="shared" si="1"/>
      </c>
      <c r="H16" s="11">
        <f>IF(D16=0,"Chưa có thu nhập",IF('Danh mục'!D11="Tích lũy",IF(G16&gt;=1,"✔ Đã nạp đủ","▲ Chưa nạp đủ"),IF(G16&gt;1,"✖ Vượt ngân sách",IF(G16&gt;=0.85,"▲ Sắp hết","✔ Trong ngân sách"))))</f>
      </c>
      <c r="J16" s="54">
        <f>'Báo cáo năm'!B47</f>
      </c>
      <c r="K16" s="55">
        <f>'Báo cáo năm'!C47</f>
      </c>
      <c r="L16" s="20">
        <f>IF(N('Báo cáo năm'!R47)&gt;0,'Báo cáo năm'!R47,"")</f>
      </c>
      <c r="M16" s="20">
        <f>IF(J16="","",INDEX('Báo cáo năm'!$D$47:$O$47,THANG))</f>
      </c>
      <c r="N16" s="20">
        <f t="shared" si="2"/>
      </c>
      <c r="O16" s="53">
        <f t="shared" si="3"/>
      </c>
    </row>
    <row r="17" spans="2:15" x14ac:dyDescent="0.3">
      <c r="B17" s="11">
        <f>'Danh mục'!B12</f>
      </c>
      <c r="C17" s="53">
        <f>'Danh mục'!C12</f>
      </c>
      <c r="D17" s="20">
        <f>INDEX('Báo cáo năm'!$D$37:$O$37,THANG)</f>
      </c>
      <c r="E17" s="20">
        <f>INDEX('Báo cáo năm'!$D$38:$O$38,THANG)</f>
      </c>
      <c r="F17" s="20">
        <f t="shared" si="0"/>
      </c>
      <c r="G17" s="53">
        <f t="shared" si="1"/>
      </c>
      <c r="H17" s="11">
        <f>IF(D17=0,"Chưa có thu nhập",IF('Danh mục'!D12="Tích lũy",IF(G17&gt;=1,"✔ Đã nạp đủ","▲ Chưa nạp đủ"),IF(G17&gt;1,"✖ Vượt ngân sách",IF(G17&gt;=0.85,"▲ Sắp hết","✔ Trong ngân sách"))))</f>
      </c>
      <c r="J17" s="54">
        <f>'Báo cáo năm'!B48</f>
      </c>
      <c r="K17" s="55">
        <f>'Báo cáo năm'!C48</f>
      </c>
      <c r="L17" s="20">
        <f>IF(N('Báo cáo năm'!R48)&gt;0,'Báo cáo năm'!R48,"")</f>
      </c>
      <c r="M17" s="20">
        <f>IF(J17="","",INDEX('Báo cáo năm'!$D$48:$O$48,THANG))</f>
      </c>
      <c r="N17" s="20">
        <f t="shared" si="2"/>
      </c>
      <c r="O17" s="53">
        <f t="shared" si="3"/>
      </c>
    </row>
    <row r="18" spans="2:15" x14ac:dyDescent="0.3">
      <c r="B18" s="23" t="inlineStr">
        <is>
          <t xml:space="preserve">Tổng</t>
        </is>
      </c>
      <c r="C18" s="13">
        <f>SUM(C12:C17)</f>
      </c>
      <c r="D18" s="21">
        <f>SUM(D12:D17)</f>
      </c>
      <c r="E18" s="21">
        <f>SUM(E12:E17)</f>
      </c>
      <c r="F18" s="21">
        <f>SUM(F12:F17)</f>
      </c>
      <c r="G18" s="13">
        <f t="shared" si="1"/>
      </c>
      <c r="H18" s="23"/>
      <c r="J18" s="54">
        <f>'Báo cáo năm'!B49</f>
      </c>
      <c r="K18" s="55">
        <f>'Báo cáo năm'!C49</f>
      </c>
      <c r="L18" s="20">
        <f>IF(N('Báo cáo năm'!R49)&gt;0,'Báo cáo năm'!R49,"")</f>
      </c>
      <c r="M18" s="20">
        <f>IF(J18="","",INDEX('Báo cáo năm'!$D$49:$O$49,THANG))</f>
      </c>
      <c r="N18" s="20">
        <f t="shared" si="2"/>
      </c>
      <c r="O18" s="53">
        <f t="shared" si="3"/>
      </c>
    </row>
    <row r="19" spans="2:15" x14ac:dyDescent="0.3">
      <c r="J19" s="54">
        <f>'Báo cáo năm'!B50</f>
      </c>
      <c r="K19" s="55">
        <f>'Báo cáo năm'!C50</f>
      </c>
      <c r="L19" s="20">
        <f>IF(N('Báo cáo năm'!R50)&gt;0,'Báo cáo năm'!R50,"")</f>
      </c>
      <c r="M19" s="20">
        <f>IF(J19="","",INDEX('Báo cáo năm'!$D$50:$O$50,THANG))</f>
      </c>
      <c r="N19" s="20">
        <f t="shared" si="2"/>
      </c>
      <c r="O19" s="53">
        <f t="shared" si="3"/>
      </c>
    </row>
    <row r="20" spans="2:15" x14ac:dyDescent="0.3">
      <c r="B20" s="5" t="inlineStr">
        <is>
          <t xml:space="preserve">NHẬN XÉT NHANH (tự động)</t>
        </is>
      </c>
      <c r="C20" s="6"/>
      <c r="D20" s="6"/>
      <c r="E20" s="6"/>
      <c r="F20" s="6"/>
      <c r="G20" s="6"/>
      <c r="H20" s="6"/>
      <c r="J20" s="54">
        <f>'Báo cáo năm'!B51</f>
      </c>
      <c r="K20" s="55">
        <f>'Báo cáo năm'!C51</f>
      </c>
      <c r="L20" s="20">
        <f>IF(N('Báo cáo năm'!R51)&gt;0,'Báo cáo năm'!R51,"")</f>
      </c>
      <c r="M20" s="20">
        <f>IF(J20="","",INDEX('Báo cáo năm'!$D$51:$O$51,THANG))</f>
      </c>
      <c r="N20" s="20">
        <f t="shared" si="2"/>
      </c>
      <c r="O20" s="53">
        <f t="shared" si="3"/>
      </c>
    </row>
    <row r="21" spans="2:15" ht="24" customHeight="1" x14ac:dyDescent="0.3">
      <c r="B21" s="56">
        <f>IF(B6=0,"• Chưa có thu nhập trong tháng – ghi lương/thu nhập vào Sổ thu chi.",IF(F6&gt;=0.2,"✔ Tỷ lệ tích lũy "&amp;ROUND(F6*100,1)&amp;"% – đạt khuyến nghị ≥ 20%.","▲ Tỷ lệ tích lũy "&amp;ROUND(F6*100,1)&amp;"% – dưới 20%: ngày nhận lương chuyển ngay tiền vào hũ Tích lũy trước khi tiêu."))</f>
      </c>
      <c r="C21" s="56"/>
      <c r="D21" s="56"/>
      <c r="E21" s="56"/>
      <c r="F21" s="56"/>
      <c r="G21" s="56"/>
      <c r="H21" s="56"/>
      <c r="J21" s="54">
        <f>'Báo cáo năm'!B52</f>
      </c>
      <c r="K21" s="55">
        <f>'Báo cáo năm'!C52</f>
      </c>
      <c r="L21" s="20">
        <f>IF(N('Báo cáo năm'!R52)&gt;0,'Báo cáo năm'!R52,"")</f>
      </c>
      <c r="M21" s="20">
        <f>IF(J21="","",INDEX('Báo cáo năm'!$D$52:$O$52,THANG))</f>
      </c>
      <c r="N21" s="20">
        <f t="shared" si="2"/>
      </c>
      <c r="O21" s="53">
        <f t="shared" si="3"/>
      </c>
    </row>
    <row r="22" spans="2:15" ht="24" customHeight="1" x14ac:dyDescent="0.3">
      <c r="B22" s="56">
        <f>IF(E6&lt;0,"✖ Chi vượt thu "&amp;FIXED(-E6,0)&amp;" đ – kiểm tra khoản chi lớn, tạm dừng chi Hưởng thụ.","✔ Dòng tiền dương "&amp;FIXED(E6,0)&amp;" đ – chuyển phần dư vào tiết kiệm/quỹ khẩn cấp.")</f>
      </c>
      <c r="C22" s="56"/>
      <c r="D22" s="56"/>
      <c r="E22" s="56"/>
      <c r="F22" s="56"/>
      <c r="G22" s="56"/>
      <c r="H22" s="56"/>
      <c r="J22" s="54">
        <f>'Báo cáo năm'!B53</f>
      </c>
      <c r="K22" s="55">
        <f>'Báo cáo năm'!C53</f>
      </c>
      <c r="L22" s="20">
        <f>IF(N('Báo cáo năm'!R53)&gt;0,'Báo cáo năm'!R53,"")</f>
      </c>
      <c r="M22" s="20">
        <f>IF(J22="","",INDEX('Báo cáo năm'!$D$53:$O$53,THANG))</f>
      </c>
      <c r="N22" s="20">
        <f t="shared" si="2"/>
      </c>
      <c r="O22" s="53">
        <f t="shared" si="3"/>
      </c>
    </row>
    <row r="23" spans="2:15" ht="24" customHeight="1" x14ac:dyDescent="0.3">
      <c r="B23" s="56">
        <f>IF(COUNTIF(H12:H17,"✖*")&gt;0,"✖ Có "&amp;COUNTIF(H12:H17,"✖*")&amp;" hũ vượt ngân sách – xem bảng danh mục bên phải.","✔ Không hũ chi tiêu nào vượt ngân sách.")</f>
      </c>
      <c r="C23" s="56"/>
      <c r="D23" s="56"/>
      <c r="E23" s="56"/>
      <c r="F23" s="56"/>
      <c r="G23" s="56"/>
      <c r="H23" s="56"/>
      <c r="J23" s="54">
        <f>'Báo cáo năm'!B54</f>
      </c>
      <c r="K23" s="55">
        <f>'Báo cáo năm'!C54</f>
      </c>
      <c r="L23" s="20">
        <f>IF(N('Báo cáo năm'!R54)&gt;0,'Báo cáo năm'!R54,"")</f>
      </c>
      <c r="M23" s="20">
        <f>IF(J23="","",INDEX('Báo cáo năm'!$D$54:$O$54,THANG))</f>
      </c>
      <c r="N23" s="20">
        <f t="shared" si="2"/>
      </c>
      <c r="O23" s="53">
        <f t="shared" si="3"/>
      </c>
    </row>
    <row r="24" spans="2:15" ht="24" customHeight="1" x14ac:dyDescent="0.3">
      <c r="B24" s="56">
        <f>IF(COUNTIF(O12:O51,"&gt;1")&gt;0,"✖ Có "&amp;COUNTIF(O12:O51,"&gt;1")&amp;" danh mục vượt hạn mức (tô đỏ ở bảng bên phải).","✔ Không danh mục nào vượt hạn mức đã đặt.")</f>
      </c>
      <c r="C24" s="56"/>
      <c r="D24" s="56"/>
      <c r="E24" s="56"/>
      <c r="F24" s="56"/>
      <c r="G24" s="56"/>
      <c r="H24" s="56"/>
      <c r="J24" s="54">
        <f>'Báo cáo năm'!B55</f>
      </c>
      <c r="K24" s="55">
        <f>'Báo cáo năm'!C55</f>
      </c>
      <c r="L24" s="20">
        <f>IF(N('Báo cáo năm'!R55)&gt;0,'Báo cáo năm'!R55,"")</f>
      </c>
      <c r="M24" s="20">
        <f>IF(J24="","",INDEX('Báo cáo năm'!$D$55:$O$55,THANG))</f>
      </c>
      <c r="N24" s="20">
        <f t="shared" si="2"/>
      </c>
      <c r="O24" s="53">
        <f t="shared" si="3"/>
      </c>
    </row>
    <row r="25" spans="2:15" ht="24" customHeight="1" x14ac:dyDescent="0.3">
      <c r="B25" s="56">
        <f>IF(B6=0,"",IF(E12/B6&gt;0.55,"▲ Chi thiết yếu chiếm "&amp;ROUND(E12/B6*100,1)&amp;"% thu nhập (&gt; 55%) – rà soát tiền nhà, ăn uống, đi lại.","✔ Chi thiết yếu chiếm "&amp;ROUND(E12/B6*100,1)&amp;"% thu nhập – trong mức 55%."))</f>
      </c>
      <c r="C25" s="56"/>
      <c r="D25" s="56"/>
      <c r="E25" s="56"/>
      <c r="F25" s="56"/>
      <c r="G25" s="56"/>
      <c r="H25" s="56"/>
      <c r="J25" s="54">
        <f>'Báo cáo năm'!B56</f>
      </c>
      <c r="K25" s="55">
        <f>'Báo cáo năm'!C56</f>
      </c>
      <c r="L25" s="20">
        <f>IF(N('Báo cáo năm'!R56)&gt;0,'Báo cáo năm'!R56,"")</f>
      </c>
      <c r="M25" s="20">
        <f>IF(J25="","",INDEX('Báo cáo năm'!$D$56:$O$56,THANG))</f>
      </c>
      <c r="N25" s="20">
        <f t="shared" si="2"/>
      </c>
      <c r="O25" s="53">
        <f t="shared" si="3"/>
      </c>
    </row>
    <row r="26" spans="2:15" x14ac:dyDescent="0.3">
      <c r="J26" s="54">
        <f>'Báo cáo năm'!B57</f>
      </c>
      <c r="K26" s="55">
        <f>'Báo cáo năm'!C57</f>
      </c>
      <c r="L26" s="20">
        <f>IF(N('Báo cáo năm'!R57)&gt;0,'Báo cáo năm'!R57,"")</f>
      </c>
      <c r="M26" s="20">
        <f>IF(J26="","",INDEX('Báo cáo năm'!$D$57:$O$57,THANG))</f>
      </c>
      <c r="N26" s="20">
        <f t="shared" si="2"/>
      </c>
      <c r="O26" s="53">
        <f t="shared" si="3"/>
      </c>
    </row>
    <row r="27" spans="2:15" x14ac:dyDescent="0.3">
      <c r="J27" s="54">
        <f>'Báo cáo năm'!B58</f>
      </c>
      <c r="K27" s="55">
        <f>'Báo cáo năm'!C58</f>
      </c>
      <c r="L27" s="20">
        <f>IF(N('Báo cáo năm'!R58)&gt;0,'Báo cáo năm'!R58,"")</f>
      </c>
      <c r="M27" s="20">
        <f>IF(J27="","",INDEX('Báo cáo năm'!$D$58:$O$58,THANG))</f>
      </c>
      <c r="N27" s="20">
        <f t="shared" si="2"/>
      </c>
      <c r="O27" s="53">
        <f t="shared" si="3"/>
      </c>
    </row>
    <row r="28" spans="2:15" x14ac:dyDescent="0.3">
      <c r="J28" s="54">
        <f>'Báo cáo năm'!B59</f>
      </c>
      <c r="K28" s="55">
        <f>'Báo cáo năm'!C59</f>
      </c>
      <c r="L28" s="20">
        <f>IF(N('Báo cáo năm'!R59)&gt;0,'Báo cáo năm'!R59,"")</f>
      </c>
      <c r="M28" s="20">
        <f>IF(J28="","",INDEX('Báo cáo năm'!$D$59:$O$59,THANG))</f>
      </c>
      <c r="N28" s="20">
        <f t="shared" si="2"/>
      </c>
      <c r="O28" s="53">
        <f t="shared" si="3"/>
      </c>
    </row>
    <row r="29" spans="2:15" x14ac:dyDescent="0.3">
      <c r="J29" s="54">
        <f>'Báo cáo năm'!B60</f>
      </c>
      <c r="K29" s="55">
        <f>'Báo cáo năm'!C60</f>
      </c>
      <c r="L29" s="20">
        <f>IF(N('Báo cáo năm'!R60)&gt;0,'Báo cáo năm'!R60,"")</f>
      </c>
      <c r="M29" s="20">
        <f>IF(J29="","",INDEX('Báo cáo năm'!$D$60:$O$60,THANG))</f>
      </c>
      <c r="N29" s="20">
        <f t="shared" si="2"/>
      </c>
      <c r="O29" s="53">
        <f t="shared" si="3"/>
      </c>
    </row>
    <row r="30" spans="2:15" x14ac:dyDescent="0.3">
      <c r="J30" s="54">
        <f>'Báo cáo năm'!B61</f>
      </c>
      <c r="K30" s="55">
        <f>'Báo cáo năm'!C61</f>
      </c>
      <c r="L30" s="20">
        <f>IF(N('Báo cáo năm'!R61)&gt;0,'Báo cáo năm'!R61,"")</f>
      </c>
      <c r="M30" s="20">
        <f>IF(J30="","",INDEX('Báo cáo năm'!$D$61:$O$61,THANG))</f>
      </c>
      <c r="N30" s="20">
        <f t="shared" si="2"/>
      </c>
      <c r="O30" s="53">
        <f t="shared" si="3"/>
      </c>
    </row>
    <row r="31" spans="2:15" x14ac:dyDescent="0.3">
      <c r="J31" s="54">
        <f>'Báo cáo năm'!B62</f>
      </c>
      <c r="K31" s="55">
        <f>'Báo cáo năm'!C62</f>
      </c>
      <c r="L31" s="20">
        <f>IF(N('Báo cáo năm'!R62)&gt;0,'Báo cáo năm'!R62,"")</f>
      </c>
      <c r="M31" s="20">
        <f>IF(J31="","",INDEX('Báo cáo năm'!$D$62:$O$62,THANG))</f>
      </c>
      <c r="N31" s="20">
        <f t="shared" si="2"/>
      </c>
      <c r="O31" s="53">
        <f t="shared" si="3"/>
      </c>
    </row>
    <row r="32" spans="2:15" x14ac:dyDescent="0.3">
      <c r="J32" s="54">
        <f>'Báo cáo năm'!B63</f>
      </c>
      <c r="K32" s="55">
        <f>'Báo cáo năm'!C63</f>
      </c>
      <c r="L32" s="20">
        <f>IF(N('Báo cáo năm'!R63)&gt;0,'Báo cáo năm'!R63,"")</f>
      </c>
      <c r="M32" s="20">
        <f>IF(J32="","",INDEX('Báo cáo năm'!$D$63:$O$63,THANG))</f>
      </c>
      <c r="N32" s="20">
        <f t="shared" si="2"/>
      </c>
      <c r="O32" s="53">
        <f t="shared" si="3"/>
      </c>
    </row>
    <row r="33" spans="10:15" x14ac:dyDescent="0.3">
      <c r="J33" s="54">
        <f>'Báo cáo năm'!B64</f>
      </c>
      <c r="K33" s="55">
        <f>'Báo cáo năm'!C64</f>
      </c>
      <c r="L33" s="20">
        <f>IF(N('Báo cáo năm'!R64)&gt;0,'Báo cáo năm'!R64,"")</f>
      </c>
      <c r="M33" s="20">
        <f>IF(J33="","",INDEX('Báo cáo năm'!$D$64:$O$64,THANG))</f>
      </c>
      <c r="N33" s="20">
        <f t="shared" si="2"/>
      </c>
      <c r="O33" s="53">
        <f t="shared" si="3"/>
      </c>
    </row>
    <row r="34" spans="10:15" x14ac:dyDescent="0.3">
      <c r="J34" s="54">
        <f>'Báo cáo năm'!B65</f>
      </c>
      <c r="K34" s="55">
        <f>'Báo cáo năm'!C65</f>
      </c>
      <c r="L34" s="20">
        <f>IF(N('Báo cáo năm'!R65)&gt;0,'Báo cáo năm'!R65,"")</f>
      </c>
      <c r="M34" s="20">
        <f>IF(J34="","",INDEX('Báo cáo năm'!$D$65:$O$65,THANG))</f>
      </c>
      <c r="N34" s="20">
        <f t="shared" si="2"/>
      </c>
      <c r="O34" s="53">
        <f t="shared" si="3"/>
      </c>
    </row>
    <row r="35" spans="10:15" x14ac:dyDescent="0.3">
      <c r="J35" s="54">
        <f>'Báo cáo năm'!B66</f>
      </c>
      <c r="K35" s="55">
        <f>'Báo cáo năm'!C66</f>
      </c>
      <c r="L35" s="20">
        <f>IF(N('Báo cáo năm'!R66)&gt;0,'Báo cáo năm'!R66,"")</f>
      </c>
      <c r="M35" s="20">
        <f>IF(J35="","",INDEX('Báo cáo năm'!$D$66:$O$66,THANG))</f>
      </c>
      <c r="N35" s="20">
        <f t="shared" si="2"/>
      </c>
      <c r="O35" s="53">
        <f t="shared" si="3"/>
      </c>
    </row>
    <row r="36" spans="10:15" x14ac:dyDescent="0.3">
      <c r="J36" s="54">
        <f>'Báo cáo năm'!B67</f>
      </c>
      <c r="K36" s="55">
        <f>'Báo cáo năm'!C67</f>
      </c>
      <c r="L36" s="20">
        <f>IF(N('Báo cáo năm'!R67)&gt;0,'Báo cáo năm'!R67,"")</f>
      </c>
      <c r="M36" s="20">
        <f>IF(J36="","",INDEX('Báo cáo năm'!$D$67:$O$67,THANG))</f>
      </c>
      <c r="N36" s="20">
        <f t="shared" si="2"/>
      </c>
      <c r="O36" s="53">
        <f t="shared" si="3"/>
      </c>
    </row>
    <row r="37" spans="10:15" x14ac:dyDescent="0.3">
      <c r="J37" s="54">
        <f>'Báo cáo năm'!B68</f>
      </c>
      <c r="K37" s="55">
        <f>'Báo cáo năm'!C68</f>
      </c>
      <c r="L37" s="20">
        <f>IF(N('Báo cáo năm'!R68)&gt;0,'Báo cáo năm'!R68,"")</f>
      </c>
      <c r="M37" s="20">
        <f>IF(J37="","",INDEX('Báo cáo năm'!$D$68:$O$68,THANG))</f>
      </c>
      <c r="N37" s="20">
        <f t="shared" si="2"/>
      </c>
      <c r="O37" s="53">
        <f t="shared" si="3"/>
      </c>
    </row>
    <row r="38" spans="10:15" x14ac:dyDescent="0.3">
      <c r="J38" s="54">
        <f>'Báo cáo năm'!B69</f>
      </c>
      <c r="K38" s="55">
        <f>'Báo cáo năm'!C69</f>
      </c>
      <c r="L38" s="20">
        <f>IF(N('Báo cáo năm'!R69)&gt;0,'Báo cáo năm'!R69,"")</f>
      </c>
      <c r="M38" s="20">
        <f>IF(J38="","",INDEX('Báo cáo năm'!$D$69:$O$69,THANG))</f>
      </c>
      <c r="N38" s="20">
        <f t="shared" si="2"/>
      </c>
      <c r="O38" s="53">
        <f t="shared" si="3"/>
      </c>
    </row>
    <row r="39" spans="10:15" x14ac:dyDescent="0.3">
      <c r="J39" s="54">
        <f>'Báo cáo năm'!B70</f>
      </c>
      <c r="K39" s="55">
        <f>'Báo cáo năm'!C70</f>
      </c>
      <c r="L39" s="20">
        <f>IF(N('Báo cáo năm'!R70)&gt;0,'Báo cáo năm'!R70,"")</f>
      </c>
      <c r="M39" s="20">
        <f>IF(J39="","",INDEX('Báo cáo năm'!$D$70:$O$70,THANG))</f>
      </c>
      <c r="N39" s="20">
        <f t="shared" si="2"/>
      </c>
      <c r="O39" s="53">
        <f t="shared" si="3"/>
      </c>
    </row>
    <row r="40" spans="10:15" x14ac:dyDescent="0.3">
      <c r="J40" s="54">
        <f>'Báo cáo năm'!B71</f>
      </c>
      <c r="K40" s="55">
        <f>'Báo cáo năm'!C71</f>
      </c>
      <c r="L40" s="20">
        <f>IF(N('Báo cáo năm'!R71)&gt;0,'Báo cáo năm'!R71,"")</f>
      </c>
      <c r="M40" s="20">
        <f>IF(J40="","",INDEX('Báo cáo năm'!$D$71:$O$71,THANG))</f>
      </c>
      <c r="N40" s="20">
        <f t="shared" si="2"/>
      </c>
      <c r="O40" s="53">
        <f t="shared" si="3"/>
      </c>
    </row>
    <row r="41" spans="10:15" x14ac:dyDescent="0.3">
      <c r="J41" s="54">
        <f>'Báo cáo năm'!B72</f>
      </c>
      <c r="K41" s="55">
        <f>'Báo cáo năm'!C72</f>
      </c>
      <c r="L41" s="20">
        <f>IF(N('Báo cáo năm'!R72)&gt;0,'Báo cáo năm'!R72,"")</f>
      </c>
      <c r="M41" s="20">
        <f>IF(J41="","",INDEX('Báo cáo năm'!$D$72:$O$72,THANG))</f>
      </c>
      <c r="N41" s="20">
        <f t="shared" si="2"/>
      </c>
      <c r="O41" s="53">
        <f t="shared" si="3"/>
      </c>
    </row>
    <row r="42" spans="10:15" x14ac:dyDescent="0.3">
      <c r="J42" s="54">
        <f>'Báo cáo năm'!B73</f>
      </c>
      <c r="K42" s="55">
        <f>'Báo cáo năm'!C73</f>
      </c>
      <c r="L42" s="20">
        <f>IF(N('Báo cáo năm'!R73)&gt;0,'Báo cáo năm'!R73,"")</f>
      </c>
      <c r="M42" s="20">
        <f>IF(J42="","",INDEX('Báo cáo năm'!$D$73:$O$73,THANG))</f>
      </c>
      <c r="N42" s="20">
        <f t="shared" si="2"/>
      </c>
      <c r="O42" s="53">
        <f t="shared" si="3"/>
      </c>
    </row>
    <row r="43" spans="10:15" x14ac:dyDescent="0.3">
      <c r="J43" s="54">
        <f>'Báo cáo năm'!B74</f>
      </c>
      <c r="K43" s="55">
        <f>'Báo cáo năm'!C74</f>
      </c>
      <c r="L43" s="20">
        <f>IF(N('Báo cáo năm'!R74)&gt;0,'Báo cáo năm'!R74,"")</f>
      </c>
      <c r="M43" s="20">
        <f>IF(J43="","",INDEX('Báo cáo năm'!$D$74:$O$74,THANG))</f>
      </c>
      <c r="N43" s="20">
        <f t="shared" si="2"/>
      </c>
      <c r="O43" s="53">
        <f t="shared" si="3"/>
      </c>
    </row>
    <row r="44" spans="10:15" x14ac:dyDescent="0.3">
      <c r="J44" s="54">
        <f>'Báo cáo năm'!B75</f>
      </c>
      <c r="K44" s="55">
        <f>'Báo cáo năm'!C75</f>
      </c>
      <c r="L44" s="20">
        <f>IF(N('Báo cáo năm'!R75)&gt;0,'Báo cáo năm'!R75,"")</f>
      </c>
      <c r="M44" s="20">
        <f>IF(J44="","",INDEX('Báo cáo năm'!$D$75:$O$75,THANG))</f>
      </c>
      <c r="N44" s="20">
        <f t="shared" si="2"/>
      </c>
      <c r="O44" s="53">
        <f t="shared" si="3"/>
      </c>
    </row>
    <row r="45" spans="10:15" x14ac:dyDescent="0.3">
      <c r="J45" s="54">
        <f>'Báo cáo năm'!B76</f>
      </c>
      <c r="K45" s="55">
        <f>'Báo cáo năm'!C76</f>
      </c>
      <c r="L45" s="20">
        <f>IF(N('Báo cáo năm'!R76)&gt;0,'Báo cáo năm'!R76,"")</f>
      </c>
      <c r="M45" s="20">
        <f>IF(J45="","",INDEX('Báo cáo năm'!$D$76:$O$76,THANG))</f>
      </c>
      <c r="N45" s="20">
        <f t="shared" si="2"/>
      </c>
      <c r="O45" s="53">
        <f t="shared" si="3"/>
      </c>
    </row>
    <row r="46" spans="10:15" x14ac:dyDescent="0.3">
      <c r="J46" s="54">
        <f>'Báo cáo năm'!B77</f>
      </c>
      <c r="K46" s="55">
        <f>'Báo cáo năm'!C77</f>
      </c>
      <c r="L46" s="20">
        <f>IF(N('Báo cáo năm'!R77)&gt;0,'Báo cáo năm'!R77,"")</f>
      </c>
      <c r="M46" s="20">
        <f>IF(J46="","",INDEX('Báo cáo năm'!$D$77:$O$77,THANG))</f>
      </c>
      <c r="N46" s="20">
        <f t="shared" si="2"/>
      </c>
      <c r="O46" s="53">
        <f t="shared" si="3"/>
      </c>
    </row>
    <row r="47" spans="10:15" x14ac:dyDescent="0.3">
      <c r="J47" s="54">
        <f>'Báo cáo năm'!B78</f>
      </c>
      <c r="K47" s="55">
        <f>'Báo cáo năm'!C78</f>
      </c>
      <c r="L47" s="20">
        <f>IF(N('Báo cáo năm'!R78)&gt;0,'Báo cáo năm'!R78,"")</f>
      </c>
      <c r="M47" s="20">
        <f>IF(J47="","",INDEX('Báo cáo năm'!$D$78:$O$78,THANG))</f>
      </c>
      <c r="N47" s="20">
        <f t="shared" si="2"/>
      </c>
      <c r="O47" s="53">
        <f t="shared" si="3"/>
      </c>
    </row>
    <row r="48" spans="10:15" x14ac:dyDescent="0.3">
      <c r="J48" s="54">
        <f>'Báo cáo năm'!B79</f>
      </c>
      <c r="K48" s="55">
        <f>'Báo cáo năm'!C79</f>
      </c>
      <c r="L48" s="20">
        <f>IF(N('Báo cáo năm'!R79)&gt;0,'Báo cáo năm'!R79,"")</f>
      </c>
      <c r="M48" s="20">
        <f>IF(J48="","",INDEX('Báo cáo năm'!$D$79:$O$79,THANG))</f>
      </c>
      <c r="N48" s="20">
        <f t="shared" si="2"/>
      </c>
      <c r="O48" s="53">
        <f t="shared" si="3"/>
      </c>
    </row>
    <row r="49" spans="10:15" x14ac:dyDescent="0.3">
      <c r="J49" s="54">
        <f>'Báo cáo năm'!B80</f>
      </c>
      <c r="K49" s="55">
        <f>'Báo cáo năm'!C80</f>
      </c>
      <c r="L49" s="20">
        <f>IF(N('Báo cáo năm'!R80)&gt;0,'Báo cáo năm'!R80,"")</f>
      </c>
      <c r="M49" s="20">
        <f>IF(J49="","",INDEX('Báo cáo năm'!$D$80:$O$80,THANG))</f>
      </c>
      <c r="N49" s="20">
        <f t="shared" si="2"/>
      </c>
      <c r="O49" s="53">
        <f t="shared" si="3"/>
      </c>
    </row>
    <row r="50" spans="10:15" x14ac:dyDescent="0.3">
      <c r="J50" s="54">
        <f>'Báo cáo năm'!B81</f>
      </c>
      <c r="K50" s="55">
        <f>'Báo cáo năm'!C81</f>
      </c>
      <c r="L50" s="20">
        <f>IF(N('Báo cáo năm'!R81)&gt;0,'Báo cáo năm'!R81,"")</f>
      </c>
      <c r="M50" s="20">
        <f>IF(J50="","",INDEX('Báo cáo năm'!$D$81:$O$81,THANG))</f>
      </c>
      <c r="N50" s="20">
        <f t="shared" si="2"/>
      </c>
      <c r="O50" s="53">
        <f t="shared" si="3"/>
      </c>
    </row>
    <row r="51" spans="10:15" x14ac:dyDescent="0.3">
      <c r="J51" s="54">
        <f>'Báo cáo năm'!B82</f>
      </c>
      <c r="K51" s="55">
        <f>'Báo cáo năm'!C82</f>
      </c>
      <c r="L51" s="20">
        <f>IF(N('Báo cáo năm'!R82)&gt;0,'Báo cáo năm'!R82,"")</f>
      </c>
      <c r="M51" s="20">
        <f>IF(J51="","",INDEX('Báo cáo năm'!$D$82:$O$82,THANG))</f>
      </c>
      <c r="N51" s="20">
        <f t="shared" si="2"/>
      </c>
      <c r="O51" s="53">
        <f t="shared" si="3"/>
      </c>
    </row>
  </sheetData>
  <mergeCells count="5">
    <mergeCell ref="B21:H21"/>
    <mergeCell ref="B22:H22"/>
    <mergeCell ref="B23:H23"/>
    <mergeCell ref="B24:H24"/>
    <mergeCell ref="B25:H25"/>
  </mergeCells>
  <conditionalFormatting sqref="E6">
    <cfRule type="cellIs" dxfId="20" priority="2" operator="lessThan">
      <formula>0</formula>
    </cfRule>
  </conditionalFormatting>
  <conditionalFormatting sqref="F6">
    <cfRule type="expression" dxfId="19" priority="3">
      <formula>AND(B6&gt;0,F6&lt;0.2)</formula>
    </cfRule>
  </conditionalFormatting>
  <conditionalFormatting sqref="F12:F17">
    <cfRule type="cellIs" dxfId="18" priority="7" operator="lessThan">
      <formula>0</formula>
    </cfRule>
  </conditionalFormatting>
  <conditionalFormatting sqref="G12:G17">
    <cfRule type="dataBar" priority="8">
      <dataBar>
        <cfvo type="num" val="0"/>
        <cfvo type="num" val="1.2"/>
        <color rgb="FF5B9BD5"/>
      </dataBar>
      <extLst>
        <ext xmlns:x14="http://schemas.microsoft.com/office/spreadsheetml/2009/9/main" uri="{B025F937-C7B1-47D3-B67F-A62EFF666E3E}">
          <x14:id>{A50A11CD-4446-4532-9F76-3D130956C42E}</x14:id>
        </ext>
      </extLst>
    </cfRule>
  </conditionalFormatting>
  <conditionalFormatting sqref="H12:H17">
    <cfRule type="expression" dxfId="17" priority="4">
      <formula>LEFT(H12,1)="✖"</formula>
    </cfRule>
    <cfRule type="expression" dxfId="16" priority="5">
      <formula>LEFT(H12,1)="▲"</formula>
    </cfRule>
    <cfRule type="expression" dxfId="15" priority="6">
      <formula>LEFT(H12,1)="✔"</formula>
    </cfRule>
  </conditionalFormatting>
  <conditionalFormatting sqref="M12:M51">
    <cfRule type="cellIs" dxfId="14" priority="11" operator="greaterThan">
      <formula>0</formula>
    </cfRule>
  </conditionalFormatting>
  <conditionalFormatting sqref="N12:N51">
    <cfRule type="cellIs" dxfId="13" priority="10" operator="lessThan">
      <formula>0</formula>
    </cfRule>
  </conditionalFormatting>
  <conditionalFormatting sqref="O12:O51">
    <cfRule type="cellIs" dxfId="12" priority="9" operator="greaterThan">
      <formula>1</formula>
    </cfRule>
  </conditionalFormatting>
  <dataValidations count="1">
    <dataValidation type="list" sqref="F3" xr:uid="{00000000-0002-0000-0000-000000000000}">
      <formula1>"1,2,3,4,5,6,7,8,9,10,11,12"</formula1>
    </dataValidation>
  </dataValidation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A11CD-4446-4532-9F76-3D130956C42E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5B9BD5"/>
            </x14:dataBar>
          </x14:cfRule>
          <xm:sqref>G12:G17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AD47"/>
    <pageSetUpPr fitToPage="1"/>
  </sheetPr>
  <dimension ref="A1:L1979"/>
  <sheetViews>
    <sheetView tabSelected="1" workbookViewId="0">
      <pane ySplit="4" topLeftCell="A5" activePane="bottomLeft" state="frozen"/>
      <selection pane="bottomLeft" activeCell="A5" sqref="A5"/>
    </sheetView>
  </sheetViews>
  <sheetFormatPr defaultColWidth="8.6640625" defaultRowHeight="14.4" x14ac:dyDescent="0.3"/>
  <cols>
    <col min="1" max="1" width="12" customWidth="1"/>
    <col min="2" max="2" width="10" customWidth="1"/>
    <col min="3" max="3" width="7" customWidth="1"/>
    <col min="4" max="4" width="32" customWidth="1"/>
    <col min="5" max="5" width="17" customWidth="1"/>
    <col min="6" max="6" width="11" customWidth="1"/>
    <col min="7" max="7" width="10" customWidth="1"/>
    <col min="8" max="8" width="83.5546875" bestFit="1" customWidth="1"/>
    <col min="9" max="9" width="15" customWidth="1"/>
    <col min="10" max="10" width="9" customWidth="1"/>
    <col min="11" max="11" width="14" customWidth="1"/>
    <col min="12" max="12" width="22" customWidth="1"/>
  </cols>
  <sheetData>
    <row r="1" spans="1:12" ht="21" x14ac:dyDescent="0.4">
      <c r="A1" s="1" t="inlineStr">
        <is>
          <t xml:space="preserve">SỔ THU CHI GIA ĐÌNH</t>
        </is>
      </c>
    </row>
    <row r="2" spans="1:12" x14ac:dyDescent="0.3">
      <c r="A2" s="2"/>
    </row>
    <row r="4" spans="1:12" ht="31.5" customHeight="1" x14ac:dyDescent="0.3">
      <c r="A4" s="7" t="inlineStr">
        <is>
          <t xml:space="preserve">Ngày</t>
        </is>
      </c>
      <c r="B4" s="7" t="inlineStr">
        <is>
          <t xml:space="preserve">Tháng
(tự động)</t>
        </is>
      </c>
      <c r="C4" s="7" t="inlineStr">
        <is>
          <t xml:space="preserve">Loại</t>
        </is>
      </c>
      <c r="D4" s="7" t="inlineStr">
        <is>
          <t xml:space="preserve">Danh mục</t>
        </is>
      </c>
      <c r="E4" s="7" t="inlineStr">
        <is>
          <t xml:space="preserve">Hũ
(tự động)</t>
        </is>
      </c>
      <c r="F4" s="7" t="inlineStr">
        <is>
          <t xml:space="preserve">Tính chất
(tự động)</t>
        </is>
      </c>
      <c r="G4" s="7" t="inlineStr">
        <is>
          <t xml:space="preserve">Nhóm
(tự động)</t>
        </is>
      </c>
      <c r="H4" s="7" t="inlineStr">
        <is>
          <t xml:space="preserve">Nội dung</t>
        </is>
      </c>
      <c r="I4" s="7" t="inlineStr">
        <is>
          <t xml:space="preserve">Số tiền (VNĐ)</t>
        </is>
      </c>
      <c r="J4" s="7" t="inlineStr">
        <is>
          <t xml:space="preserve">Người</t>
        </is>
      </c>
      <c r="K4" s="7" t="inlineStr">
        <is>
          <t xml:space="preserve">Hình thức TT</t>
        </is>
      </c>
      <c r="L4" s="7" t="inlineStr">
        <is>
          <t xml:space="preserve">Ghi chú</t>
        </is>
      </c>
    </row>
    <row r="5" spans="1:12" x14ac:dyDescent="0.3">
      <c r="A5" s="31"/>
      <c r="B5" s="32">
        <f>IF(A5="","",DATE(YEAR(A5),MONTH(A5),1))</f>
      </c>
      <c r="C5" s="11"/>
      <c r="D5" s="11"/>
      <c r="E5" s="16">
        <f>IF(OR(D5="",C5&lt;&gt;"Chi"),"",IFERROR(INDEX('Danh mục'!$B$39:$B$78,MATCH(D5,'Danh mục'!$A$39:$A$78,0))&amp;"","?"))</f>
      </c>
      <c r="F5" s="16">
        <f>IF(D5="","",IF(C5="Thu",IFERROR(INDEX('Danh mục'!$B$26:$B$35,MATCH(D5,'Danh mục'!$A$26:$A$35,0))&amp;"","?"),IFERROR(INDEX('Danh mục'!$D$39:$D$78,MATCH(D5,'Danh mục'!$A$39:$A$78,0))&amp;"","?")))</f>
      </c>
      <c r="G5" s="16">
        <f>IF(OR(D5="",C5&lt;&gt;"Chi"),"",IFERROR(INDEX('Danh mục'!$C$39:$C$78,MATCH(D5,'Danh mục'!$A$39:$A$78,0))&amp;"",""))</f>
      </c>
      <c r="H5" s="11"/>
      <c r="I5" s="20"/>
      <c r="J5" s="11"/>
      <c r="K5" s="11"/>
      <c r="L5" s="11"/>
    </row>
    <row r="6" spans="1:12" x14ac:dyDescent="0.3">
      <c r="A6" s="31"/>
      <c r="B6" s="32">
        <f>IF(A6="","",DATE(YEAR(A6),MONTH(A6),1))</f>
      </c>
      <c r="C6" s="11"/>
      <c r="D6" s="11"/>
      <c r="E6" s="16">
        <f>IF(OR(D6="",C6&lt;&gt;"Chi"),"",IFERROR(INDEX('Danh mục'!$B$39:$B$78,MATCH(D6,'Danh mục'!$A$39:$A$78,0))&amp;"","?"))</f>
      </c>
      <c r="F6" s="16">
        <f>IF(D6="","",IF(C6="Thu",IFERROR(INDEX('Danh mục'!$B$26:$B$35,MATCH(D6,'Danh mục'!$A$26:$A$35,0))&amp;"","?"),IFERROR(INDEX('Danh mục'!$D$39:$D$78,MATCH(D6,'Danh mục'!$A$39:$A$78,0))&amp;"","?")))</f>
      </c>
      <c r="G6" s="16">
        <f>IF(OR(D6="",C6&lt;&gt;"Chi"),"",IFERROR(INDEX('Danh mục'!$C$39:$C$78,MATCH(D6,'Danh mục'!$A$39:$A$78,0))&amp;"",""))</f>
      </c>
      <c r="H6" s="11"/>
      <c r="I6" s="20"/>
      <c r="J6" s="11"/>
      <c r="K6" s="11"/>
      <c r="L6" s="11"/>
    </row>
    <row r="7" spans="1:12" x14ac:dyDescent="0.3">
      <c r="A7" s="31"/>
      <c r="B7" s="32">
        <f>IF(A7="","",DATE(YEAR(A7),MONTH(A7),1))</f>
      </c>
      <c r="C7" s="11"/>
      <c r="D7" s="11"/>
      <c r="E7" s="16">
        <f>IF(OR(D7="",C7&lt;&gt;"Chi"),"",IFERROR(INDEX('Danh mục'!$B$39:$B$78,MATCH(D7,'Danh mục'!$A$39:$A$78,0))&amp;"","?"))</f>
      </c>
      <c r="F7" s="16">
        <f>IF(D7="","",IF(C7="Thu",IFERROR(INDEX('Danh mục'!$B$26:$B$35,MATCH(D7,'Danh mục'!$A$26:$A$35,0))&amp;"","?"),IFERROR(INDEX('Danh mục'!$D$39:$D$78,MATCH(D7,'Danh mục'!$A$39:$A$78,0))&amp;"","?")))</f>
      </c>
      <c r="G7" s="16">
        <f>IF(OR(D7="",C7&lt;&gt;"Chi"),"",IFERROR(INDEX('Danh mục'!$C$39:$C$78,MATCH(D7,'Danh mục'!$A$39:$A$78,0))&amp;"",""))</f>
      </c>
      <c r="H7" s="11"/>
      <c r="I7" s="20"/>
      <c r="J7" s="11"/>
      <c r="K7" s="11"/>
      <c r="L7" s="11"/>
    </row>
    <row r="8" spans="1:12" x14ac:dyDescent="0.3">
      <c r="A8" s="31"/>
      <c r="B8" s="32">
        <f>IF(A8="","",DATE(YEAR(A8),MONTH(A8),1))</f>
      </c>
      <c r="C8" s="11"/>
      <c r="D8" s="11"/>
      <c r="E8" s="16">
        <f>IF(OR(D8="",C8&lt;&gt;"Chi"),"",IFERROR(INDEX('Danh mục'!$B$39:$B$78,MATCH(D8,'Danh mục'!$A$39:$A$78,0))&amp;"","?"))</f>
      </c>
      <c r="F8" s="16">
        <f>IF(D8="","",IF(C8="Thu",IFERROR(INDEX('Danh mục'!$B$26:$B$35,MATCH(D8,'Danh mục'!$A$26:$A$35,0))&amp;"","?"),IFERROR(INDEX('Danh mục'!$D$39:$D$78,MATCH(D8,'Danh mục'!$A$39:$A$78,0))&amp;"","?")))</f>
      </c>
      <c r="G8" s="16">
        <f>IF(OR(D8="",C8&lt;&gt;"Chi"),"",IFERROR(INDEX('Danh mục'!$C$39:$C$78,MATCH(D8,'Danh mục'!$A$39:$A$78,0))&amp;"",""))</f>
      </c>
      <c r="H8" s="11"/>
      <c r="I8" s="20"/>
      <c r="J8" s="11"/>
      <c r="K8" s="11"/>
      <c r="L8" s="11"/>
    </row>
    <row r="9" spans="1:12" x14ac:dyDescent="0.3">
      <c r="A9" s="31"/>
      <c r="B9" s="32">
        <f>IF(A9="","",DATE(YEAR(A9),MONTH(A9),1))</f>
      </c>
      <c r="C9" s="11"/>
      <c r="D9" s="11"/>
      <c r="E9" s="16">
        <f>IF(OR(D9="",C9&lt;&gt;"Chi"),"",IFERROR(INDEX('Danh mục'!$B$39:$B$78,MATCH(D9,'Danh mục'!$A$39:$A$78,0))&amp;"","?"))</f>
      </c>
      <c r="F9" s="16">
        <f>IF(D9="","",IF(C9="Thu",IFERROR(INDEX('Danh mục'!$B$26:$B$35,MATCH(D9,'Danh mục'!$A$26:$A$35,0))&amp;"","?"),IFERROR(INDEX('Danh mục'!$D$39:$D$78,MATCH(D9,'Danh mục'!$A$39:$A$78,0))&amp;"","?")))</f>
      </c>
      <c r="G9" s="16">
        <f>IF(OR(D9="",C9&lt;&gt;"Chi"),"",IFERROR(INDEX('Danh mục'!$C$39:$C$78,MATCH(D9,'Danh mục'!$A$39:$A$78,0))&amp;"",""))</f>
      </c>
      <c r="H9" s="11"/>
      <c r="I9" s="20"/>
      <c r="J9" s="11"/>
      <c r="K9" s="11"/>
      <c r="L9" s="11"/>
    </row>
    <row r="10" spans="1:12" x14ac:dyDescent="0.3">
      <c r="A10" s="31"/>
      <c r="B10" s="32">
        <f>IF(A10="","",DATE(YEAR(A10),MONTH(A10),1))</f>
      </c>
      <c r="C10" s="11"/>
      <c r="D10" s="11"/>
      <c r="E10" s="16">
        <f>IF(OR(D10="",C10&lt;&gt;"Chi"),"",IFERROR(INDEX('Danh mục'!$B$39:$B$78,MATCH(D10,'Danh mục'!$A$39:$A$78,0))&amp;"","?"))</f>
      </c>
      <c r="F10" s="16">
        <f>IF(D10="","",IF(C10="Thu",IFERROR(INDEX('Danh mục'!$B$26:$B$35,MATCH(D10,'Danh mục'!$A$26:$A$35,0))&amp;"","?"),IFERROR(INDEX('Danh mục'!$D$39:$D$78,MATCH(D10,'Danh mục'!$A$39:$A$78,0))&amp;"","?")))</f>
      </c>
      <c r="G10" s="16">
        <f>IF(OR(D10="",C10&lt;&gt;"Chi"),"",IFERROR(INDEX('Danh mục'!$C$39:$C$78,MATCH(D10,'Danh mục'!$A$39:$A$78,0))&amp;"",""))</f>
      </c>
      <c r="H10" s="11"/>
      <c r="I10" s="20"/>
      <c r="J10" s="11"/>
      <c r="K10" s="11"/>
      <c r="L10" s="11"/>
    </row>
    <row r="11" spans="1:12" x14ac:dyDescent="0.3">
      <c r="A11" s="31"/>
      <c r="B11" s="32">
        <f>IF(A11="","",DATE(YEAR(A11),MONTH(A11),1))</f>
      </c>
      <c r="C11" s="11"/>
      <c r="D11" s="11"/>
      <c r="E11" s="16">
        <f>IF(OR(D11="",C11&lt;&gt;"Chi"),"",IFERROR(INDEX('Danh mục'!$B$39:$B$78,MATCH(D11,'Danh mục'!$A$39:$A$78,0))&amp;"","?"))</f>
      </c>
      <c r="F11" s="16">
        <f>IF(D11="","",IF(C11="Thu",IFERROR(INDEX('Danh mục'!$B$26:$B$35,MATCH(D11,'Danh mục'!$A$26:$A$35,0))&amp;"","?"),IFERROR(INDEX('Danh mục'!$D$39:$D$78,MATCH(D11,'Danh mục'!$A$39:$A$78,0))&amp;"","?")))</f>
      </c>
      <c r="G11" s="16">
        <f>IF(OR(D11="",C11&lt;&gt;"Chi"),"",IFERROR(INDEX('Danh mục'!$C$39:$C$78,MATCH(D11,'Danh mục'!$A$39:$A$78,0))&amp;"",""))</f>
      </c>
      <c r="H11" s="11"/>
      <c r="I11" s="20"/>
      <c r="J11" s="11"/>
      <c r="K11" s="11"/>
      <c r="L11" s="11"/>
    </row>
    <row r="12" spans="1:12" x14ac:dyDescent="0.3">
      <c r="A12" s="31"/>
      <c r="B12" s="32">
        <f>IF(A12="","",DATE(YEAR(A12),MONTH(A12),1))</f>
      </c>
      <c r="C12" s="11"/>
      <c r="D12" s="11"/>
      <c r="E12" s="16">
        <f>IF(OR(D12="",C12&lt;&gt;"Chi"),"",IFERROR(INDEX('Danh mục'!$B$39:$B$78,MATCH(D12,'Danh mục'!$A$39:$A$78,0))&amp;"","?"))</f>
      </c>
      <c r="F12" s="16">
        <f>IF(D12="","",IF(C12="Thu",IFERROR(INDEX('Danh mục'!$B$26:$B$35,MATCH(D12,'Danh mục'!$A$26:$A$35,0))&amp;"","?"),IFERROR(INDEX('Danh mục'!$D$39:$D$78,MATCH(D12,'Danh mục'!$A$39:$A$78,0))&amp;"","?")))</f>
      </c>
      <c r="G12" s="16">
        <f>IF(OR(D12="",C12&lt;&gt;"Chi"),"",IFERROR(INDEX('Danh mục'!$C$39:$C$78,MATCH(D12,'Danh mục'!$A$39:$A$78,0))&amp;"",""))</f>
      </c>
      <c r="H12" s="11"/>
      <c r="I12" s="20"/>
      <c r="J12" s="11"/>
      <c r="K12" s="11"/>
      <c r="L12" s="11"/>
    </row>
    <row r="13" spans="1:12" x14ac:dyDescent="0.3">
      <c r="A13" s="31"/>
      <c r="B13" s="32">
        <f>IF(A13="","",DATE(YEAR(A13),MONTH(A13),1))</f>
      </c>
      <c r="C13" s="11"/>
      <c r="D13" s="11"/>
      <c r="E13" s="16">
        <f>IF(OR(D13="",C13&lt;&gt;"Chi"),"",IFERROR(INDEX('Danh mục'!$B$39:$B$78,MATCH(D13,'Danh mục'!$A$39:$A$78,0))&amp;"","?"))</f>
      </c>
      <c r="F13" s="16">
        <f>IF(D13="","",IF(C13="Thu",IFERROR(INDEX('Danh mục'!$B$26:$B$35,MATCH(D13,'Danh mục'!$A$26:$A$35,0))&amp;"","?"),IFERROR(INDEX('Danh mục'!$D$39:$D$78,MATCH(D13,'Danh mục'!$A$39:$A$78,0))&amp;"","?")))</f>
      </c>
      <c r="G13" s="16">
        <f>IF(OR(D13="",C13&lt;&gt;"Chi"),"",IFERROR(INDEX('Danh mục'!$C$39:$C$78,MATCH(D13,'Danh mục'!$A$39:$A$78,0))&amp;"",""))</f>
      </c>
      <c r="H13" s="11"/>
      <c r="I13" s="20"/>
      <c r="J13" s="11"/>
      <c r="K13" s="11"/>
      <c r="L13" s="11"/>
    </row>
    <row r="14" spans="1:12" x14ac:dyDescent="0.3">
      <c r="A14" s="31"/>
      <c r="B14" s="32">
        <f>IF(A14="","",DATE(YEAR(A14),MONTH(A14),1))</f>
      </c>
      <c r="C14" s="11"/>
      <c r="D14" s="11"/>
      <c r="E14" s="16">
        <f>IF(OR(D14="",C14&lt;&gt;"Chi"),"",IFERROR(INDEX('Danh mục'!$B$39:$B$78,MATCH(D14,'Danh mục'!$A$39:$A$78,0))&amp;"","?"))</f>
      </c>
      <c r="F14" s="16">
        <f>IF(D14="","",IF(C14="Thu",IFERROR(INDEX('Danh mục'!$B$26:$B$35,MATCH(D14,'Danh mục'!$A$26:$A$35,0))&amp;"","?"),IFERROR(INDEX('Danh mục'!$D$39:$D$78,MATCH(D14,'Danh mục'!$A$39:$A$78,0))&amp;"","?")))</f>
      </c>
      <c r="G14" s="16">
        <f>IF(OR(D14="",C14&lt;&gt;"Chi"),"",IFERROR(INDEX('Danh mục'!$C$39:$C$78,MATCH(D14,'Danh mục'!$A$39:$A$78,0))&amp;"",""))</f>
      </c>
      <c r="H14" s="11"/>
      <c r="I14" s="20"/>
      <c r="J14" s="11"/>
      <c r="K14" s="11"/>
      <c r="L14" s="11"/>
    </row>
    <row r="15" spans="1:12" x14ac:dyDescent="0.3">
      <c r="A15" s="31"/>
      <c r="B15" s="32">
        <f>IF(A15="","",DATE(YEAR(A15),MONTH(A15),1))</f>
      </c>
      <c r="C15" s="11"/>
      <c r="D15" s="11"/>
      <c r="E15" s="16">
        <f>IF(OR(D15="",C15&lt;&gt;"Chi"),"",IFERROR(INDEX('Danh mục'!$B$39:$B$78,MATCH(D15,'Danh mục'!$A$39:$A$78,0))&amp;"","?"))</f>
      </c>
      <c r="F15" s="16">
        <f>IF(D15="","",IF(C15="Thu",IFERROR(INDEX('Danh mục'!$B$26:$B$35,MATCH(D15,'Danh mục'!$A$26:$A$35,0))&amp;"","?"),IFERROR(INDEX('Danh mục'!$D$39:$D$78,MATCH(D15,'Danh mục'!$A$39:$A$78,0))&amp;"","?")))</f>
      </c>
      <c r="G15" s="16">
        <f>IF(OR(D15="",C15&lt;&gt;"Chi"),"",IFERROR(INDEX('Danh mục'!$C$39:$C$78,MATCH(D15,'Danh mục'!$A$39:$A$78,0))&amp;"",""))</f>
      </c>
      <c r="H15" s="11"/>
      <c r="I15" s="20"/>
      <c r="J15" s="11"/>
      <c r="K15" s="11"/>
      <c r="L15" s="11"/>
    </row>
    <row r="16" spans="1:12" x14ac:dyDescent="0.3">
      <c r="A16" s="31"/>
      <c r="B16" s="32">
        <f>IF(A16="","",DATE(YEAR(A16),MONTH(A16),1))</f>
      </c>
      <c r="C16" s="11"/>
      <c r="D16" s="11"/>
      <c r="E16" s="16">
        <f>IF(OR(D16="",C16&lt;&gt;"Chi"),"",IFERROR(INDEX('Danh mục'!$B$39:$B$78,MATCH(D16,'Danh mục'!$A$39:$A$78,0))&amp;"","?"))</f>
      </c>
      <c r="F16" s="16">
        <f>IF(D16="","",IF(C16="Thu",IFERROR(INDEX('Danh mục'!$B$26:$B$35,MATCH(D16,'Danh mục'!$A$26:$A$35,0))&amp;"","?"),IFERROR(INDEX('Danh mục'!$D$39:$D$78,MATCH(D16,'Danh mục'!$A$39:$A$78,0))&amp;"","?")))</f>
      </c>
      <c r="G16" s="16">
        <f>IF(OR(D16="",C16&lt;&gt;"Chi"),"",IFERROR(INDEX('Danh mục'!$C$39:$C$78,MATCH(D16,'Danh mục'!$A$39:$A$78,0))&amp;"",""))</f>
      </c>
      <c r="H16" s="11"/>
      <c r="I16" s="20"/>
      <c r="J16" s="11"/>
      <c r="K16" s="11"/>
      <c r="L16" s="11"/>
    </row>
    <row r="17" spans="1:12" x14ac:dyDescent="0.3">
      <c r="A17" s="31"/>
      <c r="B17" s="32">
        <f>IF(A17="","",DATE(YEAR(A17),MONTH(A17),1))</f>
      </c>
      <c r="C17" s="11"/>
      <c r="D17" s="11"/>
      <c r="E17" s="16">
        <f>IF(OR(D17="",C17&lt;&gt;"Chi"),"",IFERROR(INDEX('Danh mục'!$B$39:$B$78,MATCH(D17,'Danh mục'!$A$39:$A$78,0))&amp;"","?"))</f>
      </c>
      <c r="F17" s="16">
        <f>IF(D17="","",IF(C17="Thu",IFERROR(INDEX('Danh mục'!$B$26:$B$35,MATCH(D17,'Danh mục'!$A$26:$A$35,0))&amp;"","?"),IFERROR(INDEX('Danh mục'!$D$39:$D$78,MATCH(D17,'Danh mục'!$A$39:$A$78,0))&amp;"","?")))</f>
      </c>
      <c r="G17" s="16">
        <f>IF(OR(D17="",C17&lt;&gt;"Chi"),"",IFERROR(INDEX('Danh mục'!$C$39:$C$78,MATCH(D17,'Danh mục'!$A$39:$A$78,0))&amp;"",""))</f>
      </c>
      <c r="H17" s="11"/>
      <c r="I17" s="20"/>
      <c r="J17" s="11"/>
      <c r="K17" s="11"/>
      <c r="L17" s="11"/>
    </row>
    <row r="18" spans="1:12" x14ac:dyDescent="0.3">
      <c r="A18" s="31"/>
      <c r="B18" s="32">
        <f>IF(A18="","",DATE(YEAR(A18),MONTH(A18),1))</f>
      </c>
      <c r="C18" s="11"/>
      <c r="D18" s="11"/>
      <c r="E18" s="16">
        <f>IF(OR(D18="",C18&lt;&gt;"Chi"),"",IFERROR(INDEX('Danh mục'!$B$39:$B$78,MATCH(D18,'Danh mục'!$A$39:$A$78,0))&amp;"","?"))</f>
      </c>
      <c r="F18" s="16">
        <f>IF(D18="","",IF(C18="Thu",IFERROR(INDEX('Danh mục'!$B$26:$B$35,MATCH(D18,'Danh mục'!$A$26:$A$35,0))&amp;"","?"),IFERROR(INDEX('Danh mục'!$D$39:$D$78,MATCH(D18,'Danh mục'!$A$39:$A$78,0))&amp;"","?")))</f>
      </c>
      <c r="G18" s="16">
        <f>IF(OR(D18="",C18&lt;&gt;"Chi"),"",IFERROR(INDEX('Danh mục'!$C$39:$C$78,MATCH(D18,'Danh mục'!$A$39:$A$78,0))&amp;"",""))</f>
      </c>
      <c r="H18" s="11"/>
      <c r="I18" s="20"/>
      <c r="J18" s="11"/>
      <c r="K18" s="11"/>
      <c r="L18" s="11"/>
    </row>
    <row r="19" spans="1:12" x14ac:dyDescent="0.3">
      <c r="A19" s="31"/>
      <c r="B19" s="32">
        <f>IF(A19="","",DATE(YEAR(A19),MONTH(A19),1))</f>
      </c>
      <c r="C19" s="11"/>
      <c r="D19" s="11"/>
      <c r="E19" s="16">
        <f>IF(OR(D19="",C19&lt;&gt;"Chi"),"",IFERROR(INDEX('Danh mục'!$B$39:$B$78,MATCH(D19,'Danh mục'!$A$39:$A$78,0))&amp;"","?"))</f>
      </c>
      <c r="F19" s="16">
        <f>IF(D19="","",IF(C19="Thu",IFERROR(INDEX('Danh mục'!$B$26:$B$35,MATCH(D19,'Danh mục'!$A$26:$A$35,0))&amp;"","?"),IFERROR(INDEX('Danh mục'!$D$39:$D$78,MATCH(D19,'Danh mục'!$A$39:$A$78,0))&amp;"","?")))</f>
      </c>
      <c r="G19" s="16">
        <f>IF(OR(D19="",C19&lt;&gt;"Chi"),"",IFERROR(INDEX('Danh mục'!$C$39:$C$78,MATCH(D19,'Danh mục'!$A$39:$A$78,0))&amp;"",""))</f>
      </c>
      <c r="H19" s="11"/>
      <c r="I19" s="20"/>
      <c r="J19" s="11"/>
      <c r="K19" s="11"/>
      <c r="L19" s="11"/>
    </row>
    <row r="20" spans="1:12" x14ac:dyDescent="0.3">
      <c r="A20" s="31"/>
      <c r="B20" s="32">
        <f>IF(A20="","",DATE(YEAR(A20),MONTH(A20),1))</f>
      </c>
      <c r="C20" s="11"/>
      <c r="D20" s="11"/>
      <c r="E20" s="16">
        <f>IF(OR(D20="",C20&lt;&gt;"Chi"),"",IFERROR(INDEX('Danh mục'!$B$39:$B$78,MATCH(D20,'Danh mục'!$A$39:$A$78,0))&amp;"","?"))</f>
      </c>
      <c r="F20" s="16">
        <f>IF(D20="","",IF(C20="Thu",IFERROR(INDEX('Danh mục'!$B$26:$B$35,MATCH(D20,'Danh mục'!$A$26:$A$35,0))&amp;"","?"),IFERROR(INDEX('Danh mục'!$D$39:$D$78,MATCH(D20,'Danh mục'!$A$39:$A$78,0))&amp;"","?")))</f>
      </c>
      <c r="G20" s="16">
        <f>IF(OR(D20="",C20&lt;&gt;"Chi"),"",IFERROR(INDEX('Danh mục'!$C$39:$C$78,MATCH(D20,'Danh mục'!$A$39:$A$78,0))&amp;"",""))</f>
      </c>
      <c r="H20" s="11"/>
      <c r="I20" s="20"/>
      <c r="J20" s="11"/>
      <c r="K20" s="11"/>
      <c r="L20" s="11"/>
    </row>
    <row r="21" spans="1:12" x14ac:dyDescent="0.3">
      <c r="A21" s="31"/>
      <c r="B21" s="32">
        <f>IF(A21="","",DATE(YEAR(A21),MONTH(A21),1))</f>
      </c>
      <c r="C21" s="11"/>
      <c r="D21" s="11"/>
      <c r="E21" s="16">
        <f>IF(OR(D21="",C21&lt;&gt;"Chi"),"",IFERROR(INDEX('Danh mục'!$B$39:$B$78,MATCH(D21,'Danh mục'!$A$39:$A$78,0))&amp;"","?"))</f>
      </c>
      <c r="F21" s="16">
        <f>IF(D21="","",IF(C21="Thu",IFERROR(INDEX('Danh mục'!$B$26:$B$35,MATCH(D21,'Danh mục'!$A$26:$A$35,0))&amp;"","?"),IFERROR(INDEX('Danh mục'!$D$39:$D$78,MATCH(D21,'Danh mục'!$A$39:$A$78,0))&amp;"","?")))</f>
      </c>
      <c r="G21" s="16">
        <f>IF(OR(D21="",C21&lt;&gt;"Chi"),"",IFERROR(INDEX('Danh mục'!$C$39:$C$78,MATCH(D21,'Danh mục'!$A$39:$A$78,0))&amp;"",""))</f>
      </c>
      <c r="H21" s="11"/>
      <c r="I21" s="20"/>
      <c r="J21" s="11"/>
      <c r="K21" s="11"/>
      <c r="L21" s="11"/>
    </row>
    <row r="22" spans="1:12" x14ac:dyDescent="0.3">
      <c r="A22" s="31"/>
      <c r="B22" s="32">
        <f>IF(A22="","",DATE(YEAR(A22),MONTH(A22),1))</f>
      </c>
      <c r="C22" s="11"/>
      <c r="D22" s="11"/>
      <c r="E22" s="16">
        <f>IF(OR(D22="",C22&lt;&gt;"Chi"),"",IFERROR(INDEX('Danh mục'!$B$39:$B$78,MATCH(D22,'Danh mục'!$A$39:$A$78,0))&amp;"","?"))</f>
      </c>
      <c r="F22" s="16">
        <f>IF(D22="","",IF(C22="Thu",IFERROR(INDEX('Danh mục'!$B$26:$B$35,MATCH(D22,'Danh mục'!$A$26:$A$35,0))&amp;"","?"),IFERROR(INDEX('Danh mục'!$D$39:$D$78,MATCH(D22,'Danh mục'!$A$39:$A$78,0))&amp;"","?")))</f>
      </c>
      <c r="G22" s="16">
        <f>IF(OR(D22="",C22&lt;&gt;"Chi"),"",IFERROR(INDEX('Danh mục'!$C$39:$C$78,MATCH(D22,'Danh mục'!$A$39:$A$78,0))&amp;"",""))</f>
      </c>
      <c r="H22" s="11"/>
      <c r="I22" s="20"/>
      <c r="J22" s="11"/>
      <c r="K22" s="11"/>
      <c r="L22" s="11"/>
    </row>
    <row r="23" spans="1:12" x14ac:dyDescent="0.3">
      <c r="A23" s="31"/>
      <c r="B23" s="32">
        <f>IF(A23="","",DATE(YEAR(A23),MONTH(A23),1))</f>
      </c>
      <c r="C23" s="11"/>
      <c r="D23" s="11"/>
      <c r="E23" s="16">
        <f>IF(OR(D23="",C23&lt;&gt;"Chi"),"",IFERROR(INDEX('Danh mục'!$B$39:$B$78,MATCH(D23,'Danh mục'!$A$39:$A$78,0))&amp;"","?"))</f>
      </c>
      <c r="F23" s="16">
        <f>IF(D23="","",IF(C23="Thu",IFERROR(INDEX('Danh mục'!$B$26:$B$35,MATCH(D23,'Danh mục'!$A$26:$A$35,0))&amp;"","?"),IFERROR(INDEX('Danh mục'!$D$39:$D$78,MATCH(D23,'Danh mục'!$A$39:$A$78,0))&amp;"","?")))</f>
      </c>
      <c r="G23" s="16">
        <f>IF(OR(D23="",C23&lt;&gt;"Chi"),"",IFERROR(INDEX('Danh mục'!$C$39:$C$78,MATCH(D23,'Danh mục'!$A$39:$A$78,0))&amp;"",""))</f>
      </c>
      <c r="H23" s="11"/>
      <c r="I23" s="20"/>
      <c r="J23" s="11"/>
      <c r="K23" s="11"/>
      <c r="L23" s="11"/>
    </row>
    <row r="24" spans="1:12" x14ac:dyDescent="0.3">
      <c r="A24" s="31"/>
      <c r="B24" s="32">
        <f>IF(A24="","",DATE(YEAR(A24),MONTH(A24),1))</f>
      </c>
      <c r="C24" s="11"/>
      <c r="D24" s="11"/>
      <c r="E24" s="16">
        <f>IF(OR(D24="",C24&lt;&gt;"Chi"),"",IFERROR(INDEX('Danh mục'!$B$39:$B$78,MATCH(D24,'Danh mục'!$A$39:$A$78,0))&amp;"","?"))</f>
      </c>
      <c r="F24" s="16">
        <f>IF(D24="","",IF(C24="Thu",IFERROR(INDEX('Danh mục'!$B$26:$B$35,MATCH(D24,'Danh mục'!$A$26:$A$35,0))&amp;"","?"),IFERROR(INDEX('Danh mục'!$D$39:$D$78,MATCH(D24,'Danh mục'!$A$39:$A$78,0))&amp;"","?")))</f>
      </c>
      <c r="G24" s="16">
        <f>IF(OR(D24="",C24&lt;&gt;"Chi"),"",IFERROR(INDEX('Danh mục'!$C$39:$C$78,MATCH(D24,'Danh mục'!$A$39:$A$78,0))&amp;"",""))</f>
      </c>
      <c r="H24" s="11"/>
      <c r="I24" s="20"/>
      <c r="J24" s="11"/>
      <c r="K24" s="11"/>
      <c r="L24" s="11"/>
    </row>
    <row r="25" spans="1:12" x14ac:dyDescent="0.3">
      <c r="A25" s="31"/>
      <c r="B25" s="32">
        <f>IF(A25="","",DATE(YEAR(A25),MONTH(A25),1))</f>
      </c>
      <c r="C25" s="11"/>
      <c r="D25" s="11"/>
      <c r="E25" s="16">
        <f>IF(OR(D25="",C25&lt;&gt;"Chi"),"",IFERROR(INDEX('Danh mục'!$B$39:$B$78,MATCH(D25,'Danh mục'!$A$39:$A$78,0))&amp;"","?"))</f>
      </c>
      <c r="F25" s="16">
        <f>IF(D25="","",IF(C25="Thu",IFERROR(INDEX('Danh mục'!$B$26:$B$35,MATCH(D25,'Danh mục'!$A$26:$A$35,0))&amp;"","?"),IFERROR(INDEX('Danh mục'!$D$39:$D$78,MATCH(D25,'Danh mục'!$A$39:$A$78,0))&amp;"","?")))</f>
      </c>
      <c r="G25" s="16">
        <f>IF(OR(D25="",C25&lt;&gt;"Chi"),"",IFERROR(INDEX('Danh mục'!$C$39:$C$78,MATCH(D25,'Danh mục'!$A$39:$A$78,0))&amp;"",""))</f>
      </c>
      <c r="H25" s="11"/>
      <c r="I25" s="20"/>
      <c r="J25" s="11"/>
      <c r="K25" s="11"/>
      <c r="L25" s="11"/>
    </row>
    <row r="26" spans="1:12" x14ac:dyDescent="0.3">
      <c r="A26" s="31"/>
      <c r="B26" s="32">
        <f>IF(A26="","",DATE(YEAR(A26),MONTH(A26),1))</f>
      </c>
      <c r="C26" s="11"/>
      <c r="D26" s="11"/>
      <c r="E26" s="16">
        <f>IF(OR(D26="",C26&lt;&gt;"Chi"),"",IFERROR(INDEX('Danh mục'!$B$39:$B$78,MATCH(D26,'Danh mục'!$A$39:$A$78,0))&amp;"","?"))</f>
      </c>
      <c r="F26" s="16">
        <f>IF(D26="","",IF(C26="Thu",IFERROR(INDEX('Danh mục'!$B$26:$B$35,MATCH(D26,'Danh mục'!$A$26:$A$35,0))&amp;"","?"),IFERROR(INDEX('Danh mục'!$D$39:$D$78,MATCH(D26,'Danh mục'!$A$39:$A$78,0))&amp;"","?")))</f>
      </c>
      <c r="G26" s="16">
        <f>IF(OR(D26="",C26&lt;&gt;"Chi"),"",IFERROR(INDEX('Danh mục'!$C$39:$C$78,MATCH(D26,'Danh mục'!$A$39:$A$78,0))&amp;"",""))</f>
      </c>
      <c r="H26" s="11"/>
      <c r="I26" s="20"/>
      <c r="J26" s="11"/>
      <c r="K26" s="11"/>
      <c r="L26" s="11"/>
    </row>
    <row r="27" spans="1:12" x14ac:dyDescent="0.3">
      <c r="A27" s="31"/>
      <c r="B27" s="32">
        <f>IF(A27="","",DATE(YEAR(A27),MONTH(A27),1))</f>
      </c>
      <c r="C27" s="11"/>
      <c r="D27" s="11"/>
      <c r="E27" s="16">
        <f>IF(OR(D27="",C27&lt;&gt;"Chi"),"",IFERROR(INDEX('Danh mục'!$B$39:$B$78,MATCH(D27,'Danh mục'!$A$39:$A$78,0))&amp;"","?"))</f>
      </c>
      <c r="F27" s="16">
        <f>IF(D27="","",IF(C27="Thu",IFERROR(INDEX('Danh mục'!$B$26:$B$35,MATCH(D27,'Danh mục'!$A$26:$A$35,0))&amp;"","?"),IFERROR(INDEX('Danh mục'!$D$39:$D$78,MATCH(D27,'Danh mục'!$A$39:$A$78,0))&amp;"","?")))</f>
      </c>
      <c r="G27" s="16">
        <f>IF(OR(D27="",C27&lt;&gt;"Chi"),"",IFERROR(INDEX('Danh mục'!$C$39:$C$78,MATCH(D27,'Danh mục'!$A$39:$A$78,0))&amp;"",""))</f>
      </c>
      <c r="H27" s="11"/>
      <c r="I27" s="20"/>
      <c r="J27" s="11"/>
      <c r="K27" s="11"/>
      <c r="L27" s="11"/>
    </row>
    <row r="28" spans="1:12" x14ac:dyDescent="0.3">
      <c r="A28" s="31"/>
      <c r="B28" s="32">
        <f>IF(A28="","",DATE(YEAR(A28),MONTH(A28),1))</f>
      </c>
      <c r="C28" s="11"/>
      <c r="D28" s="11"/>
      <c r="E28" s="16">
        <f>IF(OR(D28="",C28&lt;&gt;"Chi"),"",IFERROR(INDEX('Danh mục'!$B$39:$B$78,MATCH(D28,'Danh mục'!$A$39:$A$78,0))&amp;"","?"))</f>
      </c>
      <c r="F28" s="16">
        <f>IF(D28="","",IF(C28="Thu",IFERROR(INDEX('Danh mục'!$B$26:$B$35,MATCH(D28,'Danh mục'!$A$26:$A$35,0))&amp;"","?"),IFERROR(INDEX('Danh mục'!$D$39:$D$78,MATCH(D28,'Danh mục'!$A$39:$A$78,0))&amp;"","?")))</f>
      </c>
      <c r="G28" s="16">
        <f>IF(OR(D28="",C28&lt;&gt;"Chi"),"",IFERROR(INDEX('Danh mục'!$C$39:$C$78,MATCH(D28,'Danh mục'!$A$39:$A$78,0))&amp;"",""))</f>
      </c>
      <c r="H28" s="11"/>
      <c r="I28" s="20"/>
      <c r="J28" s="11"/>
      <c r="K28" s="11"/>
      <c r="L28" s="11"/>
    </row>
    <row r="29" spans="1:12" x14ac:dyDescent="0.3">
      <c r="A29" s="31"/>
      <c r="B29" s="32">
        <f>IF(A29="","",DATE(YEAR(A29),MONTH(A29),1))</f>
      </c>
      <c r="C29" s="11"/>
      <c r="D29" s="11"/>
      <c r="E29" s="16">
        <f>IF(OR(D29="",C29&lt;&gt;"Chi"),"",IFERROR(INDEX('Danh mục'!$B$39:$B$78,MATCH(D29,'Danh mục'!$A$39:$A$78,0))&amp;"","?"))</f>
      </c>
      <c r="F29" s="16">
        <f>IF(D29="","",IF(C29="Thu",IFERROR(INDEX('Danh mục'!$B$26:$B$35,MATCH(D29,'Danh mục'!$A$26:$A$35,0))&amp;"","?"),IFERROR(INDEX('Danh mục'!$D$39:$D$78,MATCH(D29,'Danh mục'!$A$39:$A$78,0))&amp;"","?")))</f>
      </c>
      <c r="G29" s="16">
        <f>IF(OR(D29="",C29&lt;&gt;"Chi"),"",IFERROR(INDEX('Danh mục'!$C$39:$C$78,MATCH(D29,'Danh mục'!$A$39:$A$78,0))&amp;"",""))</f>
      </c>
      <c r="H29" s="11"/>
      <c r="I29" s="20"/>
      <c r="J29" s="11"/>
      <c r="K29" s="11"/>
      <c r="L29" s="11"/>
    </row>
    <row r="30" spans="1:12" x14ac:dyDescent="0.3">
      <c r="A30" s="31"/>
      <c r="B30" s="32">
        <f>IF(A30="","",DATE(YEAR(A30),MONTH(A30),1))</f>
      </c>
      <c r="C30" s="11"/>
      <c r="D30" s="11"/>
      <c r="E30" s="16">
        <f>IF(OR(D30="",C30&lt;&gt;"Chi"),"",IFERROR(INDEX('Danh mục'!$B$39:$B$78,MATCH(D30,'Danh mục'!$A$39:$A$78,0))&amp;"","?"))</f>
      </c>
      <c r="F30" s="16">
        <f>IF(D30="","",IF(C30="Thu",IFERROR(INDEX('Danh mục'!$B$26:$B$35,MATCH(D30,'Danh mục'!$A$26:$A$35,0))&amp;"","?"),IFERROR(INDEX('Danh mục'!$D$39:$D$78,MATCH(D30,'Danh mục'!$A$39:$A$78,0))&amp;"","?")))</f>
      </c>
      <c r="G30" s="16">
        <f>IF(OR(D30="",C30&lt;&gt;"Chi"),"",IFERROR(INDEX('Danh mục'!$C$39:$C$78,MATCH(D30,'Danh mục'!$A$39:$A$78,0))&amp;"",""))</f>
      </c>
      <c r="H30" s="11"/>
      <c r="I30" s="20"/>
      <c r="J30" s="11"/>
      <c r="K30" s="11"/>
      <c r="L30" s="11"/>
    </row>
    <row r="31" spans="1:12" x14ac:dyDescent="0.3">
      <c r="A31" s="31"/>
      <c r="B31" s="32">
        <f>IF(A31="","",DATE(YEAR(A31),MONTH(A31),1))</f>
      </c>
      <c r="C31" s="11"/>
      <c r="D31" s="11"/>
      <c r="E31" s="16">
        <f>IF(OR(D31="",C31&lt;&gt;"Chi"),"",IFERROR(INDEX('Danh mục'!$B$39:$B$78,MATCH(D31,'Danh mục'!$A$39:$A$78,0))&amp;"","?"))</f>
      </c>
      <c r="F31" s="16">
        <f>IF(D31="","",IF(C31="Thu",IFERROR(INDEX('Danh mục'!$B$26:$B$35,MATCH(D31,'Danh mục'!$A$26:$A$35,0))&amp;"","?"),IFERROR(INDEX('Danh mục'!$D$39:$D$78,MATCH(D31,'Danh mục'!$A$39:$A$78,0))&amp;"","?")))</f>
      </c>
      <c r="G31" s="16">
        <f>IF(OR(D31="",C31&lt;&gt;"Chi"),"",IFERROR(INDEX('Danh mục'!$C$39:$C$78,MATCH(D31,'Danh mục'!$A$39:$A$78,0))&amp;"",""))</f>
      </c>
      <c r="H31" s="11"/>
      <c r="I31" s="20"/>
      <c r="J31" s="11"/>
      <c r="K31" s="11"/>
      <c r="L31" s="11"/>
    </row>
    <row r="32" spans="1:12" x14ac:dyDescent="0.3">
      <c r="A32" s="31"/>
      <c r="B32" s="32">
        <f>IF(A32="","",DATE(YEAR(A32),MONTH(A32),1))</f>
      </c>
      <c r="C32" s="11"/>
      <c r="D32" s="11"/>
      <c r="E32" s="16">
        <f>IF(OR(D32="",C32&lt;&gt;"Chi"),"",IFERROR(INDEX('Danh mục'!$B$39:$B$78,MATCH(D32,'Danh mục'!$A$39:$A$78,0))&amp;"","?"))</f>
      </c>
      <c r="F32" s="16">
        <f>IF(D32="","",IF(C32="Thu",IFERROR(INDEX('Danh mục'!$B$26:$B$35,MATCH(D32,'Danh mục'!$A$26:$A$35,0))&amp;"","?"),IFERROR(INDEX('Danh mục'!$D$39:$D$78,MATCH(D32,'Danh mục'!$A$39:$A$78,0))&amp;"","?")))</f>
      </c>
      <c r="G32" s="16">
        <f>IF(OR(D32="",C32&lt;&gt;"Chi"),"",IFERROR(INDEX('Danh mục'!$C$39:$C$78,MATCH(D32,'Danh mục'!$A$39:$A$78,0))&amp;"",""))</f>
      </c>
      <c r="H32" s="11"/>
      <c r="I32" s="20"/>
      <c r="J32" s="11"/>
      <c r="K32" s="11"/>
      <c r="L32" s="11"/>
    </row>
    <row r="33" spans="1:12" x14ac:dyDescent="0.3">
      <c r="A33" s="31"/>
      <c r="B33" s="32">
        <f>IF(A33="","",DATE(YEAR(A33),MONTH(A33),1))</f>
      </c>
      <c r="C33" s="11"/>
      <c r="D33" s="11"/>
      <c r="E33" s="16">
        <f>IF(OR(D33="",C33&lt;&gt;"Chi"),"",IFERROR(INDEX('Danh mục'!$B$39:$B$78,MATCH(D33,'Danh mục'!$A$39:$A$78,0))&amp;"","?"))</f>
      </c>
      <c r="F33" s="16">
        <f>IF(D33="","",IF(C33="Thu",IFERROR(INDEX('Danh mục'!$B$26:$B$35,MATCH(D33,'Danh mục'!$A$26:$A$35,0))&amp;"","?"),IFERROR(INDEX('Danh mục'!$D$39:$D$78,MATCH(D33,'Danh mục'!$A$39:$A$78,0))&amp;"","?")))</f>
      </c>
      <c r="G33" s="16">
        <f>IF(OR(D33="",C33&lt;&gt;"Chi"),"",IFERROR(INDEX('Danh mục'!$C$39:$C$78,MATCH(D33,'Danh mục'!$A$39:$A$78,0))&amp;"",""))</f>
      </c>
      <c r="H33" s="11"/>
      <c r="I33" s="20"/>
      <c r="J33" s="11"/>
      <c r="K33" s="11"/>
      <c r="L33" s="11"/>
    </row>
    <row r="34" spans="1:12" x14ac:dyDescent="0.3">
      <c r="A34" s="31"/>
      <c r="B34" s="32">
        <f>IF(A34="","",DATE(YEAR(A34),MONTH(A34),1))</f>
      </c>
      <c r="C34" s="11"/>
      <c r="D34" s="11"/>
      <c r="E34" s="16">
        <f>IF(OR(D34="",C34&lt;&gt;"Chi"),"",IFERROR(INDEX('Danh mục'!$B$39:$B$78,MATCH(D34,'Danh mục'!$A$39:$A$78,0))&amp;"","?"))</f>
      </c>
      <c r="F34" s="16">
        <f>IF(D34="","",IF(C34="Thu",IFERROR(INDEX('Danh mục'!$B$26:$B$35,MATCH(D34,'Danh mục'!$A$26:$A$35,0))&amp;"","?"),IFERROR(INDEX('Danh mục'!$D$39:$D$78,MATCH(D34,'Danh mục'!$A$39:$A$78,0))&amp;"","?")))</f>
      </c>
      <c r="G34" s="16">
        <f>IF(OR(D34="",C34&lt;&gt;"Chi"),"",IFERROR(INDEX('Danh mục'!$C$39:$C$78,MATCH(D34,'Danh mục'!$A$39:$A$78,0))&amp;"",""))</f>
      </c>
      <c r="H34" s="11"/>
      <c r="I34" s="20"/>
      <c r="J34" s="11"/>
      <c r="K34" s="11"/>
      <c r="L34" s="11"/>
    </row>
    <row r="35" spans="1:12" x14ac:dyDescent="0.3">
      <c r="A35" s="31"/>
      <c r="B35" s="32">
        <f>IF(A35="","",DATE(YEAR(A35),MONTH(A35),1))</f>
      </c>
      <c r="C35" s="11"/>
      <c r="D35" s="11"/>
      <c r="E35" s="16">
        <f>IF(OR(D35="",C35&lt;&gt;"Chi"),"",IFERROR(INDEX('Danh mục'!$B$39:$B$78,MATCH(D35,'Danh mục'!$A$39:$A$78,0))&amp;"","?"))</f>
      </c>
      <c r="F35" s="16">
        <f>IF(D35="","",IF(C35="Thu",IFERROR(INDEX('Danh mục'!$B$26:$B$35,MATCH(D35,'Danh mục'!$A$26:$A$35,0))&amp;"","?"),IFERROR(INDEX('Danh mục'!$D$39:$D$78,MATCH(D35,'Danh mục'!$A$39:$A$78,0))&amp;"","?")))</f>
      </c>
      <c r="G35" s="16">
        <f>IF(OR(D35="",C35&lt;&gt;"Chi"),"",IFERROR(INDEX('Danh mục'!$C$39:$C$78,MATCH(D35,'Danh mục'!$A$39:$A$78,0))&amp;"",""))</f>
      </c>
      <c r="H35" s="11"/>
      <c r="I35" s="20"/>
      <c r="J35" s="11"/>
      <c r="K35" s="11"/>
      <c r="L35" s="11"/>
    </row>
    <row r="36" spans="1:12" x14ac:dyDescent="0.3">
      <c r="A36" s="31"/>
      <c r="B36" s="32">
        <f>IF(A36="","",DATE(YEAR(A36),MONTH(A36),1))</f>
      </c>
      <c r="C36" s="11"/>
      <c r="D36" s="11"/>
      <c r="E36" s="16">
        <f>IF(OR(D36="",C36&lt;&gt;"Chi"),"",IFERROR(INDEX('Danh mục'!$B$39:$B$78,MATCH(D36,'Danh mục'!$A$39:$A$78,0))&amp;"","?"))</f>
      </c>
      <c r="F36" s="16">
        <f>IF(D36="","",IF(C36="Thu",IFERROR(INDEX('Danh mục'!$B$26:$B$35,MATCH(D36,'Danh mục'!$A$26:$A$35,0))&amp;"","?"),IFERROR(INDEX('Danh mục'!$D$39:$D$78,MATCH(D36,'Danh mục'!$A$39:$A$78,0))&amp;"","?")))</f>
      </c>
      <c r="G36" s="16">
        <f>IF(OR(D36="",C36&lt;&gt;"Chi"),"",IFERROR(INDEX('Danh mục'!$C$39:$C$78,MATCH(D36,'Danh mục'!$A$39:$A$78,0))&amp;"",""))</f>
      </c>
      <c r="H36" s="11"/>
      <c r="I36" s="20"/>
      <c r="J36" s="11"/>
      <c r="K36" s="11"/>
      <c r="L36" s="11"/>
    </row>
    <row r="37" spans="1:12" x14ac:dyDescent="0.3">
      <c r="A37" s="31"/>
      <c r="B37" s="32">
        <f>IF(A37="","",DATE(YEAR(A37),MONTH(A37),1))</f>
      </c>
      <c r="C37" s="11"/>
      <c r="D37" s="11"/>
      <c r="E37" s="16">
        <f>IF(OR(D37="",C37&lt;&gt;"Chi"),"",IFERROR(INDEX('Danh mục'!$B$39:$B$78,MATCH(D37,'Danh mục'!$A$39:$A$78,0))&amp;"","?"))</f>
      </c>
      <c r="F37" s="16">
        <f>IF(D37="","",IF(C37="Thu",IFERROR(INDEX('Danh mục'!$B$26:$B$35,MATCH(D37,'Danh mục'!$A$26:$A$35,0))&amp;"","?"),IFERROR(INDEX('Danh mục'!$D$39:$D$78,MATCH(D37,'Danh mục'!$A$39:$A$78,0))&amp;"","?")))</f>
      </c>
      <c r="G37" s="16">
        <f>IF(OR(D37="",C37&lt;&gt;"Chi"),"",IFERROR(INDEX('Danh mục'!$C$39:$C$78,MATCH(D37,'Danh mục'!$A$39:$A$78,0))&amp;"",""))</f>
      </c>
      <c r="H37" s="11"/>
      <c r="I37" s="20"/>
      <c r="J37" s="11"/>
      <c r="K37" s="11"/>
      <c r="L37" s="11"/>
    </row>
    <row r="38" spans="1:12" x14ac:dyDescent="0.3">
      <c r="A38" s="31"/>
      <c r="B38" s="32">
        <f>IF(A38="","",DATE(YEAR(A38),MONTH(A38),1))</f>
      </c>
      <c r="C38" s="11"/>
      <c r="D38" s="11"/>
      <c r="E38" s="16">
        <f>IF(OR(D38="",C38&lt;&gt;"Chi"),"",IFERROR(INDEX('Danh mục'!$B$39:$B$78,MATCH(D38,'Danh mục'!$A$39:$A$78,0))&amp;"","?"))</f>
      </c>
      <c r="F38" s="16">
        <f>IF(D38="","",IF(C38="Thu",IFERROR(INDEX('Danh mục'!$B$26:$B$35,MATCH(D38,'Danh mục'!$A$26:$A$35,0))&amp;"","?"),IFERROR(INDEX('Danh mục'!$D$39:$D$78,MATCH(D38,'Danh mục'!$A$39:$A$78,0))&amp;"","?")))</f>
      </c>
      <c r="G38" s="16">
        <f>IF(OR(D38="",C38&lt;&gt;"Chi"),"",IFERROR(INDEX('Danh mục'!$C$39:$C$78,MATCH(D38,'Danh mục'!$A$39:$A$78,0))&amp;"",""))</f>
      </c>
      <c r="H38" s="11"/>
      <c r="I38" s="20"/>
      <c r="J38" s="11"/>
      <c r="K38" s="11"/>
      <c r="L38" s="11"/>
    </row>
    <row r="39" spans="1:12" x14ac:dyDescent="0.3">
      <c r="A39" s="31"/>
      <c r="B39" s="32">
        <f>IF(A39="","",DATE(YEAR(A39),MONTH(A39),1))</f>
      </c>
      <c r="C39" s="11"/>
      <c r="D39" s="11"/>
      <c r="E39" s="16">
        <f>IF(OR(D39="",C39&lt;&gt;"Chi"),"",IFERROR(INDEX('Danh mục'!$B$39:$B$78,MATCH(D39,'Danh mục'!$A$39:$A$78,0))&amp;"","?"))</f>
      </c>
      <c r="F39" s="16">
        <f>IF(D39="","",IF(C39="Thu",IFERROR(INDEX('Danh mục'!$B$26:$B$35,MATCH(D39,'Danh mục'!$A$26:$A$35,0))&amp;"","?"),IFERROR(INDEX('Danh mục'!$D$39:$D$78,MATCH(D39,'Danh mục'!$A$39:$A$78,0))&amp;"","?")))</f>
      </c>
      <c r="G39" s="16">
        <f>IF(OR(D39="",C39&lt;&gt;"Chi"),"",IFERROR(INDEX('Danh mục'!$C$39:$C$78,MATCH(D39,'Danh mục'!$A$39:$A$78,0))&amp;"",""))</f>
      </c>
      <c r="H39" s="11"/>
      <c r="I39" s="20"/>
      <c r="J39" s="11"/>
      <c r="K39" s="11"/>
      <c r="L39" s="11"/>
    </row>
    <row r="40" spans="1:12" x14ac:dyDescent="0.3">
      <c r="A40" s="31"/>
      <c r="B40" s="32">
        <f>IF(A40="","",DATE(YEAR(A40),MONTH(A40),1))</f>
      </c>
      <c r="C40" s="11"/>
      <c r="D40" s="11"/>
      <c r="E40" s="16">
        <f>IF(OR(D40="",C40&lt;&gt;"Chi"),"",IFERROR(INDEX('Danh mục'!$B$39:$B$78,MATCH(D40,'Danh mục'!$A$39:$A$78,0))&amp;"","?"))</f>
      </c>
      <c r="F40" s="16">
        <f>IF(D40="","",IF(C40="Thu",IFERROR(INDEX('Danh mục'!$B$26:$B$35,MATCH(D40,'Danh mục'!$A$26:$A$35,0))&amp;"","?"),IFERROR(INDEX('Danh mục'!$D$39:$D$78,MATCH(D40,'Danh mục'!$A$39:$A$78,0))&amp;"","?")))</f>
      </c>
      <c r="G40" s="16">
        <f>IF(OR(D40="",C40&lt;&gt;"Chi"),"",IFERROR(INDEX('Danh mục'!$C$39:$C$78,MATCH(D40,'Danh mục'!$A$39:$A$78,0))&amp;"",""))</f>
      </c>
      <c r="H40" s="11"/>
      <c r="I40" s="20"/>
      <c r="J40" s="11"/>
      <c r="K40" s="11"/>
      <c r="L40" s="11"/>
    </row>
    <row r="41" spans="1:12" x14ac:dyDescent="0.3">
      <c r="A41" s="31"/>
      <c r="B41" s="32">
        <f>IF(A41="","",DATE(YEAR(A41),MONTH(A41),1))</f>
      </c>
      <c r="C41" s="11"/>
      <c r="D41" s="11"/>
      <c r="E41" s="16">
        <f>IF(OR(D41="",C41&lt;&gt;"Chi"),"",IFERROR(INDEX('Danh mục'!$B$39:$B$78,MATCH(D41,'Danh mục'!$A$39:$A$78,0))&amp;"","?"))</f>
      </c>
      <c r="F41" s="16">
        <f>IF(D41="","",IF(C41="Thu",IFERROR(INDEX('Danh mục'!$B$26:$B$35,MATCH(D41,'Danh mục'!$A$26:$A$35,0))&amp;"","?"),IFERROR(INDEX('Danh mục'!$D$39:$D$78,MATCH(D41,'Danh mục'!$A$39:$A$78,0))&amp;"","?")))</f>
      </c>
      <c r="G41" s="16">
        <f>IF(OR(D41="",C41&lt;&gt;"Chi"),"",IFERROR(INDEX('Danh mục'!$C$39:$C$78,MATCH(D41,'Danh mục'!$A$39:$A$78,0))&amp;"",""))</f>
      </c>
      <c r="H41" s="11"/>
      <c r="I41" s="20"/>
      <c r="J41" s="11"/>
      <c r="K41" s="11"/>
      <c r="L41" s="11"/>
    </row>
    <row r="42" spans="1:12" x14ac:dyDescent="0.3">
      <c r="A42" s="31"/>
      <c r="B42" s="32">
        <f>IF(A42="","",DATE(YEAR(A42),MONTH(A42),1))</f>
      </c>
      <c r="C42" s="11"/>
      <c r="D42" s="11"/>
      <c r="E42" s="16">
        <f>IF(OR(D42="",C42&lt;&gt;"Chi"),"",IFERROR(INDEX('Danh mục'!$B$39:$B$78,MATCH(D42,'Danh mục'!$A$39:$A$78,0))&amp;"","?"))</f>
      </c>
      <c r="F42" s="16">
        <f>IF(D42="","",IF(C42="Thu",IFERROR(INDEX('Danh mục'!$B$26:$B$35,MATCH(D42,'Danh mục'!$A$26:$A$35,0))&amp;"","?"),IFERROR(INDEX('Danh mục'!$D$39:$D$78,MATCH(D42,'Danh mục'!$A$39:$A$78,0))&amp;"","?")))</f>
      </c>
      <c r="G42" s="16">
        <f>IF(OR(D42="",C42&lt;&gt;"Chi"),"",IFERROR(INDEX('Danh mục'!$C$39:$C$78,MATCH(D42,'Danh mục'!$A$39:$A$78,0))&amp;"",""))</f>
      </c>
      <c r="H42" s="11"/>
      <c r="I42" s="20"/>
      <c r="J42" s="11"/>
      <c r="K42" s="11"/>
      <c r="L42" s="11"/>
    </row>
    <row r="43" spans="1:12" x14ac:dyDescent="0.3">
      <c r="A43" s="31"/>
      <c r="B43" s="32">
        <f>IF(A43="","",DATE(YEAR(A43),MONTH(A43),1))</f>
      </c>
      <c r="C43" s="11"/>
      <c r="D43" s="11"/>
      <c r="E43" s="16">
        <f>IF(OR(D43="",C43&lt;&gt;"Chi"),"",IFERROR(INDEX('Danh mục'!$B$39:$B$78,MATCH(D43,'Danh mục'!$A$39:$A$78,0))&amp;"","?"))</f>
      </c>
      <c r="F43" s="16">
        <f>IF(D43="","",IF(C43="Thu",IFERROR(INDEX('Danh mục'!$B$26:$B$35,MATCH(D43,'Danh mục'!$A$26:$A$35,0))&amp;"","?"),IFERROR(INDEX('Danh mục'!$D$39:$D$78,MATCH(D43,'Danh mục'!$A$39:$A$78,0))&amp;"","?")))</f>
      </c>
      <c r="G43" s="16">
        <f>IF(OR(D43="",C43&lt;&gt;"Chi"),"",IFERROR(INDEX('Danh mục'!$C$39:$C$78,MATCH(D43,'Danh mục'!$A$39:$A$78,0))&amp;"",""))</f>
      </c>
      <c r="H43" s="11"/>
      <c r="I43" s="20"/>
      <c r="J43" s="11"/>
      <c r="K43" s="11"/>
      <c r="L43" s="11"/>
    </row>
    <row r="44" spans="1:12" x14ac:dyDescent="0.3">
      <c r="A44" s="31"/>
      <c r="B44" s="32">
        <f>IF(A44="","",DATE(YEAR(A44),MONTH(A44),1))</f>
      </c>
      <c r="C44" s="11"/>
      <c r="D44" s="11"/>
      <c r="E44" s="16">
        <f>IF(OR(D44="",C44&lt;&gt;"Chi"),"",IFERROR(INDEX('Danh mục'!$B$39:$B$78,MATCH(D44,'Danh mục'!$A$39:$A$78,0))&amp;"","?"))</f>
      </c>
      <c r="F44" s="16">
        <f>IF(D44="","",IF(C44="Thu",IFERROR(INDEX('Danh mục'!$B$26:$B$35,MATCH(D44,'Danh mục'!$A$26:$A$35,0))&amp;"","?"),IFERROR(INDEX('Danh mục'!$D$39:$D$78,MATCH(D44,'Danh mục'!$A$39:$A$78,0))&amp;"","?")))</f>
      </c>
      <c r="G44" s="16">
        <f>IF(OR(D44="",C44&lt;&gt;"Chi"),"",IFERROR(INDEX('Danh mục'!$C$39:$C$78,MATCH(D44,'Danh mục'!$A$39:$A$78,0))&amp;"",""))</f>
      </c>
      <c r="H44" s="11"/>
      <c r="I44" s="20"/>
      <c r="J44" s="11"/>
      <c r="K44" s="11"/>
      <c r="L44" s="11"/>
    </row>
    <row r="45" spans="1:12" x14ac:dyDescent="0.3">
      <c r="A45" s="31"/>
      <c r="B45" s="32">
        <f>IF(A45="","",DATE(YEAR(A45),MONTH(A45),1))</f>
      </c>
      <c r="C45" s="11"/>
      <c r="D45" s="11"/>
      <c r="E45" s="16">
        <f>IF(OR(D45="",C45&lt;&gt;"Chi"),"",IFERROR(INDEX('Danh mục'!$B$39:$B$78,MATCH(D45,'Danh mục'!$A$39:$A$78,0))&amp;"","?"))</f>
      </c>
      <c r="F45" s="16">
        <f>IF(D45="","",IF(C45="Thu",IFERROR(INDEX('Danh mục'!$B$26:$B$35,MATCH(D45,'Danh mục'!$A$26:$A$35,0))&amp;"","?"),IFERROR(INDEX('Danh mục'!$D$39:$D$78,MATCH(D45,'Danh mục'!$A$39:$A$78,0))&amp;"","?")))</f>
      </c>
      <c r="G45" s="16">
        <f>IF(OR(D45="",C45&lt;&gt;"Chi"),"",IFERROR(INDEX('Danh mục'!$C$39:$C$78,MATCH(D45,'Danh mục'!$A$39:$A$78,0))&amp;"",""))</f>
      </c>
      <c r="H45" s="11"/>
      <c r="I45" s="20"/>
      <c r="J45" s="11"/>
      <c r="K45" s="11"/>
      <c r="L45" s="11"/>
    </row>
    <row r="46" spans="1:12" x14ac:dyDescent="0.3">
      <c r="A46" s="31"/>
      <c r="B46" s="32">
        <f>IF(A46="","",DATE(YEAR(A46),MONTH(A46),1))</f>
      </c>
      <c r="C46" s="11"/>
      <c r="D46" s="11"/>
      <c r="E46" s="16">
        <f>IF(OR(D46="",C46&lt;&gt;"Chi"),"",IFERROR(INDEX('Danh mục'!$B$39:$B$78,MATCH(D46,'Danh mục'!$A$39:$A$78,0))&amp;"","?"))</f>
      </c>
      <c r="F46" s="16">
        <f>IF(D46="","",IF(C46="Thu",IFERROR(INDEX('Danh mục'!$B$26:$B$35,MATCH(D46,'Danh mục'!$A$26:$A$35,0))&amp;"","?"),IFERROR(INDEX('Danh mục'!$D$39:$D$78,MATCH(D46,'Danh mục'!$A$39:$A$78,0))&amp;"","?")))</f>
      </c>
      <c r="G46" s="16">
        <f>IF(OR(D46="",C46&lt;&gt;"Chi"),"",IFERROR(INDEX('Danh mục'!$C$39:$C$78,MATCH(D46,'Danh mục'!$A$39:$A$78,0))&amp;"",""))</f>
      </c>
      <c r="H46" s="11"/>
      <c r="I46" s="20"/>
      <c r="J46" s="11"/>
      <c r="K46" s="11"/>
      <c r="L46" s="11"/>
    </row>
    <row r="47" spans="1:12" x14ac:dyDescent="0.3">
      <c r="A47" s="31"/>
      <c r="B47" s="32">
        <f>IF(A47="","",DATE(YEAR(A47),MONTH(A47),1))</f>
      </c>
      <c r="C47" s="11"/>
      <c r="D47" s="11"/>
      <c r="E47" s="16">
        <f>IF(OR(D47="",C47&lt;&gt;"Chi"),"",IFERROR(INDEX('Danh mục'!$B$39:$B$78,MATCH(D47,'Danh mục'!$A$39:$A$78,0))&amp;"","?"))</f>
      </c>
      <c r="F47" s="16">
        <f>IF(D47="","",IF(C47="Thu",IFERROR(INDEX('Danh mục'!$B$26:$B$35,MATCH(D47,'Danh mục'!$A$26:$A$35,0))&amp;"","?"),IFERROR(INDEX('Danh mục'!$D$39:$D$78,MATCH(D47,'Danh mục'!$A$39:$A$78,0))&amp;"","?")))</f>
      </c>
      <c r="G47" s="16">
        <f>IF(OR(D47="",C47&lt;&gt;"Chi"),"",IFERROR(INDEX('Danh mục'!$C$39:$C$78,MATCH(D47,'Danh mục'!$A$39:$A$78,0))&amp;"",""))</f>
      </c>
      <c r="H47" s="11"/>
      <c r="I47" s="20"/>
      <c r="J47" s="11"/>
      <c r="K47" s="11"/>
      <c r="L47" s="11"/>
    </row>
    <row r="48" spans="1:12" x14ac:dyDescent="0.3">
      <c r="A48" s="31"/>
      <c r="B48" s="32">
        <f>IF(A48="","",DATE(YEAR(A48),MONTH(A48),1))</f>
      </c>
      <c r="C48" s="11"/>
      <c r="D48" s="11"/>
      <c r="E48" s="16">
        <f>IF(OR(D48="",C48&lt;&gt;"Chi"),"",IFERROR(INDEX('Danh mục'!$B$39:$B$78,MATCH(D48,'Danh mục'!$A$39:$A$78,0))&amp;"","?"))</f>
      </c>
      <c r="F48" s="16">
        <f>IF(D48="","",IF(C48="Thu",IFERROR(INDEX('Danh mục'!$B$26:$B$35,MATCH(D48,'Danh mục'!$A$26:$A$35,0))&amp;"","?"),IFERROR(INDEX('Danh mục'!$D$39:$D$78,MATCH(D48,'Danh mục'!$A$39:$A$78,0))&amp;"","?")))</f>
      </c>
      <c r="G48" s="16">
        <f>IF(OR(D48="",C48&lt;&gt;"Chi"),"",IFERROR(INDEX('Danh mục'!$C$39:$C$78,MATCH(D48,'Danh mục'!$A$39:$A$78,0))&amp;"",""))</f>
      </c>
      <c r="H48" s="11"/>
      <c r="I48" s="20"/>
      <c r="J48" s="11"/>
      <c r="K48" s="11"/>
      <c r="L48" s="11"/>
    </row>
    <row r="49" spans="1:12" x14ac:dyDescent="0.3">
      <c r="A49" s="31"/>
      <c r="B49" s="32">
        <f>IF(A49="","",DATE(YEAR(A49),MONTH(A49),1))</f>
      </c>
      <c r="C49" s="11"/>
      <c r="D49" s="11"/>
      <c r="E49" s="16">
        <f>IF(OR(D49="",C49&lt;&gt;"Chi"),"",IFERROR(INDEX('Danh mục'!$B$39:$B$78,MATCH(D49,'Danh mục'!$A$39:$A$78,0))&amp;"","?"))</f>
      </c>
      <c r="F49" s="16">
        <f>IF(D49="","",IF(C49="Thu",IFERROR(INDEX('Danh mục'!$B$26:$B$35,MATCH(D49,'Danh mục'!$A$26:$A$35,0))&amp;"","?"),IFERROR(INDEX('Danh mục'!$D$39:$D$78,MATCH(D49,'Danh mục'!$A$39:$A$78,0))&amp;"","?")))</f>
      </c>
      <c r="G49" s="16">
        <f>IF(OR(D49="",C49&lt;&gt;"Chi"),"",IFERROR(INDEX('Danh mục'!$C$39:$C$78,MATCH(D49,'Danh mục'!$A$39:$A$78,0))&amp;"",""))</f>
      </c>
      <c r="H49" s="11"/>
      <c r="I49" s="20"/>
      <c r="J49" s="11"/>
      <c r="K49" s="11"/>
      <c r="L49" s="11"/>
    </row>
    <row r="50" spans="1:12" x14ac:dyDescent="0.3">
      <c r="A50" s="31"/>
      <c r="B50" s="32">
        <f>IF(A50="","",DATE(YEAR(A50),MONTH(A50),1))</f>
      </c>
      <c r="C50" s="11"/>
      <c r="D50" s="11"/>
      <c r="E50" s="16">
        <f>IF(OR(D50="",C50&lt;&gt;"Chi"),"",IFERROR(INDEX('Danh mục'!$B$39:$B$78,MATCH(D50,'Danh mục'!$A$39:$A$78,0))&amp;"","?"))</f>
      </c>
      <c r="F50" s="16">
        <f>IF(D50="","",IF(C50="Thu",IFERROR(INDEX('Danh mục'!$B$26:$B$35,MATCH(D50,'Danh mục'!$A$26:$A$35,0))&amp;"","?"),IFERROR(INDEX('Danh mục'!$D$39:$D$78,MATCH(D50,'Danh mục'!$A$39:$A$78,0))&amp;"","?")))</f>
      </c>
      <c r="G50" s="16">
        <f>IF(OR(D50="",C50&lt;&gt;"Chi"),"",IFERROR(INDEX('Danh mục'!$C$39:$C$78,MATCH(D50,'Danh mục'!$A$39:$A$78,0))&amp;"",""))</f>
      </c>
      <c r="H50" s="11"/>
      <c r="I50" s="20"/>
      <c r="J50" s="11"/>
      <c r="K50" s="11"/>
      <c r="L50" s="11"/>
    </row>
    <row r="51" spans="1:12" x14ac:dyDescent="0.3">
      <c r="A51" s="31"/>
      <c r="B51" s="32">
        <f>IF(A51="","",DATE(YEAR(A51),MONTH(A51),1))</f>
      </c>
      <c r="C51" s="11"/>
      <c r="D51" s="11"/>
      <c r="E51" s="16">
        <f>IF(OR(D51="",C51&lt;&gt;"Chi"),"",IFERROR(INDEX('Danh mục'!$B$39:$B$78,MATCH(D51,'Danh mục'!$A$39:$A$78,0))&amp;"","?"))</f>
      </c>
      <c r="F51" s="16">
        <f>IF(D51="","",IF(C51="Thu",IFERROR(INDEX('Danh mục'!$B$26:$B$35,MATCH(D51,'Danh mục'!$A$26:$A$35,0))&amp;"","?"),IFERROR(INDEX('Danh mục'!$D$39:$D$78,MATCH(D51,'Danh mục'!$A$39:$A$78,0))&amp;"","?")))</f>
      </c>
      <c r="G51" s="16">
        <f>IF(OR(D51="",C51&lt;&gt;"Chi"),"",IFERROR(INDEX('Danh mục'!$C$39:$C$78,MATCH(D51,'Danh mục'!$A$39:$A$78,0))&amp;"",""))</f>
      </c>
      <c r="H51" s="11"/>
      <c r="I51" s="20"/>
      <c r="J51" s="11"/>
      <c r="K51" s="11"/>
      <c r="L51" s="11"/>
    </row>
    <row r="52" spans="1:12" x14ac:dyDescent="0.3">
      <c r="A52" s="31"/>
      <c r="B52" s="32">
        <f>IF(A52="","",DATE(YEAR(A52),MONTH(A52),1))</f>
      </c>
      <c r="C52" s="11"/>
      <c r="D52" s="11"/>
      <c r="E52" s="16">
        <f>IF(OR(D52="",C52&lt;&gt;"Chi"),"",IFERROR(INDEX('Danh mục'!$B$39:$B$78,MATCH(D52,'Danh mục'!$A$39:$A$78,0))&amp;"","?"))</f>
      </c>
      <c r="F52" s="16">
        <f>IF(D52="","",IF(C52="Thu",IFERROR(INDEX('Danh mục'!$B$26:$B$35,MATCH(D52,'Danh mục'!$A$26:$A$35,0))&amp;"","?"),IFERROR(INDEX('Danh mục'!$D$39:$D$78,MATCH(D52,'Danh mục'!$A$39:$A$78,0))&amp;"","?")))</f>
      </c>
      <c r="G52" s="16">
        <f>IF(OR(D52="",C52&lt;&gt;"Chi"),"",IFERROR(INDEX('Danh mục'!$C$39:$C$78,MATCH(D52,'Danh mục'!$A$39:$A$78,0))&amp;"",""))</f>
      </c>
      <c r="H52" s="11"/>
      <c r="I52" s="20"/>
      <c r="J52" s="11"/>
      <c r="K52" s="11"/>
      <c r="L52" s="11"/>
    </row>
    <row r="53" spans="1:12" x14ac:dyDescent="0.3">
      <c r="A53" s="31"/>
      <c r="B53" s="32">
        <f>IF(A53="","",DATE(YEAR(A53),MONTH(A53),1))</f>
      </c>
      <c r="C53" s="11"/>
      <c r="D53" s="11"/>
      <c r="E53" s="16">
        <f>IF(OR(D53="",C53&lt;&gt;"Chi"),"",IFERROR(INDEX('Danh mục'!$B$39:$B$78,MATCH(D53,'Danh mục'!$A$39:$A$78,0))&amp;"","?"))</f>
      </c>
      <c r="F53" s="16">
        <f>IF(D53="","",IF(C53="Thu",IFERROR(INDEX('Danh mục'!$B$26:$B$35,MATCH(D53,'Danh mục'!$A$26:$A$35,0))&amp;"","?"),IFERROR(INDEX('Danh mục'!$D$39:$D$78,MATCH(D53,'Danh mục'!$A$39:$A$78,0))&amp;"","?")))</f>
      </c>
      <c r="G53" s="16">
        <f>IF(OR(D53="",C53&lt;&gt;"Chi"),"",IFERROR(INDEX('Danh mục'!$C$39:$C$78,MATCH(D53,'Danh mục'!$A$39:$A$78,0))&amp;"",""))</f>
      </c>
      <c r="H53" s="11"/>
      <c r="I53" s="20"/>
      <c r="J53" s="11"/>
      <c r="K53" s="11"/>
      <c r="L53" s="11"/>
    </row>
    <row r="54" spans="1:12" x14ac:dyDescent="0.3">
      <c r="A54" s="31"/>
      <c r="B54" s="32">
        <f>IF(A54="","",DATE(YEAR(A54),MONTH(A54),1))</f>
      </c>
      <c r="C54" s="11"/>
      <c r="D54" s="11"/>
      <c r="E54" s="16">
        <f>IF(OR(D54="",C54&lt;&gt;"Chi"),"",IFERROR(INDEX('Danh mục'!$B$39:$B$78,MATCH(D54,'Danh mục'!$A$39:$A$78,0))&amp;"","?"))</f>
      </c>
      <c r="F54" s="16">
        <f>IF(D54="","",IF(C54="Thu",IFERROR(INDEX('Danh mục'!$B$26:$B$35,MATCH(D54,'Danh mục'!$A$26:$A$35,0))&amp;"","?"),IFERROR(INDEX('Danh mục'!$D$39:$D$78,MATCH(D54,'Danh mục'!$A$39:$A$78,0))&amp;"","?")))</f>
      </c>
      <c r="G54" s="16">
        <f>IF(OR(D54="",C54&lt;&gt;"Chi"),"",IFERROR(INDEX('Danh mục'!$C$39:$C$78,MATCH(D54,'Danh mục'!$A$39:$A$78,0))&amp;"",""))</f>
      </c>
      <c r="H54" s="11"/>
      <c r="I54" s="20"/>
      <c r="J54" s="11"/>
      <c r="K54" s="11"/>
      <c r="L54" s="11"/>
    </row>
    <row r="55" spans="1:12" x14ac:dyDescent="0.3">
      <c r="A55" s="31"/>
      <c r="B55" s="32">
        <f>IF(A55="","",DATE(YEAR(A55),MONTH(A55),1))</f>
      </c>
      <c r="C55" s="11"/>
      <c r="D55" s="11"/>
      <c r="E55" s="16">
        <f>IF(OR(D55="",C55&lt;&gt;"Chi"),"",IFERROR(INDEX('Danh mục'!$B$39:$B$78,MATCH(D55,'Danh mục'!$A$39:$A$78,0))&amp;"","?"))</f>
      </c>
      <c r="F55" s="16">
        <f>IF(D55="","",IF(C55="Thu",IFERROR(INDEX('Danh mục'!$B$26:$B$35,MATCH(D55,'Danh mục'!$A$26:$A$35,0))&amp;"","?"),IFERROR(INDEX('Danh mục'!$D$39:$D$78,MATCH(D55,'Danh mục'!$A$39:$A$78,0))&amp;"","?")))</f>
      </c>
      <c r="G55" s="16">
        <f>IF(OR(D55="",C55&lt;&gt;"Chi"),"",IFERROR(INDEX('Danh mục'!$C$39:$C$78,MATCH(D55,'Danh mục'!$A$39:$A$78,0))&amp;"",""))</f>
      </c>
      <c r="H55" s="11"/>
      <c r="I55" s="20"/>
      <c r="J55" s="11"/>
      <c r="K55" s="11"/>
      <c r="L55" s="11"/>
    </row>
    <row r="56" spans="1:12" x14ac:dyDescent="0.3">
      <c r="A56" s="31"/>
      <c r="B56" s="32">
        <f>IF(A56="","",DATE(YEAR(A56),MONTH(A56),1))</f>
      </c>
      <c r="C56" s="11"/>
      <c r="D56" s="11"/>
      <c r="E56" s="16">
        <f>IF(OR(D56="",C56&lt;&gt;"Chi"),"",IFERROR(INDEX('Danh mục'!$B$39:$B$78,MATCH(D56,'Danh mục'!$A$39:$A$78,0))&amp;"","?"))</f>
      </c>
      <c r="F56" s="16">
        <f>IF(D56="","",IF(C56="Thu",IFERROR(INDEX('Danh mục'!$B$26:$B$35,MATCH(D56,'Danh mục'!$A$26:$A$35,0))&amp;"","?"),IFERROR(INDEX('Danh mục'!$D$39:$D$78,MATCH(D56,'Danh mục'!$A$39:$A$78,0))&amp;"","?")))</f>
      </c>
      <c r="G56" s="16">
        <f>IF(OR(D56="",C56&lt;&gt;"Chi"),"",IFERROR(INDEX('Danh mục'!$C$39:$C$78,MATCH(D56,'Danh mục'!$A$39:$A$78,0))&amp;"",""))</f>
      </c>
      <c r="H56" s="11"/>
      <c r="I56" s="20"/>
      <c r="J56" s="11"/>
      <c r="K56" s="11"/>
      <c r="L56" s="11"/>
    </row>
    <row r="57" spans="1:12" x14ac:dyDescent="0.3">
      <c r="A57" s="31"/>
      <c r="B57" s="32">
        <f>IF(A57="","",DATE(YEAR(A57),MONTH(A57),1))</f>
      </c>
      <c r="C57" s="11"/>
      <c r="D57" s="11"/>
      <c r="E57" s="16">
        <f>IF(OR(D57="",C57&lt;&gt;"Chi"),"",IFERROR(INDEX('Danh mục'!$B$39:$B$78,MATCH(D57,'Danh mục'!$A$39:$A$78,0))&amp;"","?"))</f>
      </c>
      <c r="F57" s="16">
        <f>IF(D57="","",IF(C57="Thu",IFERROR(INDEX('Danh mục'!$B$26:$B$35,MATCH(D57,'Danh mục'!$A$26:$A$35,0))&amp;"","?"),IFERROR(INDEX('Danh mục'!$D$39:$D$78,MATCH(D57,'Danh mục'!$A$39:$A$78,0))&amp;"","?")))</f>
      </c>
      <c r="G57" s="16">
        <f>IF(OR(D57="",C57&lt;&gt;"Chi"),"",IFERROR(INDEX('Danh mục'!$C$39:$C$78,MATCH(D57,'Danh mục'!$A$39:$A$78,0))&amp;"",""))</f>
      </c>
      <c r="H57" s="11"/>
      <c r="I57" s="20"/>
      <c r="J57" s="11"/>
      <c r="K57" s="11"/>
      <c r="L57" s="11"/>
    </row>
    <row r="58" spans="1:12" x14ac:dyDescent="0.3">
      <c r="A58" s="31"/>
      <c r="B58" s="32">
        <f>IF(A58="","",DATE(YEAR(A58),MONTH(A58),1))</f>
      </c>
      <c r="C58" s="11"/>
      <c r="D58" s="11"/>
      <c r="E58" s="16">
        <f>IF(OR(D58="",C58&lt;&gt;"Chi"),"",IFERROR(INDEX('Danh mục'!$B$39:$B$78,MATCH(D58,'Danh mục'!$A$39:$A$78,0))&amp;"","?"))</f>
      </c>
      <c r="F58" s="16">
        <f>IF(D58="","",IF(C58="Thu",IFERROR(INDEX('Danh mục'!$B$26:$B$35,MATCH(D58,'Danh mục'!$A$26:$A$35,0))&amp;"","?"),IFERROR(INDEX('Danh mục'!$D$39:$D$78,MATCH(D58,'Danh mục'!$A$39:$A$78,0))&amp;"","?")))</f>
      </c>
      <c r="G58" s="16">
        <f>IF(OR(D58="",C58&lt;&gt;"Chi"),"",IFERROR(INDEX('Danh mục'!$C$39:$C$78,MATCH(D58,'Danh mục'!$A$39:$A$78,0))&amp;"",""))</f>
      </c>
      <c r="H58" s="11"/>
      <c r="I58" s="20"/>
      <c r="J58" s="11"/>
      <c r="K58" s="11"/>
      <c r="L58" s="11"/>
    </row>
    <row r="59" spans="1:12" x14ac:dyDescent="0.3">
      <c r="A59" s="31"/>
      <c r="B59" s="32">
        <f>IF(A59="","",DATE(YEAR(A59),MONTH(A59),1))</f>
      </c>
      <c r="C59" s="11"/>
      <c r="D59" s="11"/>
      <c r="E59" s="16">
        <f>IF(OR(D59="",C59&lt;&gt;"Chi"),"",IFERROR(INDEX('Danh mục'!$B$39:$B$78,MATCH(D59,'Danh mục'!$A$39:$A$78,0))&amp;"","?"))</f>
      </c>
      <c r="F59" s="16">
        <f>IF(D59="","",IF(C59="Thu",IFERROR(INDEX('Danh mục'!$B$26:$B$35,MATCH(D59,'Danh mục'!$A$26:$A$35,0))&amp;"","?"),IFERROR(INDEX('Danh mục'!$D$39:$D$78,MATCH(D59,'Danh mục'!$A$39:$A$78,0))&amp;"","?")))</f>
      </c>
      <c r="G59" s="16">
        <f>IF(OR(D59="",C59&lt;&gt;"Chi"),"",IFERROR(INDEX('Danh mục'!$C$39:$C$78,MATCH(D59,'Danh mục'!$A$39:$A$78,0))&amp;"",""))</f>
      </c>
      <c r="H59" s="11"/>
      <c r="I59" s="20"/>
      <c r="J59" s="11"/>
      <c r="K59" s="11"/>
      <c r="L59" s="11"/>
    </row>
    <row r="60" spans="1:12" x14ac:dyDescent="0.3">
      <c r="A60" s="31"/>
      <c r="B60" s="32">
        <f>IF(A60="","",DATE(YEAR(A60),MONTH(A60),1))</f>
      </c>
      <c r="C60" s="11"/>
      <c r="D60" s="11"/>
      <c r="E60" s="16">
        <f>IF(OR(D60="",C60&lt;&gt;"Chi"),"",IFERROR(INDEX('Danh mục'!$B$39:$B$78,MATCH(D60,'Danh mục'!$A$39:$A$78,0))&amp;"","?"))</f>
      </c>
      <c r="F60" s="16">
        <f>IF(D60="","",IF(C60="Thu",IFERROR(INDEX('Danh mục'!$B$26:$B$35,MATCH(D60,'Danh mục'!$A$26:$A$35,0))&amp;"","?"),IFERROR(INDEX('Danh mục'!$D$39:$D$78,MATCH(D60,'Danh mục'!$A$39:$A$78,0))&amp;"","?")))</f>
      </c>
      <c r="G60" s="16">
        <f>IF(OR(D60="",C60&lt;&gt;"Chi"),"",IFERROR(INDEX('Danh mục'!$C$39:$C$78,MATCH(D60,'Danh mục'!$A$39:$A$78,0))&amp;"",""))</f>
      </c>
      <c r="H60" s="11"/>
      <c r="I60" s="20"/>
      <c r="J60" s="11"/>
      <c r="K60" s="11"/>
      <c r="L60" s="11"/>
    </row>
    <row r="61" spans="1:12" x14ac:dyDescent="0.3">
      <c r="A61" s="31"/>
      <c r="B61" s="32">
        <f>IF(A61="","",DATE(YEAR(A61),MONTH(A61),1))</f>
      </c>
      <c r="C61" s="11"/>
      <c r="D61" s="11"/>
      <c r="E61" s="16">
        <f>IF(OR(D61="",C61&lt;&gt;"Chi"),"",IFERROR(INDEX('Danh mục'!$B$39:$B$78,MATCH(D61,'Danh mục'!$A$39:$A$78,0))&amp;"","?"))</f>
      </c>
      <c r="F61" s="16">
        <f>IF(D61="","",IF(C61="Thu",IFERROR(INDEX('Danh mục'!$B$26:$B$35,MATCH(D61,'Danh mục'!$A$26:$A$35,0))&amp;"","?"),IFERROR(INDEX('Danh mục'!$D$39:$D$78,MATCH(D61,'Danh mục'!$A$39:$A$78,0))&amp;"","?")))</f>
      </c>
      <c r="G61" s="16">
        <f>IF(OR(D61="",C61&lt;&gt;"Chi"),"",IFERROR(INDEX('Danh mục'!$C$39:$C$78,MATCH(D61,'Danh mục'!$A$39:$A$78,0))&amp;"",""))</f>
      </c>
      <c r="H61" s="11"/>
      <c r="I61" s="20"/>
      <c r="J61" s="11"/>
      <c r="K61" s="11"/>
      <c r="L61" s="11"/>
    </row>
    <row r="62" spans="1:12" x14ac:dyDescent="0.3">
      <c r="A62" s="31"/>
      <c r="B62" s="32">
        <f>IF(A62="","",DATE(YEAR(A62),MONTH(A62),1))</f>
      </c>
      <c r="C62" s="11"/>
      <c r="D62" s="11"/>
      <c r="E62" s="16">
        <f>IF(OR(D62="",C62&lt;&gt;"Chi"),"",IFERROR(INDEX('Danh mục'!$B$39:$B$78,MATCH(D62,'Danh mục'!$A$39:$A$78,0))&amp;"","?"))</f>
      </c>
      <c r="F62" s="16">
        <f>IF(D62="","",IF(C62="Thu",IFERROR(INDEX('Danh mục'!$B$26:$B$35,MATCH(D62,'Danh mục'!$A$26:$A$35,0))&amp;"","?"),IFERROR(INDEX('Danh mục'!$D$39:$D$78,MATCH(D62,'Danh mục'!$A$39:$A$78,0))&amp;"","?")))</f>
      </c>
      <c r="G62" s="16">
        <f>IF(OR(D62="",C62&lt;&gt;"Chi"),"",IFERROR(INDEX('Danh mục'!$C$39:$C$78,MATCH(D62,'Danh mục'!$A$39:$A$78,0))&amp;"",""))</f>
      </c>
      <c r="H62" s="11"/>
      <c r="I62" s="20"/>
      <c r="J62" s="11"/>
      <c r="K62" s="11"/>
      <c r="L62" s="11"/>
    </row>
    <row r="63" spans="1:12" x14ac:dyDescent="0.3">
      <c r="A63" s="31"/>
      <c r="B63" s="32">
        <f>IF(A63="","",DATE(YEAR(A63),MONTH(A63),1))</f>
      </c>
      <c r="C63" s="11"/>
      <c r="D63" s="11"/>
      <c r="E63" s="16">
        <f>IF(OR(D63="",C63&lt;&gt;"Chi"),"",IFERROR(INDEX('Danh mục'!$B$39:$B$78,MATCH(D63,'Danh mục'!$A$39:$A$78,0))&amp;"","?"))</f>
      </c>
      <c r="F63" s="16">
        <f>IF(D63="","",IF(C63="Thu",IFERROR(INDEX('Danh mục'!$B$26:$B$35,MATCH(D63,'Danh mục'!$A$26:$A$35,0))&amp;"","?"),IFERROR(INDEX('Danh mục'!$D$39:$D$78,MATCH(D63,'Danh mục'!$A$39:$A$78,0))&amp;"","?")))</f>
      </c>
      <c r="G63" s="16">
        <f>IF(OR(D63="",C63&lt;&gt;"Chi"),"",IFERROR(INDEX('Danh mục'!$C$39:$C$78,MATCH(D63,'Danh mục'!$A$39:$A$78,0))&amp;"",""))</f>
      </c>
      <c r="H63" s="11"/>
      <c r="I63" s="20"/>
      <c r="J63" s="11"/>
      <c r="K63" s="11"/>
      <c r="L63" s="11"/>
    </row>
    <row r="64" spans="1:12" x14ac:dyDescent="0.3">
      <c r="A64" s="31"/>
      <c r="B64" s="32">
        <f>IF(A64="","",DATE(YEAR(A64),MONTH(A64),1))</f>
      </c>
      <c r="C64" s="11"/>
      <c r="D64" s="11"/>
      <c r="E64" s="16">
        <f>IF(OR(D64="",C64&lt;&gt;"Chi"),"",IFERROR(INDEX('Danh mục'!$B$39:$B$78,MATCH(D64,'Danh mục'!$A$39:$A$78,0))&amp;"","?"))</f>
      </c>
      <c r="F64" s="16">
        <f>IF(D64="","",IF(C64="Thu",IFERROR(INDEX('Danh mục'!$B$26:$B$35,MATCH(D64,'Danh mục'!$A$26:$A$35,0))&amp;"","?"),IFERROR(INDEX('Danh mục'!$D$39:$D$78,MATCH(D64,'Danh mục'!$A$39:$A$78,0))&amp;"","?")))</f>
      </c>
      <c r="G64" s="16">
        <f>IF(OR(D64="",C64&lt;&gt;"Chi"),"",IFERROR(INDEX('Danh mục'!$C$39:$C$78,MATCH(D64,'Danh mục'!$A$39:$A$78,0))&amp;"",""))</f>
      </c>
      <c r="H64" s="11"/>
      <c r="I64" s="20"/>
      <c r="J64" s="11"/>
      <c r="K64" s="11"/>
      <c r="L64" s="11"/>
    </row>
    <row r="65" spans="1:12" x14ac:dyDescent="0.3">
      <c r="A65" s="31"/>
      <c r="B65" s="32">
        <f>IF(A65="","",DATE(YEAR(A65),MONTH(A65),1))</f>
      </c>
      <c r="C65" s="11"/>
      <c r="D65" s="11"/>
      <c r="E65" s="16">
        <f>IF(OR(D65="",C65&lt;&gt;"Chi"),"",IFERROR(INDEX('Danh mục'!$B$39:$B$78,MATCH(D65,'Danh mục'!$A$39:$A$78,0))&amp;"","?"))</f>
      </c>
      <c r="F65" s="16">
        <f>IF(D65="","",IF(C65="Thu",IFERROR(INDEX('Danh mục'!$B$26:$B$35,MATCH(D65,'Danh mục'!$A$26:$A$35,0))&amp;"","?"),IFERROR(INDEX('Danh mục'!$D$39:$D$78,MATCH(D65,'Danh mục'!$A$39:$A$78,0))&amp;"","?")))</f>
      </c>
      <c r="G65" s="16">
        <f>IF(OR(D65="",C65&lt;&gt;"Chi"),"",IFERROR(INDEX('Danh mục'!$C$39:$C$78,MATCH(D65,'Danh mục'!$A$39:$A$78,0))&amp;"",""))</f>
      </c>
      <c r="H65" s="11"/>
      <c r="I65" s="20"/>
      <c r="J65" s="11"/>
      <c r="K65" s="11"/>
      <c r="L65" s="11"/>
    </row>
    <row r="66" spans="1:12" x14ac:dyDescent="0.3">
      <c r="A66" s="31"/>
      <c r="B66" s="32">
        <f>IF(A66="","",DATE(YEAR(A66),MONTH(A66),1))</f>
      </c>
      <c r="C66" s="11"/>
      <c r="D66" s="11"/>
      <c r="E66" s="16">
        <f>IF(OR(D66="",C66&lt;&gt;"Chi"),"",IFERROR(INDEX('Danh mục'!$B$39:$B$78,MATCH(D66,'Danh mục'!$A$39:$A$78,0))&amp;"","?"))</f>
      </c>
      <c r="F66" s="16">
        <f>IF(D66="","",IF(C66="Thu",IFERROR(INDEX('Danh mục'!$B$26:$B$35,MATCH(D66,'Danh mục'!$A$26:$A$35,0))&amp;"","?"),IFERROR(INDEX('Danh mục'!$D$39:$D$78,MATCH(D66,'Danh mục'!$A$39:$A$78,0))&amp;"","?")))</f>
      </c>
      <c r="G66" s="16">
        <f>IF(OR(D66="",C66&lt;&gt;"Chi"),"",IFERROR(INDEX('Danh mục'!$C$39:$C$78,MATCH(D66,'Danh mục'!$A$39:$A$78,0))&amp;"",""))</f>
      </c>
      <c r="H66" s="11"/>
      <c r="I66" s="20"/>
      <c r="J66" s="11"/>
      <c r="K66" s="11"/>
      <c r="L66" s="11"/>
    </row>
    <row r="67" spans="1:12" x14ac:dyDescent="0.3">
      <c r="A67" s="31"/>
      <c r="B67" s="32">
        <f>IF(A67="","",DATE(YEAR(A67),MONTH(A67),1))</f>
      </c>
      <c r="C67" s="11"/>
      <c r="D67" s="11"/>
      <c r="E67" s="16">
        <f>IF(OR(D67="",C67&lt;&gt;"Chi"),"",IFERROR(INDEX('Danh mục'!$B$39:$B$78,MATCH(D67,'Danh mục'!$A$39:$A$78,0))&amp;"","?"))</f>
      </c>
      <c r="F67" s="16">
        <f>IF(D67="","",IF(C67="Thu",IFERROR(INDEX('Danh mục'!$B$26:$B$35,MATCH(D67,'Danh mục'!$A$26:$A$35,0))&amp;"","?"),IFERROR(INDEX('Danh mục'!$D$39:$D$78,MATCH(D67,'Danh mục'!$A$39:$A$78,0))&amp;"","?")))</f>
      </c>
      <c r="G67" s="16">
        <f>IF(OR(D67="",C67&lt;&gt;"Chi"),"",IFERROR(INDEX('Danh mục'!$C$39:$C$78,MATCH(D67,'Danh mục'!$A$39:$A$78,0))&amp;"",""))</f>
      </c>
      <c r="H67" s="11"/>
      <c r="I67" s="20"/>
      <c r="J67" s="11"/>
      <c r="K67" s="11"/>
      <c r="L67" s="11"/>
    </row>
    <row r="68" spans="1:12" x14ac:dyDescent="0.3">
      <c r="A68" s="31"/>
      <c r="B68" s="32">
        <f>IF(A68="","",DATE(YEAR(A68),MONTH(A68),1))</f>
      </c>
      <c r="C68" s="11"/>
      <c r="D68" s="11"/>
      <c r="E68" s="16">
        <f>IF(OR(D68="",C68&lt;&gt;"Chi"),"",IFERROR(INDEX('Danh mục'!$B$39:$B$78,MATCH(D68,'Danh mục'!$A$39:$A$78,0))&amp;"","?"))</f>
      </c>
      <c r="F68" s="16">
        <f>IF(D68="","",IF(C68="Thu",IFERROR(INDEX('Danh mục'!$B$26:$B$35,MATCH(D68,'Danh mục'!$A$26:$A$35,0))&amp;"","?"),IFERROR(INDEX('Danh mục'!$D$39:$D$78,MATCH(D68,'Danh mục'!$A$39:$A$78,0))&amp;"","?")))</f>
      </c>
      <c r="G68" s="16">
        <f>IF(OR(D68="",C68&lt;&gt;"Chi"),"",IFERROR(INDEX('Danh mục'!$C$39:$C$78,MATCH(D68,'Danh mục'!$A$39:$A$78,0))&amp;"",""))</f>
      </c>
      <c r="H68" s="11"/>
      <c r="I68" s="20"/>
      <c r="J68" s="11"/>
      <c r="K68" s="11"/>
      <c r="L68" s="11"/>
    </row>
    <row r="69" spans="1:12" x14ac:dyDescent="0.3">
      <c r="A69" s="31"/>
      <c r="B69" s="32">
        <f>IF(A69="","",DATE(YEAR(A69),MONTH(A69),1))</f>
      </c>
      <c r="C69" s="11"/>
      <c r="D69" s="11"/>
      <c r="E69" s="16">
        <f>IF(OR(D69="",C69&lt;&gt;"Chi"),"",IFERROR(INDEX('Danh mục'!$B$39:$B$78,MATCH(D69,'Danh mục'!$A$39:$A$78,0))&amp;"","?"))</f>
      </c>
      <c r="F69" s="16">
        <f>IF(D69="","",IF(C69="Thu",IFERROR(INDEX('Danh mục'!$B$26:$B$35,MATCH(D69,'Danh mục'!$A$26:$A$35,0))&amp;"","?"),IFERROR(INDEX('Danh mục'!$D$39:$D$78,MATCH(D69,'Danh mục'!$A$39:$A$78,0))&amp;"","?")))</f>
      </c>
      <c r="G69" s="16">
        <f>IF(OR(D69="",C69&lt;&gt;"Chi"),"",IFERROR(INDEX('Danh mục'!$C$39:$C$78,MATCH(D69,'Danh mục'!$A$39:$A$78,0))&amp;"",""))</f>
      </c>
      <c r="H69" s="11"/>
      <c r="I69" s="20"/>
      <c r="J69" s="11"/>
      <c r="K69" s="11"/>
      <c r="L69" s="11"/>
    </row>
    <row r="70" spans="1:12" x14ac:dyDescent="0.3">
      <c r="A70" s="31"/>
      <c r="B70" s="32">
        <f>IF(A70="","",DATE(YEAR(A70),MONTH(A70),1))</f>
      </c>
      <c r="C70" s="11"/>
      <c r="D70" s="11"/>
      <c r="E70" s="16">
        <f>IF(OR(D70="",C70&lt;&gt;"Chi"),"",IFERROR(INDEX('Danh mục'!$B$39:$B$78,MATCH(D70,'Danh mục'!$A$39:$A$78,0))&amp;"","?"))</f>
      </c>
      <c r="F70" s="16">
        <f>IF(D70="","",IF(C70="Thu",IFERROR(INDEX('Danh mục'!$B$26:$B$35,MATCH(D70,'Danh mục'!$A$26:$A$35,0))&amp;"","?"),IFERROR(INDEX('Danh mục'!$D$39:$D$78,MATCH(D70,'Danh mục'!$A$39:$A$78,0))&amp;"","?")))</f>
      </c>
      <c r="G70" s="16">
        <f>IF(OR(D70="",C70&lt;&gt;"Chi"),"",IFERROR(INDEX('Danh mục'!$C$39:$C$78,MATCH(D70,'Danh mục'!$A$39:$A$78,0))&amp;"",""))</f>
      </c>
      <c r="H70" s="11"/>
      <c r="I70" s="20"/>
      <c r="J70" s="11"/>
      <c r="K70" s="11"/>
      <c r="L70" s="11"/>
    </row>
    <row r="71" spans="1:12" x14ac:dyDescent="0.3">
      <c r="A71" s="31"/>
      <c r="B71" s="32">
        <f>IF(A71="","",DATE(YEAR(A71),MONTH(A71),1))</f>
      </c>
      <c r="C71" s="11"/>
      <c r="D71" s="11"/>
      <c r="E71" s="16">
        <f>IF(OR(D71="",C71&lt;&gt;"Chi"),"",IFERROR(INDEX('Danh mục'!$B$39:$B$78,MATCH(D71,'Danh mục'!$A$39:$A$78,0))&amp;"","?"))</f>
      </c>
      <c r="F71" s="16">
        <f>IF(D71="","",IF(C71="Thu",IFERROR(INDEX('Danh mục'!$B$26:$B$35,MATCH(D71,'Danh mục'!$A$26:$A$35,0))&amp;"","?"),IFERROR(INDEX('Danh mục'!$D$39:$D$78,MATCH(D71,'Danh mục'!$A$39:$A$78,0))&amp;"","?")))</f>
      </c>
      <c r="G71" s="16">
        <f>IF(OR(D71="",C71&lt;&gt;"Chi"),"",IFERROR(INDEX('Danh mục'!$C$39:$C$78,MATCH(D71,'Danh mục'!$A$39:$A$78,0))&amp;"",""))</f>
      </c>
      <c r="H71" s="11"/>
      <c r="I71" s="20"/>
      <c r="J71" s="11"/>
      <c r="K71" s="11"/>
      <c r="L71" s="11"/>
    </row>
    <row r="72" spans="1:12" x14ac:dyDescent="0.3">
      <c r="A72" s="31"/>
      <c r="B72" s="32">
        <f>IF(A72="","",DATE(YEAR(A72),MONTH(A72),1))</f>
      </c>
      <c r="C72" s="11"/>
      <c r="D72" s="11"/>
      <c r="E72" s="16">
        <f>IF(OR(D72="",C72&lt;&gt;"Chi"),"",IFERROR(INDEX('Danh mục'!$B$39:$B$78,MATCH(D72,'Danh mục'!$A$39:$A$78,0))&amp;"","?"))</f>
      </c>
      <c r="F72" s="16">
        <f>IF(D72="","",IF(C72="Thu",IFERROR(INDEX('Danh mục'!$B$26:$B$35,MATCH(D72,'Danh mục'!$A$26:$A$35,0))&amp;"","?"),IFERROR(INDEX('Danh mục'!$D$39:$D$78,MATCH(D72,'Danh mục'!$A$39:$A$78,0))&amp;"","?")))</f>
      </c>
      <c r="G72" s="16">
        <f>IF(OR(D72="",C72&lt;&gt;"Chi"),"",IFERROR(INDEX('Danh mục'!$C$39:$C$78,MATCH(D72,'Danh mục'!$A$39:$A$78,0))&amp;"",""))</f>
      </c>
      <c r="H72" s="11"/>
      <c r="I72" s="20"/>
      <c r="J72" s="11"/>
      <c r="K72" s="11"/>
      <c r="L72" s="11"/>
    </row>
    <row r="73" spans="1:12" x14ac:dyDescent="0.3">
      <c r="A73" s="31"/>
      <c r="B73" s="32">
        <f>IF(A73="","",DATE(YEAR(A73),MONTH(A73),1))</f>
      </c>
      <c r="C73" s="11"/>
      <c r="D73" s="11"/>
      <c r="E73" s="16">
        <f>IF(OR(D73="",C73&lt;&gt;"Chi"),"",IFERROR(INDEX('Danh mục'!$B$39:$B$78,MATCH(D73,'Danh mục'!$A$39:$A$78,0))&amp;"","?"))</f>
      </c>
      <c r="F73" s="16">
        <f>IF(D73="","",IF(C73="Thu",IFERROR(INDEX('Danh mục'!$B$26:$B$35,MATCH(D73,'Danh mục'!$A$26:$A$35,0))&amp;"","?"),IFERROR(INDEX('Danh mục'!$D$39:$D$78,MATCH(D73,'Danh mục'!$A$39:$A$78,0))&amp;"","?")))</f>
      </c>
      <c r="G73" s="16">
        <f>IF(OR(D73="",C73&lt;&gt;"Chi"),"",IFERROR(INDEX('Danh mục'!$C$39:$C$78,MATCH(D73,'Danh mục'!$A$39:$A$78,0))&amp;"",""))</f>
      </c>
      <c r="H73" s="11"/>
      <c r="I73" s="20"/>
      <c r="J73" s="11"/>
      <c r="K73" s="11"/>
      <c r="L73" s="11"/>
    </row>
    <row r="74" spans="1:12" x14ac:dyDescent="0.3">
      <c r="A74" s="31"/>
      <c r="B74" s="32">
        <f>IF(A74="","",DATE(YEAR(A74),MONTH(A74),1))</f>
      </c>
      <c r="C74" s="11"/>
      <c r="D74" s="11"/>
      <c r="E74" s="16">
        <f>IF(OR(D74="",C74&lt;&gt;"Chi"),"",IFERROR(INDEX('Danh mục'!$B$39:$B$78,MATCH(D74,'Danh mục'!$A$39:$A$78,0))&amp;"","?"))</f>
      </c>
      <c r="F74" s="16">
        <f>IF(D74="","",IF(C74="Thu",IFERROR(INDEX('Danh mục'!$B$26:$B$35,MATCH(D74,'Danh mục'!$A$26:$A$35,0))&amp;"","?"),IFERROR(INDEX('Danh mục'!$D$39:$D$78,MATCH(D74,'Danh mục'!$A$39:$A$78,0))&amp;"","?")))</f>
      </c>
      <c r="G74" s="16">
        <f>IF(OR(D74="",C74&lt;&gt;"Chi"),"",IFERROR(INDEX('Danh mục'!$C$39:$C$78,MATCH(D74,'Danh mục'!$A$39:$A$78,0))&amp;"",""))</f>
      </c>
      <c r="H74" s="11"/>
      <c r="I74" s="20"/>
      <c r="J74" s="11"/>
      <c r="K74" s="11"/>
      <c r="L74" s="11"/>
    </row>
    <row r="75" spans="1:12" x14ac:dyDescent="0.3">
      <c r="A75" s="31"/>
      <c r="B75" s="32">
        <f>IF(A75="","",DATE(YEAR(A75),MONTH(A75),1))</f>
      </c>
      <c r="C75" s="11"/>
      <c r="D75" s="11"/>
      <c r="E75" s="16">
        <f>IF(OR(D75="",C75&lt;&gt;"Chi"),"",IFERROR(INDEX('Danh mục'!$B$39:$B$78,MATCH(D75,'Danh mục'!$A$39:$A$78,0))&amp;"","?"))</f>
      </c>
      <c r="F75" s="16">
        <f>IF(D75="","",IF(C75="Thu",IFERROR(INDEX('Danh mục'!$B$26:$B$35,MATCH(D75,'Danh mục'!$A$26:$A$35,0))&amp;"","?"),IFERROR(INDEX('Danh mục'!$D$39:$D$78,MATCH(D75,'Danh mục'!$A$39:$A$78,0))&amp;"","?")))</f>
      </c>
      <c r="G75" s="16">
        <f>IF(OR(D75="",C75&lt;&gt;"Chi"),"",IFERROR(INDEX('Danh mục'!$C$39:$C$78,MATCH(D75,'Danh mục'!$A$39:$A$78,0))&amp;"",""))</f>
      </c>
      <c r="H75" s="11"/>
      <c r="I75" s="20"/>
      <c r="J75" s="11"/>
      <c r="K75" s="11"/>
      <c r="L75" s="11"/>
    </row>
    <row r="76" spans="1:12" x14ac:dyDescent="0.3">
      <c r="A76" s="31"/>
      <c r="B76" s="32">
        <f>IF(A76="","",DATE(YEAR(A76),MONTH(A76),1))</f>
      </c>
      <c r="C76" s="11"/>
      <c r="D76" s="11"/>
      <c r="E76" s="16">
        <f>IF(OR(D76="",C76&lt;&gt;"Chi"),"",IFERROR(INDEX('Danh mục'!$B$39:$B$78,MATCH(D76,'Danh mục'!$A$39:$A$78,0))&amp;"","?"))</f>
      </c>
      <c r="F76" s="16">
        <f>IF(D76="","",IF(C76="Thu",IFERROR(INDEX('Danh mục'!$B$26:$B$35,MATCH(D76,'Danh mục'!$A$26:$A$35,0))&amp;"","?"),IFERROR(INDEX('Danh mục'!$D$39:$D$78,MATCH(D76,'Danh mục'!$A$39:$A$78,0))&amp;"","?")))</f>
      </c>
      <c r="G76" s="16">
        <f>IF(OR(D76="",C76&lt;&gt;"Chi"),"",IFERROR(INDEX('Danh mục'!$C$39:$C$78,MATCH(D76,'Danh mục'!$A$39:$A$78,0))&amp;"",""))</f>
      </c>
      <c r="H76" s="11"/>
      <c r="I76" s="20"/>
      <c r="J76" s="11"/>
      <c r="K76" s="11"/>
      <c r="L76" s="11"/>
    </row>
    <row r="77" spans="1:12" x14ac:dyDescent="0.3">
      <c r="A77" s="31"/>
      <c r="B77" s="32">
        <f>IF(A77="","",DATE(YEAR(A77),MONTH(A77),1))</f>
      </c>
      <c r="C77" s="11"/>
      <c r="D77" s="11"/>
      <c r="E77" s="16">
        <f>IF(OR(D77="",C77&lt;&gt;"Chi"),"",IFERROR(INDEX('Danh mục'!$B$39:$B$78,MATCH(D77,'Danh mục'!$A$39:$A$78,0))&amp;"","?"))</f>
      </c>
      <c r="F77" s="16">
        <f>IF(D77="","",IF(C77="Thu",IFERROR(INDEX('Danh mục'!$B$26:$B$35,MATCH(D77,'Danh mục'!$A$26:$A$35,0))&amp;"","?"),IFERROR(INDEX('Danh mục'!$D$39:$D$78,MATCH(D77,'Danh mục'!$A$39:$A$78,0))&amp;"","?")))</f>
      </c>
      <c r="G77" s="16">
        <f>IF(OR(D77="",C77&lt;&gt;"Chi"),"",IFERROR(INDEX('Danh mục'!$C$39:$C$78,MATCH(D77,'Danh mục'!$A$39:$A$78,0))&amp;"",""))</f>
      </c>
      <c r="H77" s="11"/>
      <c r="I77" s="20"/>
      <c r="J77" s="11"/>
      <c r="K77" s="11"/>
      <c r="L77" s="11"/>
    </row>
    <row r="78" spans="1:12" x14ac:dyDescent="0.3">
      <c r="A78" s="31"/>
      <c r="B78" s="32">
        <f>IF(A78="","",DATE(YEAR(A78),MONTH(A78),1))</f>
      </c>
      <c r="C78" s="11"/>
      <c r="D78" s="11"/>
      <c r="E78" s="16">
        <f>IF(OR(D78="",C78&lt;&gt;"Chi"),"",IFERROR(INDEX('Danh mục'!$B$39:$B$78,MATCH(D78,'Danh mục'!$A$39:$A$78,0))&amp;"","?"))</f>
      </c>
      <c r="F78" s="16">
        <f>IF(D78="","",IF(C78="Thu",IFERROR(INDEX('Danh mục'!$B$26:$B$35,MATCH(D78,'Danh mục'!$A$26:$A$35,0))&amp;"","?"),IFERROR(INDEX('Danh mục'!$D$39:$D$78,MATCH(D78,'Danh mục'!$A$39:$A$78,0))&amp;"","?")))</f>
      </c>
      <c r="G78" s="16">
        <f>IF(OR(D78="",C78&lt;&gt;"Chi"),"",IFERROR(INDEX('Danh mục'!$C$39:$C$78,MATCH(D78,'Danh mục'!$A$39:$A$78,0))&amp;"",""))</f>
      </c>
      <c r="H78" s="11"/>
      <c r="I78" s="20"/>
      <c r="J78" s="11"/>
      <c r="K78" s="11"/>
      <c r="L78" s="11"/>
    </row>
    <row r="79" spans="1:12" x14ac:dyDescent="0.3">
      <c r="A79" s="31"/>
      <c r="B79" s="32">
        <f>IF(A79="","",DATE(YEAR(A79),MONTH(A79),1))</f>
      </c>
      <c r="C79" s="11"/>
      <c r="D79" s="11"/>
      <c r="E79" s="16">
        <f>IF(OR(D79="",C79&lt;&gt;"Chi"),"",IFERROR(INDEX('Danh mục'!$B$39:$B$78,MATCH(D79,'Danh mục'!$A$39:$A$78,0))&amp;"","?"))</f>
      </c>
      <c r="F79" s="16">
        <f>IF(D79="","",IF(C79="Thu",IFERROR(INDEX('Danh mục'!$B$26:$B$35,MATCH(D79,'Danh mục'!$A$26:$A$35,0))&amp;"","?"),IFERROR(INDEX('Danh mục'!$D$39:$D$78,MATCH(D79,'Danh mục'!$A$39:$A$78,0))&amp;"","?")))</f>
      </c>
      <c r="G79" s="16">
        <f>IF(OR(D79="",C79&lt;&gt;"Chi"),"",IFERROR(INDEX('Danh mục'!$C$39:$C$78,MATCH(D79,'Danh mục'!$A$39:$A$78,0))&amp;"",""))</f>
      </c>
      <c r="H79" s="11"/>
      <c r="I79" s="20"/>
      <c r="J79" s="11"/>
      <c r="K79" s="11"/>
      <c r="L79" s="11"/>
    </row>
    <row r="80" spans="1:12" x14ac:dyDescent="0.3">
      <c r="A80" s="31"/>
      <c r="B80" s="32">
        <f>IF(A80="","",DATE(YEAR(A80),MONTH(A80),1))</f>
      </c>
      <c r="C80" s="11"/>
      <c r="D80" s="11"/>
      <c r="E80" s="16">
        <f>IF(OR(D80="",C80&lt;&gt;"Chi"),"",IFERROR(INDEX('Danh mục'!$B$39:$B$78,MATCH(D80,'Danh mục'!$A$39:$A$78,0))&amp;"","?"))</f>
      </c>
      <c r="F80" s="16">
        <f>IF(D80="","",IF(C80="Thu",IFERROR(INDEX('Danh mục'!$B$26:$B$35,MATCH(D80,'Danh mục'!$A$26:$A$35,0))&amp;"","?"),IFERROR(INDEX('Danh mục'!$D$39:$D$78,MATCH(D80,'Danh mục'!$A$39:$A$78,0))&amp;"","?")))</f>
      </c>
      <c r="G80" s="16">
        <f>IF(OR(D80="",C80&lt;&gt;"Chi"),"",IFERROR(INDEX('Danh mục'!$C$39:$C$78,MATCH(D80,'Danh mục'!$A$39:$A$78,0))&amp;"",""))</f>
      </c>
      <c r="H80" s="11"/>
      <c r="I80" s="20"/>
      <c r="J80" s="11"/>
      <c r="K80" s="11"/>
      <c r="L80" s="11"/>
    </row>
    <row r="81" spans="1:12" x14ac:dyDescent="0.3">
      <c r="A81" s="31"/>
      <c r="B81" s="32">
        <f>IF(A81="","",DATE(YEAR(A81),MONTH(A81),1))</f>
      </c>
      <c r="C81" s="11"/>
      <c r="D81" s="11"/>
      <c r="E81" s="16">
        <f>IF(OR(D81="",C81&lt;&gt;"Chi"),"",IFERROR(INDEX('Danh mục'!$B$39:$B$78,MATCH(D81,'Danh mục'!$A$39:$A$78,0))&amp;"","?"))</f>
      </c>
      <c r="F81" s="16">
        <f>IF(D81="","",IF(C81="Thu",IFERROR(INDEX('Danh mục'!$B$26:$B$35,MATCH(D81,'Danh mục'!$A$26:$A$35,0))&amp;"","?"),IFERROR(INDEX('Danh mục'!$D$39:$D$78,MATCH(D81,'Danh mục'!$A$39:$A$78,0))&amp;"","?")))</f>
      </c>
      <c r="G81" s="16">
        <f>IF(OR(D81="",C81&lt;&gt;"Chi"),"",IFERROR(INDEX('Danh mục'!$C$39:$C$78,MATCH(D81,'Danh mục'!$A$39:$A$78,0))&amp;"",""))</f>
      </c>
      <c r="H81" s="11"/>
      <c r="I81" s="20"/>
      <c r="J81" s="11"/>
      <c r="K81" s="11"/>
      <c r="L81" s="11"/>
    </row>
    <row r="82" spans="1:12" x14ac:dyDescent="0.3">
      <c r="A82" s="31"/>
      <c r="B82" s="32">
        <f>IF(A82="","",DATE(YEAR(A82),MONTH(A82),1))</f>
      </c>
      <c r="C82" s="11"/>
      <c r="D82" s="11"/>
      <c r="E82" s="16">
        <f>IF(OR(D82="",C82&lt;&gt;"Chi"),"",IFERROR(INDEX('Danh mục'!$B$39:$B$78,MATCH(D82,'Danh mục'!$A$39:$A$78,0))&amp;"","?"))</f>
      </c>
      <c r="F82" s="16">
        <f>IF(D82="","",IF(C82="Thu",IFERROR(INDEX('Danh mục'!$B$26:$B$35,MATCH(D82,'Danh mục'!$A$26:$A$35,0))&amp;"","?"),IFERROR(INDEX('Danh mục'!$D$39:$D$78,MATCH(D82,'Danh mục'!$A$39:$A$78,0))&amp;"","?")))</f>
      </c>
      <c r="G82" s="16">
        <f>IF(OR(D82="",C82&lt;&gt;"Chi"),"",IFERROR(INDEX('Danh mục'!$C$39:$C$78,MATCH(D82,'Danh mục'!$A$39:$A$78,0))&amp;"",""))</f>
      </c>
      <c r="H82" s="11"/>
      <c r="I82" s="20"/>
      <c r="J82" s="11"/>
      <c r="K82" s="11"/>
      <c r="L82" s="11"/>
    </row>
    <row r="83" spans="1:12" x14ac:dyDescent="0.3">
      <c r="A83" s="31"/>
      <c r="B83" s="32">
        <f>IF(A83="","",DATE(YEAR(A83),MONTH(A83),1))</f>
      </c>
      <c r="C83" s="11"/>
      <c r="D83" s="11"/>
      <c r="E83" s="16">
        <f>IF(OR(D83="",C83&lt;&gt;"Chi"),"",IFERROR(INDEX('Danh mục'!$B$39:$B$78,MATCH(D83,'Danh mục'!$A$39:$A$78,0))&amp;"","?"))</f>
      </c>
      <c r="F83" s="16">
        <f>IF(D83="","",IF(C83="Thu",IFERROR(INDEX('Danh mục'!$B$26:$B$35,MATCH(D83,'Danh mục'!$A$26:$A$35,0))&amp;"","?"),IFERROR(INDEX('Danh mục'!$D$39:$D$78,MATCH(D83,'Danh mục'!$A$39:$A$78,0))&amp;"","?")))</f>
      </c>
      <c r="G83" s="16">
        <f>IF(OR(D83="",C83&lt;&gt;"Chi"),"",IFERROR(INDEX('Danh mục'!$C$39:$C$78,MATCH(D83,'Danh mục'!$A$39:$A$78,0))&amp;"",""))</f>
      </c>
      <c r="H83" s="11"/>
      <c r="I83" s="20"/>
      <c r="J83" s="11"/>
      <c r="K83" s="11"/>
      <c r="L83" s="11"/>
    </row>
    <row r="84" spans="1:12" x14ac:dyDescent="0.3">
      <c r="A84" s="31"/>
      <c r="B84" s="32">
        <f>IF(A84="","",DATE(YEAR(A84),MONTH(A84),1))</f>
      </c>
      <c r="C84" s="11"/>
      <c r="D84" s="11"/>
      <c r="E84" s="16">
        <f>IF(OR(D84="",C84&lt;&gt;"Chi"),"",IFERROR(INDEX('Danh mục'!$B$39:$B$78,MATCH(D84,'Danh mục'!$A$39:$A$78,0))&amp;"","?"))</f>
      </c>
      <c r="F84" s="16">
        <f>IF(D84="","",IF(C84="Thu",IFERROR(INDEX('Danh mục'!$B$26:$B$35,MATCH(D84,'Danh mục'!$A$26:$A$35,0))&amp;"","?"),IFERROR(INDEX('Danh mục'!$D$39:$D$78,MATCH(D84,'Danh mục'!$A$39:$A$78,0))&amp;"","?")))</f>
      </c>
      <c r="G84" s="16">
        <f>IF(OR(D84="",C84&lt;&gt;"Chi"),"",IFERROR(INDEX('Danh mục'!$C$39:$C$78,MATCH(D84,'Danh mục'!$A$39:$A$78,0))&amp;"",""))</f>
      </c>
      <c r="H84" s="11"/>
      <c r="I84" s="20"/>
      <c r="J84" s="11"/>
      <c r="K84" s="11"/>
      <c r="L84" s="11"/>
    </row>
    <row r="85" spans="1:12" x14ac:dyDescent="0.3">
      <c r="A85" s="31"/>
      <c r="B85" s="32">
        <f>IF(A85="","",DATE(YEAR(A85),MONTH(A85),1))</f>
      </c>
      <c r="C85" s="11"/>
      <c r="D85" s="11"/>
      <c r="E85" s="16">
        <f>IF(OR(D85="",C85&lt;&gt;"Chi"),"",IFERROR(INDEX('Danh mục'!$B$39:$B$78,MATCH(D85,'Danh mục'!$A$39:$A$78,0))&amp;"","?"))</f>
      </c>
      <c r="F85" s="16">
        <f>IF(D85="","",IF(C85="Thu",IFERROR(INDEX('Danh mục'!$B$26:$B$35,MATCH(D85,'Danh mục'!$A$26:$A$35,0))&amp;"","?"),IFERROR(INDEX('Danh mục'!$D$39:$D$78,MATCH(D85,'Danh mục'!$A$39:$A$78,0))&amp;"","?")))</f>
      </c>
      <c r="G85" s="16">
        <f>IF(OR(D85="",C85&lt;&gt;"Chi"),"",IFERROR(INDEX('Danh mục'!$C$39:$C$78,MATCH(D85,'Danh mục'!$A$39:$A$78,0))&amp;"",""))</f>
      </c>
      <c r="H85" s="11"/>
      <c r="I85" s="20"/>
      <c r="J85" s="11"/>
      <c r="K85" s="11"/>
      <c r="L85" s="11"/>
    </row>
    <row r="86" spans="1:12" x14ac:dyDescent="0.3">
      <c r="A86" s="31"/>
      <c r="B86" s="32">
        <f>IF(A86="","",DATE(YEAR(A86),MONTH(A86),1))</f>
      </c>
      <c r="C86" s="11"/>
      <c r="D86" s="11"/>
      <c r="E86" s="16">
        <f>IF(OR(D86="",C86&lt;&gt;"Chi"),"",IFERROR(INDEX('Danh mục'!$B$39:$B$78,MATCH(D86,'Danh mục'!$A$39:$A$78,0))&amp;"","?"))</f>
      </c>
      <c r="F86" s="16">
        <f>IF(D86="","",IF(C86="Thu",IFERROR(INDEX('Danh mục'!$B$26:$B$35,MATCH(D86,'Danh mục'!$A$26:$A$35,0))&amp;"","?"),IFERROR(INDEX('Danh mục'!$D$39:$D$78,MATCH(D86,'Danh mục'!$A$39:$A$78,0))&amp;"","?")))</f>
      </c>
      <c r="G86" s="16">
        <f>IF(OR(D86="",C86&lt;&gt;"Chi"),"",IFERROR(INDEX('Danh mục'!$C$39:$C$78,MATCH(D86,'Danh mục'!$A$39:$A$78,0))&amp;"",""))</f>
      </c>
      <c r="H86" s="11"/>
      <c r="I86" s="20"/>
      <c r="J86" s="11"/>
      <c r="K86" s="11"/>
      <c r="L86" s="11"/>
    </row>
    <row r="87" spans="1:12" x14ac:dyDescent="0.3">
      <c r="A87" s="31"/>
      <c r="B87" s="32">
        <f>IF(A87="","",DATE(YEAR(A87),MONTH(A87),1))</f>
      </c>
      <c r="C87" s="11"/>
      <c r="D87" s="11"/>
      <c r="E87" s="16">
        <f>IF(OR(D87="",C87&lt;&gt;"Chi"),"",IFERROR(INDEX('Danh mục'!$B$39:$B$78,MATCH(D87,'Danh mục'!$A$39:$A$78,0))&amp;"","?"))</f>
      </c>
      <c r="F87" s="16">
        <f>IF(D87="","",IF(C87="Thu",IFERROR(INDEX('Danh mục'!$B$26:$B$35,MATCH(D87,'Danh mục'!$A$26:$A$35,0))&amp;"","?"),IFERROR(INDEX('Danh mục'!$D$39:$D$78,MATCH(D87,'Danh mục'!$A$39:$A$78,0))&amp;"","?")))</f>
      </c>
      <c r="G87" s="16">
        <f>IF(OR(D87="",C87&lt;&gt;"Chi"),"",IFERROR(INDEX('Danh mục'!$C$39:$C$78,MATCH(D87,'Danh mục'!$A$39:$A$78,0))&amp;"",""))</f>
      </c>
      <c r="H87" s="11"/>
      <c r="I87" s="20"/>
      <c r="J87" s="11"/>
      <c r="K87" s="11"/>
      <c r="L87" s="11"/>
    </row>
    <row r="88" spans="1:12" x14ac:dyDescent="0.3">
      <c r="A88" s="31"/>
      <c r="B88" s="32">
        <f>IF(A88="","",DATE(YEAR(A88),MONTH(A88),1))</f>
      </c>
      <c r="C88" s="11"/>
      <c r="D88" s="11"/>
      <c r="E88" s="16">
        <f>IF(OR(D88="",C88&lt;&gt;"Chi"),"",IFERROR(INDEX('Danh mục'!$B$39:$B$78,MATCH(D88,'Danh mục'!$A$39:$A$78,0))&amp;"","?"))</f>
      </c>
      <c r="F88" s="16">
        <f>IF(D88="","",IF(C88="Thu",IFERROR(INDEX('Danh mục'!$B$26:$B$35,MATCH(D88,'Danh mục'!$A$26:$A$35,0))&amp;"","?"),IFERROR(INDEX('Danh mục'!$D$39:$D$78,MATCH(D88,'Danh mục'!$A$39:$A$78,0))&amp;"","?")))</f>
      </c>
      <c r="G88" s="16">
        <f>IF(OR(D88="",C88&lt;&gt;"Chi"),"",IFERROR(INDEX('Danh mục'!$C$39:$C$78,MATCH(D88,'Danh mục'!$A$39:$A$78,0))&amp;"",""))</f>
      </c>
      <c r="H88" s="11"/>
      <c r="I88" s="20"/>
      <c r="J88" s="11"/>
      <c r="K88" s="11"/>
      <c r="L88" s="11"/>
    </row>
    <row r="89" spans="1:12" x14ac:dyDescent="0.3">
      <c r="A89" s="31"/>
      <c r="B89" s="32">
        <f>IF(A89="","",DATE(YEAR(A89),MONTH(A89),1))</f>
      </c>
      <c r="C89" s="11"/>
      <c r="D89" s="11"/>
      <c r="E89" s="16">
        <f>IF(OR(D89="",C89&lt;&gt;"Chi"),"",IFERROR(INDEX('Danh mục'!$B$39:$B$78,MATCH(D89,'Danh mục'!$A$39:$A$78,0))&amp;"","?"))</f>
      </c>
      <c r="F89" s="16">
        <f>IF(D89="","",IF(C89="Thu",IFERROR(INDEX('Danh mục'!$B$26:$B$35,MATCH(D89,'Danh mục'!$A$26:$A$35,0))&amp;"","?"),IFERROR(INDEX('Danh mục'!$D$39:$D$78,MATCH(D89,'Danh mục'!$A$39:$A$78,0))&amp;"","?")))</f>
      </c>
      <c r="G89" s="16">
        <f>IF(OR(D89="",C89&lt;&gt;"Chi"),"",IFERROR(INDEX('Danh mục'!$C$39:$C$78,MATCH(D89,'Danh mục'!$A$39:$A$78,0))&amp;"",""))</f>
      </c>
      <c r="H89" s="11"/>
      <c r="I89" s="20"/>
      <c r="J89" s="11"/>
      <c r="K89" s="11"/>
      <c r="L89" s="11"/>
    </row>
    <row r="90" spans="1:12" x14ac:dyDescent="0.3">
      <c r="A90" s="31"/>
      <c r="B90" s="32">
        <f>IF(A90="","",DATE(YEAR(A90),MONTH(A90),1))</f>
      </c>
      <c r="C90" s="11"/>
      <c r="D90" s="11"/>
      <c r="E90" s="16">
        <f>IF(OR(D90="",C90&lt;&gt;"Chi"),"",IFERROR(INDEX('Danh mục'!$B$39:$B$78,MATCH(D90,'Danh mục'!$A$39:$A$78,0))&amp;"","?"))</f>
      </c>
      <c r="F90" s="16">
        <f>IF(D90="","",IF(C90="Thu",IFERROR(INDEX('Danh mục'!$B$26:$B$35,MATCH(D90,'Danh mục'!$A$26:$A$35,0))&amp;"","?"),IFERROR(INDEX('Danh mục'!$D$39:$D$78,MATCH(D90,'Danh mục'!$A$39:$A$78,0))&amp;"","?")))</f>
      </c>
      <c r="G90" s="16">
        <f>IF(OR(D90="",C90&lt;&gt;"Chi"),"",IFERROR(INDEX('Danh mục'!$C$39:$C$78,MATCH(D90,'Danh mục'!$A$39:$A$78,0))&amp;"",""))</f>
      </c>
      <c r="H90" s="11"/>
      <c r="I90" s="20"/>
      <c r="J90" s="11"/>
      <c r="K90" s="11"/>
      <c r="L90" s="11"/>
    </row>
    <row r="91" spans="1:12" x14ac:dyDescent="0.3">
      <c r="A91" s="31"/>
      <c r="B91" s="32">
        <f>IF(A91="","",DATE(YEAR(A91),MONTH(A91),1))</f>
      </c>
      <c r="C91" s="11"/>
      <c r="D91" s="11"/>
      <c r="E91" s="16">
        <f>IF(OR(D91="",C91&lt;&gt;"Chi"),"",IFERROR(INDEX('Danh mục'!$B$39:$B$78,MATCH(D91,'Danh mục'!$A$39:$A$78,0))&amp;"","?"))</f>
      </c>
      <c r="F91" s="16">
        <f>IF(D91="","",IF(C91="Thu",IFERROR(INDEX('Danh mục'!$B$26:$B$35,MATCH(D91,'Danh mục'!$A$26:$A$35,0))&amp;"","?"),IFERROR(INDEX('Danh mục'!$D$39:$D$78,MATCH(D91,'Danh mục'!$A$39:$A$78,0))&amp;"","?")))</f>
      </c>
      <c r="G91" s="16">
        <f>IF(OR(D91="",C91&lt;&gt;"Chi"),"",IFERROR(INDEX('Danh mục'!$C$39:$C$78,MATCH(D91,'Danh mục'!$A$39:$A$78,0))&amp;"",""))</f>
      </c>
      <c r="H91" s="11"/>
      <c r="I91" s="20"/>
      <c r="J91" s="11"/>
      <c r="K91" s="11"/>
      <c r="L91" s="11"/>
    </row>
    <row r="92" spans="1:12" x14ac:dyDescent="0.3">
      <c r="A92" s="31"/>
      <c r="B92" s="32">
        <f>IF(A92="","",DATE(YEAR(A92),MONTH(A92),1))</f>
      </c>
      <c r="C92" s="11"/>
      <c r="D92" s="11"/>
      <c r="E92" s="16">
        <f>IF(OR(D92="",C92&lt;&gt;"Chi"),"",IFERROR(INDEX('Danh mục'!$B$39:$B$78,MATCH(D92,'Danh mục'!$A$39:$A$78,0))&amp;"","?"))</f>
      </c>
      <c r="F92" s="16">
        <f>IF(D92="","",IF(C92="Thu",IFERROR(INDEX('Danh mục'!$B$26:$B$35,MATCH(D92,'Danh mục'!$A$26:$A$35,0))&amp;"","?"),IFERROR(INDEX('Danh mục'!$D$39:$D$78,MATCH(D92,'Danh mục'!$A$39:$A$78,0))&amp;"","?")))</f>
      </c>
      <c r="G92" s="16">
        <f>IF(OR(D92="",C92&lt;&gt;"Chi"),"",IFERROR(INDEX('Danh mục'!$C$39:$C$78,MATCH(D92,'Danh mục'!$A$39:$A$78,0))&amp;"",""))</f>
      </c>
      <c r="H92" s="11"/>
      <c r="I92" s="20"/>
      <c r="J92" s="11"/>
      <c r="K92" s="11"/>
      <c r="L92" s="11"/>
    </row>
    <row r="93" spans="1:12" x14ac:dyDescent="0.3">
      <c r="A93" s="31"/>
      <c r="B93" s="32">
        <f>IF(A93="","",DATE(YEAR(A93),MONTH(A93),1))</f>
      </c>
      <c r="C93" s="11"/>
      <c r="D93" s="11"/>
      <c r="E93" s="16">
        <f>IF(OR(D93="",C93&lt;&gt;"Chi"),"",IFERROR(INDEX('Danh mục'!$B$39:$B$78,MATCH(D93,'Danh mục'!$A$39:$A$78,0))&amp;"","?"))</f>
      </c>
      <c r="F93" s="16">
        <f>IF(D93="","",IF(C93="Thu",IFERROR(INDEX('Danh mục'!$B$26:$B$35,MATCH(D93,'Danh mục'!$A$26:$A$35,0))&amp;"","?"),IFERROR(INDEX('Danh mục'!$D$39:$D$78,MATCH(D93,'Danh mục'!$A$39:$A$78,0))&amp;"","?")))</f>
      </c>
      <c r="G93" s="16">
        <f>IF(OR(D93="",C93&lt;&gt;"Chi"),"",IFERROR(INDEX('Danh mục'!$C$39:$C$78,MATCH(D93,'Danh mục'!$A$39:$A$78,0))&amp;"",""))</f>
      </c>
      <c r="H93" s="11"/>
      <c r="I93" s="20"/>
      <c r="J93" s="11"/>
      <c r="K93" s="11"/>
      <c r="L93" s="11"/>
    </row>
    <row r="94" spans="1:12" x14ac:dyDescent="0.3">
      <c r="A94" s="31"/>
      <c r="B94" s="32">
        <f>IF(A94="","",DATE(YEAR(A94),MONTH(A94),1))</f>
      </c>
      <c r="C94" s="11"/>
      <c r="D94" s="11"/>
      <c r="E94" s="16">
        <f>IF(OR(D94="",C94&lt;&gt;"Chi"),"",IFERROR(INDEX('Danh mục'!$B$39:$B$78,MATCH(D94,'Danh mục'!$A$39:$A$78,0))&amp;"","?"))</f>
      </c>
      <c r="F94" s="16">
        <f>IF(D94="","",IF(C94="Thu",IFERROR(INDEX('Danh mục'!$B$26:$B$35,MATCH(D94,'Danh mục'!$A$26:$A$35,0))&amp;"","?"),IFERROR(INDEX('Danh mục'!$D$39:$D$78,MATCH(D94,'Danh mục'!$A$39:$A$78,0))&amp;"","?")))</f>
      </c>
      <c r="G94" s="16">
        <f>IF(OR(D94="",C94&lt;&gt;"Chi"),"",IFERROR(INDEX('Danh mục'!$C$39:$C$78,MATCH(D94,'Danh mục'!$A$39:$A$78,0))&amp;"",""))</f>
      </c>
      <c r="H94" s="11"/>
      <c r="I94" s="20"/>
      <c r="J94" s="11"/>
      <c r="K94" s="11"/>
      <c r="L94" s="11"/>
    </row>
    <row r="95" spans="1:12" x14ac:dyDescent="0.3">
      <c r="A95" s="31"/>
      <c r="B95" s="32">
        <f>IF(A95="","",DATE(YEAR(A95),MONTH(A95),1))</f>
      </c>
      <c r="C95" s="11"/>
      <c r="D95" s="11"/>
      <c r="E95" s="16">
        <f>IF(OR(D95="",C95&lt;&gt;"Chi"),"",IFERROR(INDEX('Danh mục'!$B$39:$B$78,MATCH(D95,'Danh mục'!$A$39:$A$78,0))&amp;"","?"))</f>
      </c>
      <c r="F95" s="16">
        <f>IF(D95="","",IF(C95="Thu",IFERROR(INDEX('Danh mục'!$B$26:$B$35,MATCH(D95,'Danh mục'!$A$26:$A$35,0))&amp;"","?"),IFERROR(INDEX('Danh mục'!$D$39:$D$78,MATCH(D95,'Danh mục'!$A$39:$A$78,0))&amp;"","?")))</f>
      </c>
      <c r="G95" s="16">
        <f>IF(OR(D95="",C95&lt;&gt;"Chi"),"",IFERROR(INDEX('Danh mục'!$C$39:$C$78,MATCH(D95,'Danh mục'!$A$39:$A$78,0))&amp;"",""))</f>
      </c>
      <c r="H95" s="11"/>
      <c r="I95" s="20"/>
      <c r="J95" s="11"/>
      <c r="K95" s="11"/>
      <c r="L95" s="11"/>
    </row>
    <row r="96" spans="1:12" x14ac:dyDescent="0.3">
      <c r="A96" s="31"/>
      <c r="B96" s="32">
        <f>IF(A96="","",DATE(YEAR(A96),MONTH(A96),1))</f>
      </c>
      <c r="C96" s="11"/>
      <c r="D96" s="11"/>
      <c r="E96" s="16">
        <f>IF(OR(D96="",C96&lt;&gt;"Chi"),"",IFERROR(INDEX('Danh mục'!$B$39:$B$78,MATCH(D96,'Danh mục'!$A$39:$A$78,0))&amp;"","?"))</f>
      </c>
      <c r="F96" s="16">
        <f>IF(D96="","",IF(C96="Thu",IFERROR(INDEX('Danh mục'!$B$26:$B$35,MATCH(D96,'Danh mục'!$A$26:$A$35,0))&amp;"","?"),IFERROR(INDEX('Danh mục'!$D$39:$D$78,MATCH(D96,'Danh mục'!$A$39:$A$78,0))&amp;"","?")))</f>
      </c>
      <c r="G96" s="16">
        <f>IF(OR(D96="",C96&lt;&gt;"Chi"),"",IFERROR(INDEX('Danh mục'!$C$39:$C$78,MATCH(D96,'Danh mục'!$A$39:$A$78,0))&amp;"",""))</f>
      </c>
      <c r="H96" s="11"/>
      <c r="I96" s="20"/>
      <c r="J96" s="11"/>
      <c r="K96" s="11"/>
      <c r="L96" s="11"/>
    </row>
    <row r="97" spans="1:12" x14ac:dyDescent="0.3">
      <c r="A97" s="31"/>
      <c r="B97" s="32">
        <f>IF(A97="","",DATE(YEAR(A97),MONTH(A97),1))</f>
      </c>
      <c r="C97" s="11"/>
      <c r="D97" s="11"/>
      <c r="E97" s="16">
        <f>IF(OR(D97="",C97&lt;&gt;"Chi"),"",IFERROR(INDEX('Danh mục'!$B$39:$B$78,MATCH(D97,'Danh mục'!$A$39:$A$78,0))&amp;"","?"))</f>
      </c>
      <c r="F97" s="16">
        <f>IF(D97="","",IF(C97="Thu",IFERROR(INDEX('Danh mục'!$B$26:$B$35,MATCH(D97,'Danh mục'!$A$26:$A$35,0))&amp;"","?"),IFERROR(INDEX('Danh mục'!$D$39:$D$78,MATCH(D97,'Danh mục'!$A$39:$A$78,0))&amp;"","?")))</f>
      </c>
      <c r="G97" s="16">
        <f>IF(OR(D97="",C97&lt;&gt;"Chi"),"",IFERROR(INDEX('Danh mục'!$C$39:$C$78,MATCH(D97,'Danh mục'!$A$39:$A$78,0))&amp;"",""))</f>
      </c>
      <c r="H97" s="11"/>
      <c r="I97" s="20"/>
      <c r="J97" s="11"/>
      <c r="K97" s="11"/>
      <c r="L97" s="11"/>
    </row>
    <row r="98" spans="1:12" x14ac:dyDescent="0.3">
      <c r="A98" s="31"/>
      <c r="B98" s="32">
        <f>IF(A98="","",DATE(YEAR(A98),MONTH(A98),1))</f>
      </c>
      <c r="C98" s="11"/>
      <c r="D98" s="11"/>
      <c r="E98" s="16">
        <f>IF(OR(D98="",C98&lt;&gt;"Chi"),"",IFERROR(INDEX('Danh mục'!$B$39:$B$78,MATCH(D98,'Danh mục'!$A$39:$A$78,0))&amp;"","?"))</f>
      </c>
      <c r="F98" s="16">
        <f>IF(D98="","",IF(C98="Thu",IFERROR(INDEX('Danh mục'!$B$26:$B$35,MATCH(D98,'Danh mục'!$A$26:$A$35,0))&amp;"","?"),IFERROR(INDEX('Danh mục'!$D$39:$D$78,MATCH(D98,'Danh mục'!$A$39:$A$78,0))&amp;"","?")))</f>
      </c>
      <c r="G98" s="16">
        <f>IF(OR(D98="",C98&lt;&gt;"Chi"),"",IFERROR(INDEX('Danh mục'!$C$39:$C$78,MATCH(D98,'Danh mục'!$A$39:$A$78,0))&amp;"",""))</f>
      </c>
      <c r="H98" s="11"/>
      <c r="I98" s="20"/>
      <c r="J98" s="11"/>
      <c r="K98" s="11"/>
      <c r="L98" s="11"/>
    </row>
    <row r="99" spans="1:12" x14ac:dyDescent="0.3">
      <c r="A99" s="31"/>
      <c r="B99" s="32">
        <f>IF(A99="","",DATE(YEAR(A99),MONTH(A99),1))</f>
      </c>
      <c r="C99" s="11"/>
      <c r="D99" s="11"/>
      <c r="E99" s="16">
        <f>IF(OR(D99="",C99&lt;&gt;"Chi"),"",IFERROR(INDEX('Danh mục'!$B$39:$B$78,MATCH(D99,'Danh mục'!$A$39:$A$78,0))&amp;"","?"))</f>
      </c>
      <c r="F99" s="16">
        <f>IF(D99="","",IF(C99="Thu",IFERROR(INDEX('Danh mục'!$B$26:$B$35,MATCH(D99,'Danh mục'!$A$26:$A$35,0))&amp;"","?"),IFERROR(INDEX('Danh mục'!$D$39:$D$78,MATCH(D99,'Danh mục'!$A$39:$A$78,0))&amp;"","?")))</f>
      </c>
      <c r="G99" s="16">
        <f>IF(OR(D99="",C99&lt;&gt;"Chi"),"",IFERROR(INDEX('Danh mục'!$C$39:$C$78,MATCH(D99,'Danh mục'!$A$39:$A$78,0))&amp;"",""))</f>
      </c>
      <c r="H99" s="11"/>
      <c r="I99" s="20"/>
      <c r="J99" s="11"/>
      <c r="K99" s="11"/>
      <c r="L99" s="11"/>
    </row>
    <row r="100" spans="1:12" x14ac:dyDescent="0.3">
      <c r="A100" s="31"/>
      <c r="B100" s="32">
        <f>IF(A100="","",DATE(YEAR(A100),MONTH(A100),1))</f>
      </c>
      <c r="C100" s="11"/>
      <c r="D100" s="11"/>
      <c r="E100" s="16">
        <f>IF(OR(D100="",C100&lt;&gt;"Chi"),"",IFERROR(INDEX('Danh mục'!$B$39:$B$78,MATCH(D100,'Danh mục'!$A$39:$A$78,0))&amp;"","?"))</f>
      </c>
      <c r="F100" s="16">
        <f>IF(D100="","",IF(C100="Thu",IFERROR(INDEX('Danh mục'!$B$26:$B$35,MATCH(D100,'Danh mục'!$A$26:$A$35,0))&amp;"","?"),IFERROR(INDEX('Danh mục'!$D$39:$D$78,MATCH(D100,'Danh mục'!$A$39:$A$78,0))&amp;"","?")))</f>
      </c>
      <c r="G100" s="16">
        <f>IF(OR(D100="",C100&lt;&gt;"Chi"),"",IFERROR(INDEX('Danh mục'!$C$39:$C$78,MATCH(D100,'Danh mục'!$A$39:$A$78,0))&amp;"",""))</f>
      </c>
      <c r="H100" s="11"/>
      <c r="I100" s="20"/>
      <c r="J100" s="11"/>
      <c r="K100" s="11"/>
      <c r="L100" s="11"/>
    </row>
    <row r="101" spans="1:12" x14ac:dyDescent="0.3">
      <c r="A101" s="31"/>
      <c r="B101" s="32">
        <f>IF(A101="","",DATE(YEAR(A101),MONTH(A101),1))</f>
      </c>
      <c r="C101" s="11"/>
      <c r="D101" s="11"/>
      <c r="E101" s="16">
        <f>IF(OR(D101="",C101&lt;&gt;"Chi"),"",IFERROR(INDEX('Danh mục'!$B$39:$B$78,MATCH(D101,'Danh mục'!$A$39:$A$78,0))&amp;"","?"))</f>
      </c>
      <c r="F101" s="16">
        <f>IF(D101="","",IF(C101="Thu",IFERROR(INDEX('Danh mục'!$B$26:$B$35,MATCH(D101,'Danh mục'!$A$26:$A$35,0))&amp;"","?"),IFERROR(INDEX('Danh mục'!$D$39:$D$78,MATCH(D101,'Danh mục'!$A$39:$A$78,0))&amp;"","?")))</f>
      </c>
      <c r="G101" s="16">
        <f>IF(OR(D101="",C101&lt;&gt;"Chi"),"",IFERROR(INDEX('Danh mục'!$C$39:$C$78,MATCH(D101,'Danh mục'!$A$39:$A$78,0))&amp;"",""))</f>
      </c>
      <c r="H101" s="11"/>
      <c r="I101" s="20"/>
      <c r="J101" s="11"/>
      <c r="K101" s="11"/>
      <c r="L101" s="11"/>
    </row>
    <row r="102" spans="1:12" x14ac:dyDescent="0.3">
      <c r="A102" s="31"/>
      <c r="B102" s="32">
        <f>IF(A102="","",DATE(YEAR(A102),MONTH(A102),1))</f>
      </c>
      <c r="C102" s="11"/>
      <c r="D102" s="11"/>
      <c r="E102" s="16">
        <f>IF(OR(D102="",C102&lt;&gt;"Chi"),"",IFERROR(INDEX('Danh mục'!$B$39:$B$78,MATCH(D102,'Danh mục'!$A$39:$A$78,0))&amp;"","?"))</f>
      </c>
      <c r="F102" s="16">
        <f>IF(D102="","",IF(C102="Thu",IFERROR(INDEX('Danh mục'!$B$26:$B$35,MATCH(D102,'Danh mục'!$A$26:$A$35,0))&amp;"","?"),IFERROR(INDEX('Danh mục'!$D$39:$D$78,MATCH(D102,'Danh mục'!$A$39:$A$78,0))&amp;"","?")))</f>
      </c>
      <c r="G102" s="16">
        <f>IF(OR(D102="",C102&lt;&gt;"Chi"),"",IFERROR(INDEX('Danh mục'!$C$39:$C$78,MATCH(D102,'Danh mục'!$A$39:$A$78,0))&amp;"",""))</f>
      </c>
      <c r="H102" s="11"/>
      <c r="I102" s="20"/>
      <c r="J102" s="11"/>
      <c r="K102" s="11"/>
      <c r="L102" s="11"/>
    </row>
    <row r="103" spans="1:12" x14ac:dyDescent="0.3">
      <c r="A103" s="31"/>
      <c r="B103" s="32">
        <f>IF(A103="","",DATE(YEAR(A103),MONTH(A103),1))</f>
      </c>
      <c r="C103" s="11"/>
      <c r="D103" s="11"/>
      <c r="E103" s="16">
        <f>IF(OR(D103="",C103&lt;&gt;"Chi"),"",IFERROR(INDEX('Danh mục'!$B$39:$B$78,MATCH(D103,'Danh mục'!$A$39:$A$78,0))&amp;"","?"))</f>
      </c>
      <c r="F103" s="16">
        <f>IF(D103="","",IF(C103="Thu",IFERROR(INDEX('Danh mục'!$B$26:$B$35,MATCH(D103,'Danh mục'!$A$26:$A$35,0))&amp;"","?"),IFERROR(INDEX('Danh mục'!$D$39:$D$78,MATCH(D103,'Danh mục'!$A$39:$A$78,0))&amp;"","?")))</f>
      </c>
      <c r="G103" s="16">
        <f>IF(OR(D103="",C103&lt;&gt;"Chi"),"",IFERROR(INDEX('Danh mục'!$C$39:$C$78,MATCH(D103,'Danh mục'!$A$39:$A$78,0))&amp;"",""))</f>
      </c>
      <c r="H103" s="11"/>
      <c r="I103" s="20"/>
      <c r="J103" s="11"/>
      <c r="K103" s="11"/>
      <c r="L103" s="11"/>
    </row>
    <row r="104" spans="1:12" x14ac:dyDescent="0.3">
      <c r="A104" s="31"/>
      <c r="B104" s="32">
        <f>IF(A104="","",DATE(YEAR(A104),MONTH(A104),1))</f>
      </c>
      <c r="C104" s="11"/>
      <c r="D104" s="11"/>
      <c r="E104" s="16">
        <f>IF(OR(D104="",C104&lt;&gt;"Chi"),"",IFERROR(INDEX('Danh mục'!$B$39:$B$78,MATCH(D104,'Danh mục'!$A$39:$A$78,0))&amp;"","?"))</f>
      </c>
      <c r="F104" s="16">
        <f>IF(D104="","",IF(C104="Thu",IFERROR(INDEX('Danh mục'!$B$26:$B$35,MATCH(D104,'Danh mục'!$A$26:$A$35,0))&amp;"","?"),IFERROR(INDEX('Danh mục'!$D$39:$D$78,MATCH(D104,'Danh mục'!$A$39:$A$78,0))&amp;"","?")))</f>
      </c>
      <c r="G104" s="16">
        <f>IF(OR(D104="",C104&lt;&gt;"Chi"),"",IFERROR(INDEX('Danh mục'!$C$39:$C$78,MATCH(D104,'Danh mục'!$A$39:$A$78,0))&amp;"",""))</f>
      </c>
      <c r="H104" s="11"/>
      <c r="I104" s="20"/>
      <c r="J104" s="11"/>
      <c r="K104" s="11"/>
      <c r="L104" s="11"/>
    </row>
    <row r="105" spans="1:12" x14ac:dyDescent="0.3">
      <c r="A105" s="31"/>
      <c r="B105" s="32">
        <f>IF(A105="","",DATE(YEAR(A105),MONTH(A105),1))</f>
      </c>
      <c r="C105" s="11"/>
      <c r="D105" s="11"/>
      <c r="E105" s="16">
        <f>IF(OR(D105="",C105&lt;&gt;"Chi"),"",IFERROR(INDEX('Danh mục'!$B$39:$B$78,MATCH(D105,'Danh mục'!$A$39:$A$78,0))&amp;"","?"))</f>
      </c>
      <c r="F105" s="16">
        <f>IF(D105="","",IF(C105="Thu",IFERROR(INDEX('Danh mục'!$B$26:$B$35,MATCH(D105,'Danh mục'!$A$26:$A$35,0))&amp;"","?"),IFERROR(INDEX('Danh mục'!$D$39:$D$78,MATCH(D105,'Danh mục'!$A$39:$A$78,0))&amp;"","?")))</f>
      </c>
      <c r="G105" s="16">
        <f>IF(OR(D105="",C105&lt;&gt;"Chi"),"",IFERROR(INDEX('Danh mục'!$C$39:$C$78,MATCH(D105,'Danh mục'!$A$39:$A$78,0))&amp;"",""))</f>
      </c>
      <c r="H105" s="11"/>
      <c r="I105" s="20"/>
      <c r="J105" s="11"/>
      <c r="K105" s="11"/>
      <c r="L105" s="11"/>
    </row>
    <row r="106" spans="1:12" x14ac:dyDescent="0.3">
      <c r="A106" s="31"/>
      <c r="B106" s="32">
        <f>IF(A106="","",DATE(YEAR(A106),MONTH(A106),1))</f>
      </c>
      <c r="C106" s="11"/>
      <c r="D106" s="11"/>
      <c r="E106" s="16">
        <f>IF(OR(D106="",C106&lt;&gt;"Chi"),"",IFERROR(INDEX('Danh mục'!$B$39:$B$78,MATCH(D106,'Danh mục'!$A$39:$A$78,0))&amp;"","?"))</f>
      </c>
      <c r="F106" s="16">
        <f>IF(D106="","",IF(C106="Thu",IFERROR(INDEX('Danh mục'!$B$26:$B$35,MATCH(D106,'Danh mục'!$A$26:$A$35,0))&amp;"","?"),IFERROR(INDEX('Danh mục'!$D$39:$D$78,MATCH(D106,'Danh mục'!$A$39:$A$78,0))&amp;"","?")))</f>
      </c>
      <c r="G106" s="16">
        <f>IF(OR(D106="",C106&lt;&gt;"Chi"),"",IFERROR(INDEX('Danh mục'!$C$39:$C$78,MATCH(D106,'Danh mục'!$A$39:$A$78,0))&amp;"",""))</f>
      </c>
      <c r="H106" s="11"/>
      <c r="I106" s="20"/>
      <c r="J106" s="11"/>
      <c r="K106" s="11"/>
      <c r="L106" s="11"/>
    </row>
    <row r="107" spans="1:12" x14ac:dyDescent="0.3">
      <c r="A107" s="31"/>
      <c r="B107" s="32">
        <f>IF(A107="","",DATE(YEAR(A107),MONTH(A107),1))</f>
      </c>
      <c r="C107" s="11"/>
      <c r="D107" s="11"/>
      <c r="E107" s="16">
        <f>IF(OR(D107="",C107&lt;&gt;"Chi"),"",IFERROR(INDEX('Danh mục'!$B$39:$B$78,MATCH(D107,'Danh mục'!$A$39:$A$78,0))&amp;"","?"))</f>
      </c>
      <c r="F107" s="16">
        <f>IF(D107="","",IF(C107="Thu",IFERROR(INDEX('Danh mục'!$B$26:$B$35,MATCH(D107,'Danh mục'!$A$26:$A$35,0))&amp;"","?"),IFERROR(INDEX('Danh mục'!$D$39:$D$78,MATCH(D107,'Danh mục'!$A$39:$A$78,0))&amp;"","?")))</f>
      </c>
      <c r="G107" s="16">
        <f>IF(OR(D107="",C107&lt;&gt;"Chi"),"",IFERROR(INDEX('Danh mục'!$C$39:$C$78,MATCH(D107,'Danh mục'!$A$39:$A$78,0))&amp;"",""))</f>
      </c>
      <c r="H107" s="11"/>
      <c r="I107" s="20"/>
      <c r="J107" s="11"/>
      <c r="K107" s="11"/>
      <c r="L107" s="11"/>
    </row>
    <row r="108" spans="1:12" x14ac:dyDescent="0.3">
      <c r="A108" s="31"/>
      <c r="B108" s="32">
        <f>IF(A108="","",DATE(YEAR(A108),MONTH(A108),1))</f>
      </c>
      <c r="C108" s="11"/>
      <c r="D108" s="11"/>
      <c r="E108" s="16">
        <f>IF(OR(D108="",C108&lt;&gt;"Chi"),"",IFERROR(INDEX('Danh mục'!$B$39:$B$78,MATCH(D108,'Danh mục'!$A$39:$A$78,0))&amp;"","?"))</f>
      </c>
      <c r="F108" s="16">
        <f>IF(D108="","",IF(C108="Thu",IFERROR(INDEX('Danh mục'!$B$26:$B$35,MATCH(D108,'Danh mục'!$A$26:$A$35,0))&amp;"","?"),IFERROR(INDEX('Danh mục'!$D$39:$D$78,MATCH(D108,'Danh mục'!$A$39:$A$78,0))&amp;"","?")))</f>
      </c>
      <c r="G108" s="16">
        <f>IF(OR(D108="",C108&lt;&gt;"Chi"),"",IFERROR(INDEX('Danh mục'!$C$39:$C$78,MATCH(D108,'Danh mục'!$A$39:$A$78,0))&amp;"",""))</f>
      </c>
      <c r="H108" s="11"/>
      <c r="I108" s="20"/>
      <c r="J108" s="11"/>
      <c r="K108" s="11"/>
      <c r="L108" s="11"/>
    </row>
    <row r="109" spans="1:12" x14ac:dyDescent="0.3">
      <c r="A109" s="31"/>
      <c r="B109" s="32">
        <f>IF(A109="","",DATE(YEAR(A109),MONTH(A109),1))</f>
      </c>
      <c r="C109" s="11"/>
      <c r="D109" s="11"/>
      <c r="E109" s="16">
        <f>IF(OR(D109="",C109&lt;&gt;"Chi"),"",IFERROR(INDEX('Danh mục'!$B$39:$B$78,MATCH(D109,'Danh mục'!$A$39:$A$78,0))&amp;"","?"))</f>
      </c>
      <c r="F109" s="16">
        <f>IF(D109="","",IF(C109="Thu",IFERROR(INDEX('Danh mục'!$B$26:$B$35,MATCH(D109,'Danh mục'!$A$26:$A$35,0))&amp;"","?"),IFERROR(INDEX('Danh mục'!$D$39:$D$78,MATCH(D109,'Danh mục'!$A$39:$A$78,0))&amp;"","?")))</f>
      </c>
      <c r="G109" s="16">
        <f>IF(OR(D109="",C109&lt;&gt;"Chi"),"",IFERROR(INDEX('Danh mục'!$C$39:$C$78,MATCH(D109,'Danh mục'!$A$39:$A$78,0))&amp;"",""))</f>
      </c>
      <c r="H109" s="11"/>
      <c r="I109" s="20"/>
      <c r="J109" s="11"/>
      <c r="K109" s="11"/>
      <c r="L109" s="11"/>
    </row>
    <row r="110" spans="1:12" x14ac:dyDescent="0.3">
      <c r="A110" s="31"/>
      <c r="B110" s="32">
        <f>IF(A110="","",DATE(YEAR(A110),MONTH(A110),1))</f>
      </c>
      <c r="C110" s="11"/>
      <c r="D110" s="11"/>
      <c r="E110" s="16">
        <f>IF(OR(D110="",C110&lt;&gt;"Chi"),"",IFERROR(INDEX('Danh mục'!$B$39:$B$78,MATCH(D110,'Danh mục'!$A$39:$A$78,0))&amp;"","?"))</f>
      </c>
      <c r="F110" s="16">
        <f>IF(D110="","",IF(C110="Thu",IFERROR(INDEX('Danh mục'!$B$26:$B$35,MATCH(D110,'Danh mục'!$A$26:$A$35,0))&amp;"","?"),IFERROR(INDEX('Danh mục'!$D$39:$D$78,MATCH(D110,'Danh mục'!$A$39:$A$78,0))&amp;"","?")))</f>
      </c>
      <c r="G110" s="16">
        <f>IF(OR(D110="",C110&lt;&gt;"Chi"),"",IFERROR(INDEX('Danh mục'!$C$39:$C$78,MATCH(D110,'Danh mục'!$A$39:$A$78,0))&amp;"",""))</f>
      </c>
      <c r="H110" s="11"/>
      <c r="I110" s="20"/>
      <c r="J110" s="11"/>
      <c r="K110" s="11"/>
      <c r="L110" s="11"/>
    </row>
    <row r="111" spans="1:12" x14ac:dyDescent="0.3">
      <c r="A111" s="31"/>
      <c r="B111" s="32">
        <f>IF(A111="","",DATE(YEAR(A111),MONTH(A111),1))</f>
      </c>
      <c r="C111" s="11"/>
      <c r="D111" s="11"/>
      <c r="E111" s="16">
        <f>IF(OR(D111="",C111&lt;&gt;"Chi"),"",IFERROR(INDEX('Danh mục'!$B$39:$B$78,MATCH(D111,'Danh mục'!$A$39:$A$78,0))&amp;"","?"))</f>
      </c>
      <c r="F111" s="16">
        <f>IF(D111="","",IF(C111="Thu",IFERROR(INDEX('Danh mục'!$B$26:$B$35,MATCH(D111,'Danh mục'!$A$26:$A$35,0))&amp;"","?"),IFERROR(INDEX('Danh mục'!$D$39:$D$78,MATCH(D111,'Danh mục'!$A$39:$A$78,0))&amp;"","?")))</f>
      </c>
      <c r="G111" s="16">
        <f>IF(OR(D111="",C111&lt;&gt;"Chi"),"",IFERROR(INDEX('Danh mục'!$C$39:$C$78,MATCH(D111,'Danh mục'!$A$39:$A$78,0))&amp;"",""))</f>
      </c>
      <c r="H111" s="11"/>
      <c r="I111" s="20"/>
      <c r="J111" s="11"/>
      <c r="K111" s="11"/>
      <c r="L111" s="11"/>
    </row>
    <row r="112" spans="1:12" x14ac:dyDescent="0.3">
      <c r="A112" s="31"/>
      <c r="B112" s="32">
        <f>IF(A112="","",DATE(YEAR(A112),MONTH(A112),1))</f>
      </c>
      <c r="C112" s="11"/>
      <c r="D112" s="11"/>
      <c r="E112" s="16">
        <f>IF(OR(D112="",C112&lt;&gt;"Chi"),"",IFERROR(INDEX('Danh mục'!$B$39:$B$78,MATCH(D112,'Danh mục'!$A$39:$A$78,0))&amp;"","?"))</f>
      </c>
      <c r="F112" s="16">
        <f>IF(D112="","",IF(C112="Thu",IFERROR(INDEX('Danh mục'!$B$26:$B$35,MATCH(D112,'Danh mục'!$A$26:$A$35,0))&amp;"","?"),IFERROR(INDEX('Danh mục'!$D$39:$D$78,MATCH(D112,'Danh mục'!$A$39:$A$78,0))&amp;"","?")))</f>
      </c>
      <c r="G112" s="16">
        <f>IF(OR(D112="",C112&lt;&gt;"Chi"),"",IFERROR(INDEX('Danh mục'!$C$39:$C$78,MATCH(D112,'Danh mục'!$A$39:$A$78,0))&amp;"",""))</f>
      </c>
      <c r="H112" s="11"/>
      <c r="I112" s="20"/>
      <c r="J112" s="11"/>
      <c r="K112" s="11"/>
      <c r="L112" s="11"/>
    </row>
    <row r="113" spans="1:12" x14ac:dyDescent="0.3">
      <c r="A113" s="31"/>
      <c r="B113" s="32">
        <f>IF(A113="","",DATE(YEAR(A113),MONTH(A113),1))</f>
      </c>
      <c r="C113" s="11"/>
      <c r="D113" s="11"/>
      <c r="E113" s="16">
        <f>IF(OR(D113="",C113&lt;&gt;"Chi"),"",IFERROR(INDEX('Danh mục'!$B$39:$B$78,MATCH(D113,'Danh mục'!$A$39:$A$78,0))&amp;"","?"))</f>
      </c>
      <c r="F113" s="16">
        <f>IF(D113="","",IF(C113="Thu",IFERROR(INDEX('Danh mục'!$B$26:$B$35,MATCH(D113,'Danh mục'!$A$26:$A$35,0))&amp;"","?"),IFERROR(INDEX('Danh mục'!$D$39:$D$78,MATCH(D113,'Danh mục'!$A$39:$A$78,0))&amp;"","?")))</f>
      </c>
      <c r="G113" s="16">
        <f>IF(OR(D113="",C113&lt;&gt;"Chi"),"",IFERROR(INDEX('Danh mục'!$C$39:$C$78,MATCH(D113,'Danh mục'!$A$39:$A$78,0))&amp;"",""))</f>
      </c>
      <c r="H113" s="11"/>
      <c r="I113" s="20"/>
      <c r="J113" s="11"/>
      <c r="K113" s="11"/>
      <c r="L113" s="11"/>
    </row>
    <row r="114" spans="1:12" x14ac:dyDescent="0.3">
      <c r="A114" s="31"/>
      <c r="B114" s="32">
        <f>IF(A114="","",DATE(YEAR(A114),MONTH(A114),1))</f>
      </c>
      <c r="C114" s="11"/>
      <c r="D114" s="11"/>
      <c r="E114" s="16">
        <f>IF(OR(D114="",C114&lt;&gt;"Chi"),"",IFERROR(INDEX('Danh mục'!$B$39:$B$78,MATCH(D114,'Danh mục'!$A$39:$A$78,0))&amp;"","?"))</f>
      </c>
      <c r="F114" s="16">
        <f>IF(D114="","",IF(C114="Thu",IFERROR(INDEX('Danh mục'!$B$26:$B$35,MATCH(D114,'Danh mục'!$A$26:$A$35,0))&amp;"","?"),IFERROR(INDEX('Danh mục'!$D$39:$D$78,MATCH(D114,'Danh mục'!$A$39:$A$78,0))&amp;"","?")))</f>
      </c>
      <c r="G114" s="16">
        <f>IF(OR(D114="",C114&lt;&gt;"Chi"),"",IFERROR(INDEX('Danh mục'!$C$39:$C$78,MATCH(D114,'Danh mục'!$A$39:$A$78,0))&amp;"",""))</f>
      </c>
      <c r="H114" s="11"/>
      <c r="I114" s="20"/>
      <c r="J114" s="11"/>
      <c r="K114" s="11"/>
      <c r="L114" s="11"/>
    </row>
    <row r="115" spans="1:12" x14ac:dyDescent="0.3">
      <c r="A115" s="31"/>
      <c r="B115" s="32">
        <f>IF(A115="","",DATE(YEAR(A115),MONTH(A115),1))</f>
      </c>
      <c r="C115" s="11"/>
      <c r="D115" s="11"/>
      <c r="E115" s="16">
        <f>IF(OR(D115="",C115&lt;&gt;"Chi"),"",IFERROR(INDEX('Danh mục'!$B$39:$B$78,MATCH(D115,'Danh mục'!$A$39:$A$78,0))&amp;"","?"))</f>
      </c>
      <c r="F115" s="16">
        <f>IF(D115="","",IF(C115="Thu",IFERROR(INDEX('Danh mục'!$B$26:$B$35,MATCH(D115,'Danh mục'!$A$26:$A$35,0))&amp;"","?"),IFERROR(INDEX('Danh mục'!$D$39:$D$78,MATCH(D115,'Danh mục'!$A$39:$A$78,0))&amp;"","?")))</f>
      </c>
      <c r="G115" s="16">
        <f>IF(OR(D115="",C115&lt;&gt;"Chi"),"",IFERROR(INDEX('Danh mục'!$C$39:$C$78,MATCH(D115,'Danh mục'!$A$39:$A$78,0))&amp;"",""))</f>
      </c>
      <c r="H115" s="11"/>
      <c r="I115" s="20"/>
      <c r="J115" s="11"/>
      <c r="K115" s="11"/>
      <c r="L115" s="11"/>
    </row>
    <row r="116" spans="1:12" x14ac:dyDescent="0.3">
      <c r="A116" s="31"/>
      <c r="B116" s="32">
        <f>IF(A116="","",DATE(YEAR(A116),MONTH(A116),1))</f>
      </c>
      <c r="C116" s="11"/>
      <c r="D116" s="11"/>
      <c r="E116" s="16">
        <f>IF(OR(D116="",C116&lt;&gt;"Chi"),"",IFERROR(INDEX('Danh mục'!$B$39:$B$78,MATCH(D116,'Danh mục'!$A$39:$A$78,0))&amp;"","?"))</f>
      </c>
      <c r="F116" s="16">
        <f>IF(D116="","",IF(C116="Thu",IFERROR(INDEX('Danh mục'!$B$26:$B$35,MATCH(D116,'Danh mục'!$A$26:$A$35,0))&amp;"","?"),IFERROR(INDEX('Danh mục'!$D$39:$D$78,MATCH(D116,'Danh mục'!$A$39:$A$78,0))&amp;"","?")))</f>
      </c>
      <c r="G116" s="16">
        <f>IF(OR(D116="",C116&lt;&gt;"Chi"),"",IFERROR(INDEX('Danh mục'!$C$39:$C$78,MATCH(D116,'Danh mục'!$A$39:$A$78,0))&amp;"",""))</f>
      </c>
      <c r="H116" s="11"/>
      <c r="I116" s="20"/>
      <c r="J116" s="11"/>
      <c r="K116" s="11"/>
      <c r="L116" s="11"/>
    </row>
    <row r="117" spans="1:12" x14ac:dyDescent="0.3">
      <c r="A117" s="31"/>
      <c r="B117" s="32">
        <f>IF(A117="","",DATE(YEAR(A117),MONTH(A117),1))</f>
      </c>
      <c r="C117" s="11"/>
      <c r="D117" s="11"/>
      <c r="E117" s="16">
        <f>IF(OR(D117="",C117&lt;&gt;"Chi"),"",IFERROR(INDEX('Danh mục'!$B$39:$B$78,MATCH(D117,'Danh mục'!$A$39:$A$78,0))&amp;"","?"))</f>
      </c>
      <c r="F117" s="16">
        <f>IF(D117="","",IF(C117="Thu",IFERROR(INDEX('Danh mục'!$B$26:$B$35,MATCH(D117,'Danh mục'!$A$26:$A$35,0))&amp;"","?"),IFERROR(INDEX('Danh mục'!$D$39:$D$78,MATCH(D117,'Danh mục'!$A$39:$A$78,0))&amp;"","?")))</f>
      </c>
      <c r="G117" s="16">
        <f>IF(OR(D117="",C117&lt;&gt;"Chi"),"",IFERROR(INDEX('Danh mục'!$C$39:$C$78,MATCH(D117,'Danh mục'!$A$39:$A$78,0))&amp;"",""))</f>
      </c>
      <c r="H117" s="11"/>
      <c r="I117" s="20"/>
      <c r="J117" s="11"/>
      <c r="K117" s="11"/>
      <c r="L117" s="11"/>
    </row>
    <row r="118" spans="1:12" x14ac:dyDescent="0.3">
      <c r="A118" s="31"/>
      <c r="B118" s="32">
        <f>IF(A118="","",DATE(YEAR(A118),MONTH(A118),1))</f>
      </c>
      <c r="C118" s="11"/>
      <c r="D118" s="11"/>
      <c r="E118" s="16">
        <f>IF(OR(D118="",C118&lt;&gt;"Chi"),"",IFERROR(INDEX('Danh mục'!$B$39:$B$78,MATCH(D118,'Danh mục'!$A$39:$A$78,0))&amp;"","?"))</f>
      </c>
      <c r="F118" s="16">
        <f>IF(D118="","",IF(C118="Thu",IFERROR(INDEX('Danh mục'!$B$26:$B$35,MATCH(D118,'Danh mục'!$A$26:$A$35,0))&amp;"","?"),IFERROR(INDEX('Danh mục'!$D$39:$D$78,MATCH(D118,'Danh mục'!$A$39:$A$78,0))&amp;"","?")))</f>
      </c>
      <c r="G118" s="16">
        <f>IF(OR(D118="",C118&lt;&gt;"Chi"),"",IFERROR(INDEX('Danh mục'!$C$39:$C$78,MATCH(D118,'Danh mục'!$A$39:$A$78,0))&amp;"",""))</f>
      </c>
      <c r="H118" s="11"/>
      <c r="I118" s="20"/>
      <c r="J118" s="11"/>
      <c r="K118" s="11"/>
      <c r="L118" s="11"/>
    </row>
    <row r="119" spans="1:12" x14ac:dyDescent="0.3">
      <c r="A119" s="31"/>
      <c r="B119" s="32">
        <f>IF(A119="","",DATE(YEAR(A119),MONTH(A119),1))</f>
      </c>
      <c r="C119" s="11"/>
      <c r="D119" s="11"/>
      <c r="E119" s="16">
        <f>IF(OR(D119="",C119&lt;&gt;"Chi"),"",IFERROR(INDEX('Danh mục'!$B$39:$B$78,MATCH(D119,'Danh mục'!$A$39:$A$78,0))&amp;"","?"))</f>
      </c>
      <c r="F119" s="16">
        <f>IF(D119="","",IF(C119="Thu",IFERROR(INDEX('Danh mục'!$B$26:$B$35,MATCH(D119,'Danh mục'!$A$26:$A$35,0))&amp;"","?"),IFERROR(INDEX('Danh mục'!$D$39:$D$78,MATCH(D119,'Danh mục'!$A$39:$A$78,0))&amp;"","?")))</f>
      </c>
      <c r="G119" s="16">
        <f>IF(OR(D119="",C119&lt;&gt;"Chi"),"",IFERROR(INDEX('Danh mục'!$C$39:$C$78,MATCH(D119,'Danh mục'!$A$39:$A$78,0))&amp;"",""))</f>
      </c>
      <c r="H119" s="11"/>
      <c r="I119" s="20"/>
      <c r="J119" s="11"/>
      <c r="K119" s="11"/>
      <c r="L119" s="11"/>
    </row>
    <row r="120" spans="1:12" x14ac:dyDescent="0.3">
      <c r="A120" s="31"/>
      <c r="B120" s="32">
        <f>IF(A120="","",DATE(YEAR(A120),MONTH(A120),1))</f>
      </c>
      <c r="C120" s="11"/>
      <c r="D120" s="11"/>
      <c r="E120" s="16">
        <f>IF(OR(D120="",C120&lt;&gt;"Chi"),"",IFERROR(INDEX('Danh mục'!$B$39:$B$78,MATCH(D120,'Danh mục'!$A$39:$A$78,0))&amp;"","?"))</f>
      </c>
      <c r="F120" s="16">
        <f>IF(D120="","",IF(C120="Thu",IFERROR(INDEX('Danh mục'!$B$26:$B$35,MATCH(D120,'Danh mục'!$A$26:$A$35,0))&amp;"","?"),IFERROR(INDEX('Danh mục'!$D$39:$D$78,MATCH(D120,'Danh mục'!$A$39:$A$78,0))&amp;"","?")))</f>
      </c>
      <c r="G120" s="16">
        <f>IF(OR(D120="",C120&lt;&gt;"Chi"),"",IFERROR(INDEX('Danh mục'!$C$39:$C$78,MATCH(D120,'Danh mục'!$A$39:$A$78,0))&amp;"",""))</f>
      </c>
      <c r="H120" s="11"/>
      <c r="I120" s="20"/>
      <c r="J120" s="11"/>
      <c r="K120" s="11"/>
      <c r="L120" s="11"/>
    </row>
    <row r="121" spans="1:12" x14ac:dyDescent="0.3">
      <c r="A121" s="31"/>
      <c r="B121" s="32">
        <f>IF(A121="","",DATE(YEAR(A121),MONTH(A121),1))</f>
      </c>
      <c r="C121" s="11"/>
      <c r="D121" s="11"/>
      <c r="E121" s="16">
        <f>IF(OR(D121="",C121&lt;&gt;"Chi"),"",IFERROR(INDEX('Danh mục'!$B$39:$B$78,MATCH(D121,'Danh mục'!$A$39:$A$78,0))&amp;"","?"))</f>
      </c>
      <c r="F121" s="16">
        <f>IF(D121="","",IF(C121="Thu",IFERROR(INDEX('Danh mục'!$B$26:$B$35,MATCH(D121,'Danh mục'!$A$26:$A$35,0))&amp;"","?"),IFERROR(INDEX('Danh mục'!$D$39:$D$78,MATCH(D121,'Danh mục'!$A$39:$A$78,0))&amp;"","?")))</f>
      </c>
      <c r="G121" s="16">
        <f>IF(OR(D121="",C121&lt;&gt;"Chi"),"",IFERROR(INDEX('Danh mục'!$C$39:$C$78,MATCH(D121,'Danh mục'!$A$39:$A$78,0))&amp;"",""))</f>
      </c>
      <c r="H121" s="11"/>
      <c r="I121" s="20"/>
      <c r="J121" s="11"/>
      <c r="K121" s="11"/>
      <c r="L121" s="11"/>
    </row>
    <row r="122" spans="1:12" x14ac:dyDescent="0.3">
      <c r="A122" s="31"/>
      <c r="B122" s="32">
        <f>IF(A122="","",DATE(YEAR(A122),MONTH(A122),1))</f>
      </c>
      <c r="C122" s="11"/>
      <c r="D122" s="11"/>
      <c r="E122" s="16">
        <f>IF(OR(D122="",C122&lt;&gt;"Chi"),"",IFERROR(INDEX('Danh mục'!$B$39:$B$78,MATCH(D122,'Danh mục'!$A$39:$A$78,0))&amp;"","?"))</f>
      </c>
      <c r="F122" s="16">
        <f>IF(D122="","",IF(C122="Thu",IFERROR(INDEX('Danh mục'!$B$26:$B$35,MATCH(D122,'Danh mục'!$A$26:$A$35,0))&amp;"","?"),IFERROR(INDEX('Danh mục'!$D$39:$D$78,MATCH(D122,'Danh mục'!$A$39:$A$78,0))&amp;"","?")))</f>
      </c>
      <c r="G122" s="16">
        <f>IF(OR(D122="",C122&lt;&gt;"Chi"),"",IFERROR(INDEX('Danh mục'!$C$39:$C$78,MATCH(D122,'Danh mục'!$A$39:$A$78,0))&amp;"",""))</f>
      </c>
      <c r="H122" s="11"/>
      <c r="I122" s="20"/>
      <c r="J122" s="11"/>
      <c r="K122" s="11"/>
      <c r="L122" s="11"/>
    </row>
    <row r="123" spans="1:12" x14ac:dyDescent="0.3">
      <c r="A123" s="31"/>
      <c r="B123" s="32">
        <f>IF(A123="","",DATE(YEAR(A123),MONTH(A123),1))</f>
      </c>
      <c r="C123" s="11"/>
      <c r="D123" s="11"/>
      <c r="E123" s="16">
        <f>IF(OR(D123="",C123&lt;&gt;"Chi"),"",IFERROR(INDEX('Danh mục'!$B$39:$B$78,MATCH(D123,'Danh mục'!$A$39:$A$78,0))&amp;"","?"))</f>
      </c>
      <c r="F123" s="16">
        <f>IF(D123="","",IF(C123="Thu",IFERROR(INDEX('Danh mục'!$B$26:$B$35,MATCH(D123,'Danh mục'!$A$26:$A$35,0))&amp;"","?"),IFERROR(INDEX('Danh mục'!$D$39:$D$78,MATCH(D123,'Danh mục'!$A$39:$A$78,0))&amp;"","?")))</f>
      </c>
      <c r="G123" s="16">
        <f>IF(OR(D123="",C123&lt;&gt;"Chi"),"",IFERROR(INDEX('Danh mục'!$C$39:$C$78,MATCH(D123,'Danh mục'!$A$39:$A$78,0))&amp;"",""))</f>
      </c>
      <c r="H123" s="11"/>
      <c r="I123" s="20"/>
      <c r="J123" s="11"/>
      <c r="K123" s="11"/>
      <c r="L123" s="11"/>
    </row>
    <row r="124" spans="1:12" x14ac:dyDescent="0.3">
      <c r="A124" s="31"/>
      <c r="B124" s="32">
        <f>IF(A124="","",DATE(YEAR(A124),MONTH(A124),1))</f>
      </c>
      <c r="C124" s="11"/>
      <c r="D124" s="11"/>
      <c r="E124" s="16">
        <f>IF(OR(D124="",C124&lt;&gt;"Chi"),"",IFERROR(INDEX('Danh mục'!$B$39:$B$78,MATCH(D124,'Danh mục'!$A$39:$A$78,0))&amp;"","?"))</f>
      </c>
      <c r="F124" s="16">
        <f>IF(D124="","",IF(C124="Thu",IFERROR(INDEX('Danh mục'!$B$26:$B$35,MATCH(D124,'Danh mục'!$A$26:$A$35,0))&amp;"","?"),IFERROR(INDEX('Danh mục'!$D$39:$D$78,MATCH(D124,'Danh mục'!$A$39:$A$78,0))&amp;"","?")))</f>
      </c>
      <c r="G124" s="16">
        <f>IF(OR(D124="",C124&lt;&gt;"Chi"),"",IFERROR(INDEX('Danh mục'!$C$39:$C$78,MATCH(D124,'Danh mục'!$A$39:$A$78,0))&amp;"",""))</f>
      </c>
      <c r="H124" s="11"/>
      <c r="I124" s="20"/>
      <c r="J124" s="11"/>
      <c r="K124" s="11"/>
      <c r="L124" s="11"/>
    </row>
    <row r="125" spans="1:12" x14ac:dyDescent="0.3">
      <c r="A125" s="31"/>
      <c r="B125" s="32">
        <f>IF(A125="","",DATE(YEAR(A125),MONTH(A125),1))</f>
      </c>
      <c r="C125" s="11"/>
      <c r="D125" s="11"/>
      <c r="E125" s="16">
        <f>IF(OR(D125="",C125&lt;&gt;"Chi"),"",IFERROR(INDEX('Danh mục'!$B$39:$B$78,MATCH(D125,'Danh mục'!$A$39:$A$78,0))&amp;"","?"))</f>
      </c>
      <c r="F125" s="16">
        <f>IF(D125="","",IF(C125="Thu",IFERROR(INDEX('Danh mục'!$B$26:$B$35,MATCH(D125,'Danh mục'!$A$26:$A$35,0))&amp;"","?"),IFERROR(INDEX('Danh mục'!$D$39:$D$78,MATCH(D125,'Danh mục'!$A$39:$A$78,0))&amp;"","?")))</f>
      </c>
      <c r="G125" s="16">
        <f>IF(OR(D125="",C125&lt;&gt;"Chi"),"",IFERROR(INDEX('Danh mục'!$C$39:$C$78,MATCH(D125,'Danh mục'!$A$39:$A$78,0))&amp;"",""))</f>
      </c>
      <c r="H125" s="11"/>
      <c r="I125" s="20"/>
      <c r="J125" s="11"/>
      <c r="K125" s="11"/>
      <c r="L125" s="11"/>
    </row>
    <row r="126" spans="1:12" x14ac:dyDescent="0.3">
      <c r="A126" s="31"/>
      <c r="B126" s="32">
        <f>IF(A126="","",DATE(YEAR(A126),MONTH(A126),1))</f>
      </c>
      <c r="C126" s="11"/>
      <c r="D126" s="11"/>
      <c r="E126" s="16">
        <f>IF(OR(D126="",C126&lt;&gt;"Chi"),"",IFERROR(INDEX('Danh mục'!$B$39:$B$78,MATCH(D126,'Danh mục'!$A$39:$A$78,0))&amp;"","?"))</f>
      </c>
      <c r="F126" s="16">
        <f>IF(D126="","",IF(C126="Thu",IFERROR(INDEX('Danh mục'!$B$26:$B$35,MATCH(D126,'Danh mục'!$A$26:$A$35,0))&amp;"","?"),IFERROR(INDEX('Danh mục'!$D$39:$D$78,MATCH(D126,'Danh mục'!$A$39:$A$78,0))&amp;"","?")))</f>
      </c>
      <c r="G126" s="16">
        <f>IF(OR(D126="",C126&lt;&gt;"Chi"),"",IFERROR(INDEX('Danh mục'!$C$39:$C$78,MATCH(D126,'Danh mục'!$A$39:$A$78,0))&amp;"",""))</f>
      </c>
      <c r="H126" s="11"/>
      <c r="I126" s="20"/>
      <c r="J126" s="11"/>
      <c r="K126" s="11"/>
      <c r="L126" s="11"/>
    </row>
    <row r="127" spans="1:12" x14ac:dyDescent="0.3">
      <c r="A127" s="31"/>
      <c r="B127" s="32">
        <f>IF(A127="","",DATE(YEAR(A127),MONTH(A127),1))</f>
      </c>
      <c r="C127" s="11"/>
      <c r="D127" s="11"/>
      <c r="E127" s="16">
        <f>IF(OR(D127="",C127&lt;&gt;"Chi"),"",IFERROR(INDEX('Danh mục'!$B$39:$B$78,MATCH(D127,'Danh mục'!$A$39:$A$78,0))&amp;"","?"))</f>
      </c>
      <c r="F127" s="16">
        <f>IF(D127="","",IF(C127="Thu",IFERROR(INDEX('Danh mục'!$B$26:$B$35,MATCH(D127,'Danh mục'!$A$26:$A$35,0))&amp;"","?"),IFERROR(INDEX('Danh mục'!$D$39:$D$78,MATCH(D127,'Danh mục'!$A$39:$A$78,0))&amp;"","?")))</f>
      </c>
      <c r="G127" s="16">
        <f>IF(OR(D127="",C127&lt;&gt;"Chi"),"",IFERROR(INDEX('Danh mục'!$C$39:$C$78,MATCH(D127,'Danh mục'!$A$39:$A$78,0))&amp;"",""))</f>
      </c>
      <c r="H127" s="11"/>
      <c r="I127" s="20"/>
      <c r="J127" s="11"/>
      <c r="K127" s="11"/>
      <c r="L127" s="11"/>
    </row>
    <row r="128" spans="1:12" x14ac:dyDescent="0.3">
      <c r="A128" s="31"/>
      <c r="B128" s="32">
        <f>IF(A128="","",DATE(YEAR(A128),MONTH(A128),1))</f>
      </c>
      <c r="C128" s="11"/>
      <c r="D128" s="11"/>
      <c r="E128" s="16">
        <f>IF(OR(D128="",C128&lt;&gt;"Chi"),"",IFERROR(INDEX('Danh mục'!$B$39:$B$78,MATCH(D128,'Danh mục'!$A$39:$A$78,0))&amp;"","?"))</f>
      </c>
      <c r="F128" s="16">
        <f>IF(D128="","",IF(C128="Thu",IFERROR(INDEX('Danh mục'!$B$26:$B$35,MATCH(D128,'Danh mục'!$A$26:$A$35,0))&amp;"","?"),IFERROR(INDEX('Danh mục'!$D$39:$D$78,MATCH(D128,'Danh mục'!$A$39:$A$78,0))&amp;"","?")))</f>
      </c>
      <c r="G128" s="16">
        <f>IF(OR(D128="",C128&lt;&gt;"Chi"),"",IFERROR(INDEX('Danh mục'!$C$39:$C$78,MATCH(D128,'Danh mục'!$A$39:$A$78,0))&amp;"",""))</f>
      </c>
      <c r="H128" s="11"/>
      <c r="I128" s="20"/>
      <c r="J128" s="11"/>
      <c r="K128" s="11"/>
      <c r="L128" s="11"/>
    </row>
    <row r="129" spans="1:12" x14ac:dyDescent="0.3">
      <c r="A129" s="31"/>
      <c r="B129" s="32">
        <f>IF(A129="","",DATE(YEAR(A129),MONTH(A129),1))</f>
      </c>
      <c r="C129" s="11"/>
      <c r="D129" s="11"/>
      <c r="E129" s="16">
        <f>IF(OR(D129="",C129&lt;&gt;"Chi"),"",IFERROR(INDEX('Danh mục'!$B$39:$B$78,MATCH(D129,'Danh mục'!$A$39:$A$78,0))&amp;"","?"))</f>
      </c>
      <c r="F129" s="16">
        <f>IF(D129="","",IF(C129="Thu",IFERROR(INDEX('Danh mục'!$B$26:$B$35,MATCH(D129,'Danh mục'!$A$26:$A$35,0))&amp;"","?"),IFERROR(INDEX('Danh mục'!$D$39:$D$78,MATCH(D129,'Danh mục'!$A$39:$A$78,0))&amp;"","?")))</f>
      </c>
      <c r="G129" s="16">
        <f>IF(OR(D129="",C129&lt;&gt;"Chi"),"",IFERROR(INDEX('Danh mục'!$C$39:$C$78,MATCH(D129,'Danh mục'!$A$39:$A$78,0))&amp;"",""))</f>
      </c>
      <c r="H129" s="11"/>
      <c r="I129" s="20"/>
      <c r="J129" s="11"/>
      <c r="K129" s="11"/>
      <c r="L129" s="11"/>
    </row>
    <row r="130" spans="1:12" x14ac:dyDescent="0.3">
      <c r="A130" s="31"/>
      <c r="B130" s="32">
        <f>IF(A130="","",DATE(YEAR(A130),MONTH(A130),1))</f>
      </c>
      <c r="C130" s="11"/>
      <c r="D130" s="11"/>
      <c r="E130" s="16">
        <f>IF(OR(D130="",C130&lt;&gt;"Chi"),"",IFERROR(INDEX('Danh mục'!$B$39:$B$78,MATCH(D130,'Danh mục'!$A$39:$A$78,0))&amp;"","?"))</f>
      </c>
      <c r="F130" s="16">
        <f>IF(D130="","",IF(C130="Thu",IFERROR(INDEX('Danh mục'!$B$26:$B$35,MATCH(D130,'Danh mục'!$A$26:$A$35,0))&amp;"","?"),IFERROR(INDEX('Danh mục'!$D$39:$D$78,MATCH(D130,'Danh mục'!$A$39:$A$78,0))&amp;"","?")))</f>
      </c>
      <c r="G130" s="16">
        <f>IF(OR(D130="",C130&lt;&gt;"Chi"),"",IFERROR(INDEX('Danh mục'!$C$39:$C$78,MATCH(D130,'Danh mục'!$A$39:$A$78,0))&amp;"",""))</f>
      </c>
      <c r="H130" s="11"/>
      <c r="I130" s="20"/>
      <c r="J130" s="11"/>
      <c r="K130" s="11"/>
      <c r="L130" s="11"/>
    </row>
    <row r="131" spans="1:12" x14ac:dyDescent="0.3">
      <c r="A131" s="31"/>
      <c r="B131" s="32">
        <f>IF(A131="","",DATE(YEAR(A131),MONTH(A131),1))</f>
      </c>
      <c r="C131" s="11"/>
      <c r="D131" s="11"/>
      <c r="E131" s="16">
        <f>IF(OR(D131="",C131&lt;&gt;"Chi"),"",IFERROR(INDEX('Danh mục'!$B$39:$B$78,MATCH(D131,'Danh mục'!$A$39:$A$78,0))&amp;"","?"))</f>
      </c>
      <c r="F131" s="16">
        <f>IF(D131="","",IF(C131="Thu",IFERROR(INDEX('Danh mục'!$B$26:$B$35,MATCH(D131,'Danh mục'!$A$26:$A$35,0))&amp;"","?"),IFERROR(INDEX('Danh mục'!$D$39:$D$78,MATCH(D131,'Danh mục'!$A$39:$A$78,0))&amp;"","?")))</f>
      </c>
      <c r="G131" s="16">
        <f>IF(OR(D131="",C131&lt;&gt;"Chi"),"",IFERROR(INDEX('Danh mục'!$C$39:$C$78,MATCH(D131,'Danh mục'!$A$39:$A$78,0))&amp;"",""))</f>
      </c>
      <c r="H131" s="11"/>
      <c r="I131" s="20"/>
      <c r="J131" s="11"/>
      <c r="K131" s="11"/>
      <c r="L131" s="11"/>
    </row>
    <row r="132" spans="1:12" x14ac:dyDescent="0.3">
      <c r="A132" s="31"/>
      <c r="B132" s="32">
        <f>IF(A132="","",DATE(YEAR(A132),MONTH(A132),1))</f>
      </c>
      <c r="C132" s="11"/>
      <c r="D132" s="11"/>
      <c r="E132" s="16">
        <f>IF(OR(D132="",C132&lt;&gt;"Chi"),"",IFERROR(INDEX('Danh mục'!$B$39:$B$78,MATCH(D132,'Danh mục'!$A$39:$A$78,0))&amp;"","?"))</f>
      </c>
      <c r="F132" s="16">
        <f>IF(D132="","",IF(C132="Thu",IFERROR(INDEX('Danh mục'!$B$26:$B$35,MATCH(D132,'Danh mục'!$A$26:$A$35,0))&amp;"","?"),IFERROR(INDEX('Danh mục'!$D$39:$D$78,MATCH(D132,'Danh mục'!$A$39:$A$78,0))&amp;"","?")))</f>
      </c>
      <c r="G132" s="16">
        <f>IF(OR(D132="",C132&lt;&gt;"Chi"),"",IFERROR(INDEX('Danh mục'!$C$39:$C$78,MATCH(D132,'Danh mục'!$A$39:$A$78,0))&amp;"",""))</f>
      </c>
      <c r="H132" s="11"/>
      <c r="I132" s="20"/>
      <c r="J132" s="11"/>
      <c r="K132" s="11"/>
      <c r="L132" s="11"/>
    </row>
    <row r="133" spans="1:12" x14ac:dyDescent="0.3">
      <c r="A133" s="31"/>
      <c r="B133" s="32">
        <f>IF(A133="","",DATE(YEAR(A133),MONTH(A133),1))</f>
      </c>
      <c r="C133" s="11"/>
      <c r="D133" s="11"/>
      <c r="E133" s="16">
        <f>IF(OR(D133="",C133&lt;&gt;"Chi"),"",IFERROR(INDEX('Danh mục'!$B$39:$B$78,MATCH(D133,'Danh mục'!$A$39:$A$78,0))&amp;"","?"))</f>
      </c>
      <c r="F133" s="16">
        <f>IF(D133="","",IF(C133="Thu",IFERROR(INDEX('Danh mục'!$B$26:$B$35,MATCH(D133,'Danh mục'!$A$26:$A$35,0))&amp;"","?"),IFERROR(INDEX('Danh mục'!$D$39:$D$78,MATCH(D133,'Danh mục'!$A$39:$A$78,0))&amp;"","?")))</f>
      </c>
      <c r="G133" s="16">
        <f>IF(OR(D133="",C133&lt;&gt;"Chi"),"",IFERROR(INDEX('Danh mục'!$C$39:$C$78,MATCH(D133,'Danh mục'!$A$39:$A$78,0))&amp;"",""))</f>
      </c>
      <c r="H133" s="11"/>
      <c r="I133" s="20"/>
      <c r="J133" s="11"/>
      <c r="K133" s="11"/>
      <c r="L133" s="11"/>
    </row>
    <row r="134" spans="1:12" x14ac:dyDescent="0.3">
      <c r="A134" s="31"/>
      <c r="B134" s="32">
        <f>IF(A134="","",DATE(YEAR(A134),MONTH(A134),1))</f>
      </c>
      <c r="C134" s="11"/>
      <c r="D134" s="11"/>
      <c r="E134" s="16">
        <f>IF(OR(D134="",C134&lt;&gt;"Chi"),"",IFERROR(INDEX('Danh mục'!$B$39:$B$78,MATCH(D134,'Danh mục'!$A$39:$A$78,0))&amp;"","?"))</f>
      </c>
      <c r="F134" s="16">
        <f>IF(D134="","",IF(C134="Thu",IFERROR(INDEX('Danh mục'!$B$26:$B$35,MATCH(D134,'Danh mục'!$A$26:$A$35,0))&amp;"","?"),IFERROR(INDEX('Danh mục'!$D$39:$D$78,MATCH(D134,'Danh mục'!$A$39:$A$78,0))&amp;"","?")))</f>
      </c>
      <c r="G134" s="16">
        <f>IF(OR(D134="",C134&lt;&gt;"Chi"),"",IFERROR(INDEX('Danh mục'!$C$39:$C$78,MATCH(D134,'Danh mục'!$A$39:$A$78,0))&amp;"",""))</f>
      </c>
      <c r="H134" s="11"/>
      <c r="I134" s="20"/>
      <c r="J134" s="11"/>
      <c r="K134" s="11"/>
      <c r="L134" s="11"/>
    </row>
    <row r="135" spans="1:12" x14ac:dyDescent="0.3">
      <c r="A135" s="31"/>
      <c r="B135" s="32">
        <f>IF(A135="","",DATE(YEAR(A135),MONTH(A135),1))</f>
      </c>
      <c r="C135" s="11"/>
      <c r="D135" s="11"/>
      <c r="E135" s="16">
        <f>IF(OR(D135="",C135&lt;&gt;"Chi"),"",IFERROR(INDEX('Danh mục'!$B$39:$B$78,MATCH(D135,'Danh mục'!$A$39:$A$78,0))&amp;"","?"))</f>
      </c>
      <c r="F135" s="16">
        <f>IF(D135="","",IF(C135="Thu",IFERROR(INDEX('Danh mục'!$B$26:$B$35,MATCH(D135,'Danh mục'!$A$26:$A$35,0))&amp;"","?"),IFERROR(INDEX('Danh mục'!$D$39:$D$78,MATCH(D135,'Danh mục'!$A$39:$A$78,0))&amp;"","?")))</f>
      </c>
      <c r="G135" s="16">
        <f>IF(OR(D135="",C135&lt;&gt;"Chi"),"",IFERROR(INDEX('Danh mục'!$C$39:$C$78,MATCH(D135,'Danh mục'!$A$39:$A$78,0))&amp;"",""))</f>
      </c>
      <c r="H135" s="11"/>
      <c r="I135" s="20"/>
      <c r="J135" s="11"/>
      <c r="K135" s="11"/>
      <c r="L135" s="11"/>
    </row>
    <row r="136" spans="1:12" x14ac:dyDescent="0.3">
      <c r="A136" s="31"/>
      <c r="B136" s="32">
        <f>IF(A136="","",DATE(YEAR(A136),MONTH(A136),1))</f>
      </c>
      <c r="C136" s="11"/>
      <c r="D136" s="11"/>
      <c r="E136" s="16">
        <f>IF(OR(D136="",C136&lt;&gt;"Chi"),"",IFERROR(INDEX('Danh mục'!$B$39:$B$78,MATCH(D136,'Danh mục'!$A$39:$A$78,0))&amp;"","?"))</f>
      </c>
      <c r="F136" s="16">
        <f>IF(D136="","",IF(C136="Thu",IFERROR(INDEX('Danh mục'!$B$26:$B$35,MATCH(D136,'Danh mục'!$A$26:$A$35,0))&amp;"","?"),IFERROR(INDEX('Danh mục'!$D$39:$D$78,MATCH(D136,'Danh mục'!$A$39:$A$78,0))&amp;"","?")))</f>
      </c>
      <c r="G136" s="16">
        <f>IF(OR(D136="",C136&lt;&gt;"Chi"),"",IFERROR(INDEX('Danh mục'!$C$39:$C$78,MATCH(D136,'Danh mục'!$A$39:$A$78,0))&amp;"",""))</f>
      </c>
      <c r="H136" s="11"/>
      <c r="I136" s="20"/>
      <c r="J136" s="11"/>
      <c r="K136" s="11"/>
      <c r="L136" s="11"/>
    </row>
    <row r="137" spans="1:12" x14ac:dyDescent="0.3">
      <c r="A137" s="31"/>
      <c r="B137" s="32">
        <f>IF(A137="","",DATE(YEAR(A137),MONTH(A137),1))</f>
      </c>
      <c r="C137" s="11"/>
      <c r="D137" s="11"/>
      <c r="E137" s="16">
        <f>IF(OR(D137="",C137&lt;&gt;"Chi"),"",IFERROR(INDEX('Danh mục'!$B$39:$B$78,MATCH(D137,'Danh mục'!$A$39:$A$78,0))&amp;"","?"))</f>
      </c>
      <c r="F137" s="16">
        <f>IF(D137="","",IF(C137="Thu",IFERROR(INDEX('Danh mục'!$B$26:$B$35,MATCH(D137,'Danh mục'!$A$26:$A$35,0))&amp;"","?"),IFERROR(INDEX('Danh mục'!$D$39:$D$78,MATCH(D137,'Danh mục'!$A$39:$A$78,0))&amp;"","?")))</f>
      </c>
      <c r="G137" s="16">
        <f>IF(OR(D137="",C137&lt;&gt;"Chi"),"",IFERROR(INDEX('Danh mục'!$C$39:$C$78,MATCH(D137,'Danh mục'!$A$39:$A$78,0))&amp;"",""))</f>
      </c>
      <c r="H137" s="11"/>
      <c r="I137" s="20"/>
      <c r="J137" s="11"/>
      <c r="K137" s="11"/>
      <c r="L137" s="11"/>
    </row>
    <row r="138" spans="1:12" x14ac:dyDescent="0.3">
      <c r="A138" s="31"/>
      <c r="B138" s="32">
        <f>IF(A138="","",DATE(YEAR(A138),MONTH(A138),1))</f>
      </c>
      <c r="C138" s="11"/>
      <c r="D138" s="11"/>
      <c r="E138" s="16">
        <f>IF(OR(D138="",C138&lt;&gt;"Chi"),"",IFERROR(INDEX('Danh mục'!$B$39:$B$78,MATCH(D138,'Danh mục'!$A$39:$A$78,0))&amp;"","?"))</f>
      </c>
      <c r="F138" s="16">
        <f>IF(D138="","",IF(C138="Thu",IFERROR(INDEX('Danh mục'!$B$26:$B$35,MATCH(D138,'Danh mục'!$A$26:$A$35,0))&amp;"","?"),IFERROR(INDEX('Danh mục'!$D$39:$D$78,MATCH(D138,'Danh mục'!$A$39:$A$78,0))&amp;"","?")))</f>
      </c>
      <c r="G138" s="16">
        <f>IF(OR(D138="",C138&lt;&gt;"Chi"),"",IFERROR(INDEX('Danh mục'!$C$39:$C$78,MATCH(D138,'Danh mục'!$A$39:$A$78,0))&amp;"",""))</f>
      </c>
      <c r="H138" s="11"/>
      <c r="I138" s="20"/>
      <c r="J138" s="11"/>
      <c r="K138" s="11"/>
      <c r="L138" s="11"/>
    </row>
    <row r="139" spans="1:12" x14ac:dyDescent="0.3">
      <c r="A139" s="31"/>
      <c r="B139" s="32">
        <f>IF(A139="","",DATE(YEAR(A139),MONTH(A139),1))</f>
      </c>
      <c r="C139" s="11"/>
      <c r="D139" s="11"/>
      <c r="E139" s="16">
        <f>IF(OR(D139="",C139&lt;&gt;"Chi"),"",IFERROR(INDEX('Danh mục'!$B$39:$B$78,MATCH(D139,'Danh mục'!$A$39:$A$78,0))&amp;"","?"))</f>
      </c>
      <c r="F139" s="16">
        <f>IF(D139="","",IF(C139="Thu",IFERROR(INDEX('Danh mục'!$B$26:$B$35,MATCH(D139,'Danh mục'!$A$26:$A$35,0))&amp;"","?"),IFERROR(INDEX('Danh mục'!$D$39:$D$78,MATCH(D139,'Danh mục'!$A$39:$A$78,0))&amp;"","?")))</f>
      </c>
      <c r="G139" s="16">
        <f>IF(OR(D139="",C139&lt;&gt;"Chi"),"",IFERROR(INDEX('Danh mục'!$C$39:$C$78,MATCH(D139,'Danh mục'!$A$39:$A$78,0))&amp;"",""))</f>
      </c>
      <c r="H139" s="11"/>
      <c r="I139" s="20"/>
      <c r="J139" s="11"/>
      <c r="K139" s="11"/>
      <c r="L139" s="11"/>
    </row>
    <row r="140" spans="1:12" x14ac:dyDescent="0.3">
      <c r="A140" s="31"/>
      <c r="B140" s="32">
        <f>IF(A140="","",DATE(YEAR(A140),MONTH(A140),1))</f>
      </c>
      <c r="C140" s="11"/>
      <c r="D140" s="11"/>
      <c r="E140" s="16">
        <f>IF(OR(D140="",C140&lt;&gt;"Chi"),"",IFERROR(INDEX('Danh mục'!$B$39:$B$78,MATCH(D140,'Danh mục'!$A$39:$A$78,0))&amp;"","?"))</f>
      </c>
      <c r="F140" s="16">
        <f>IF(D140="","",IF(C140="Thu",IFERROR(INDEX('Danh mục'!$B$26:$B$35,MATCH(D140,'Danh mục'!$A$26:$A$35,0))&amp;"","?"),IFERROR(INDEX('Danh mục'!$D$39:$D$78,MATCH(D140,'Danh mục'!$A$39:$A$78,0))&amp;"","?")))</f>
      </c>
      <c r="G140" s="16">
        <f>IF(OR(D140="",C140&lt;&gt;"Chi"),"",IFERROR(INDEX('Danh mục'!$C$39:$C$78,MATCH(D140,'Danh mục'!$A$39:$A$78,0))&amp;"",""))</f>
      </c>
      <c r="H140" s="11"/>
      <c r="I140" s="20"/>
      <c r="J140" s="11"/>
      <c r="K140" s="11"/>
      <c r="L140" s="11"/>
    </row>
    <row r="141" spans="1:12" x14ac:dyDescent="0.3">
      <c r="A141" s="31"/>
      <c r="B141" s="32">
        <f>IF(A141="","",DATE(YEAR(A141),MONTH(A141),1))</f>
      </c>
      <c r="C141" s="11"/>
      <c r="D141" s="11"/>
      <c r="E141" s="16">
        <f>IF(OR(D141="",C141&lt;&gt;"Chi"),"",IFERROR(INDEX('Danh mục'!$B$39:$B$78,MATCH(D141,'Danh mục'!$A$39:$A$78,0))&amp;"","?"))</f>
      </c>
      <c r="F141" s="16">
        <f>IF(D141="","",IF(C141="Thu",IFERROR(INDEX('Danh mục'!$B$26:$B$35,MATCH(D141,'Danh mục'!$A$26:$A$35,0))&amp;"","?"),IFERROR(INDEX('Danh mục'!$D$39:$D$78,MATCH(D141,'Danh mục'!$A$39:$A$78,0))&amp;"","?")))</f>
      </c>
      <c r="G141" s="16">
        <f>IF(OR(D141="",C141&lt;&gt;"Chi"),"",IFERROR(INDEX('Danh mục'!$C$39:$C$78,MATCH(D141,'Danh mục'!$A$39:$A$78,0))&amp;"",""))</f>
      </c>
      <c r="H141" s="11"/>
      <c r="I141" s="20"/>
      <c r="J141" s="11"/>
      <c r="K141" s="11"/>
      <c r="L141" s="11"/>
    </row>
    <row r="142" spans="1:12" x14ac:dyDescent="0.3">
      <c r="A142" s="31"/>
      <c r="B142" s="32">
        <f>IF(A142="","",DATE(YEAR(A142),MONTH(A142),1))</f>
      </c>
      <c r="C142" s="11"/>
      <c r="D142" s="11"/>
      <c r="E142" s="16">
        <f>IF(OR(D142="",C142&lt;&gt;"Chi"),"",IFERROR(INDEX('Danh mục'!$B$39:$B$78,MATCH(D142,'Danh mục'!$A$39:$A$78,0))&amp;"","?"))</f>
      </c>
      <c r="F142" s="16">
        <f>IF(D142="","",IF(C142="Thu",IFERROR(INDEX('Danh mục'!$B$26:$B$35,MATCH(D142,'Danh mục'!$A$26:$A$35,0))&amp;"","?"),IFERROR(INDEX('Danh mục'!$D$39:$D$78,MATCH(D142,'Danh mục'!$A$39:$A$78,0))&amp;"","?")))</f>
      </c>
      <c r="G142" s="16">
        <f>IF(OR(D142="",C142&lt;&gt;"Chi"),"",IFERROR(INDEX('Danh mục'!$C$39:$C$78,MATCH(D142,'Danh mục'!$A$39:$A$78,0))&amp;"",""))</f>
      </c>
      <c r="H142" s="11"/>
      <c r="I142" s="20"/>
      <c r="J142" s="11"/>
      <c r="K142" s="11"/>
      <c r="L142" s="11"/>
    </row>
    <row r="143" spans="1:12" x14ac:dyDescent="0.3">
      <c r="A143" s="31"/>
      <c r="B143" s="32">
        <f>IF(A143="","",DATE(YEAR(A143),MONTH(A143),1))</f>
      </c>
      <c r="C143" s="11"/>
      <c r="D143" s="11"/>
      <c r="E143" s="16">
        <f>IF(OR(D143="",C143&lt;&gt;"Chi"),"",IFERROR(INDEX('Danh mục'!$B$39:$B$78,MATCH(D143,'Danh mục'!$A$39:$A$78,0))&amp;"","?"))</f>
      </c>
      <c r="F143" s="16">
        <f>IF(D143="","",IF(C143="Thu",IFERROR(INDEX('Danh mục'!$B$26:$B$35,MATCH(D143,'Danh mục'!$A$26:$A$35,0))&amp;"","?"),IFERROR(INDEX('Danh mục'!$D$39:$D$78,MATCH(D143,'Danh mục'!$A$39:$A$78,0))&amp;"","?")))</f>
      </c>
      <c r="G143" s="16">
        <f>IF(OR(D143="",C143&lt;&gt;"Chi"),"",IFERROR(INDEX('Danh mục'!$C$39:$C$78,MATCH(D143,'Danh mục'!$A$39:$A$78,0))&amp;"",""))</f>
      </c>
      <c r="H143" s="11"/>
      <c r="I143" s="20"/>
      <c r="J143" s="11"/>
      <c r="K143" s="11"/>
      <c r="L143" s="11"/>
    </row>
    <row r="144" spans="1:12" x14ac:dyDescent="0.3">
      <c r="A144" s="31"/>
      <c r="B144" s="32">
        <f>IF(A144="","",DATE(YEAR(A144),MONTH(A144),1))</f>
      </c>
      <c r="C144" s="11"/>
      <c r="D144" s="11"/>
      <c r="E144" s="16">
        <f>IF(OR(D144="",C144&lt;&gt;"Chi"),"",IFERROR(INDEX('Danh mục'!$B$39:$B$78,MATCH(D144,'Danh mục'!$A$39:$A$78,0))&amp;"","?"))</f>
      </c>
      <c r="F144" s="16">
        <f>IF(D144="","",IF(C144="Thu",IFERROR(INDEX('Danh mục'!$B$26:$B$35,MATCH(D144,'Danh mục'!$A$26:$A$35,0))&amp;"","?"),IFERROR(INDEX('Danh mục'!$D$39:$D$78,MATCH(D144,'Danh mục'!$A$39:$A$78,0))&amp;"","?")))</f>
      </c>
      <c r="G144" s="16">
        <f>IF(OR(D144="",C144&lt;&gt;"Chi"),"",IFERROR(INDEX('Danh mục'!$C$39:$C$78,MATCH(D144,'Danh mục'!$A$39:$A$78,0))&amp;"",""))</f>
      </c>
      <c r="H144" s="11"/>
      <c r="I144" s="20"/>
      <c r="J144" s="11"/>
      <c r="K144" s="11"/>
      <c r="L144" s="11"/>
    </row>
    <row r="145" spans="1:12" x14ac:dyDescent="0.3">
      <c r="A145" s="31"/>
      <c r="B145" s="32">
        <f>IF(A145="","",DATE(YEAR(A145),MONTH(A145),1))</f>
      </c>
      <c r="C145" s="11"/>
      <c r="D145" s="11"/>
      <c r="E145" s="16">
        <f>IF(OR(D145="",C145&lt;&gt;"Chi"),"",IFERROR(INDEX('Danh mục'!$B$39:$B$78,MATCH(D145,'Danh mục'!$A$39:$A$78,0))&amp;"","?"))</f>
      </c>
      <c r="F145" s="16">
        <f>IF(D145="","",IF(C145="Thu",IFERROR(INDEX('Danh mục'!$B$26:$B$35,MATCH(D145,'Danh mục'!$A$26:$A$35,0))&amp;"","?"),IFERROR(INDEX('Danh mục'!$D$39:$D$78,MATCH(D145,'Danh mục'!$A$39:$A$78,0))&amp;"","?")))</f>
      </c>
      <c r="G145" s="16">
        <f>IF(OR(D145="",C145&lt;&gt;"Chi"),"",IFERROR(INDEX('Danh mục'!$C$39:$C$78,MATCH(D145,'Danh mục'!$A$39:$A$78,0))&amp;"",""))</f>
      </c>
      <c r="H145" s="11"/>
      <c r="I145" s="20"/>
      <c r="J145" s="11"/>
      <c r="K145" s="11"/>
      <c r="L145" s="11"/>
    </row>
    <row r="146" spans="1:12" x14ac:dyDescent="0.3">
      <c r="A146" s="31"/>
      <c r="B146" s="32">
        <f>IF(A146="","",DATE(YEAR(A146),MONTH(A146),1))</f>
      </c>
      <c r="C146" s="11"/>
      <c r="D146" s="11"/>
      <c r="E146" s="16">
        <f>IF(OR(D146="",C146&lt;&gt;"Chi"),"",IFERROR(INDEX('Danh mục'!$B$39:$B$78,MATCH(D146,'Danh mục'!$A$39:$A$78,0))&amp;"","?"))</f>
      </c>
      <c r="F146" s="16">
        <f>IF(D146="","",IF(C146="Thu",IFERROR(INDEX('Danh mục'!$B$26:$B$35,MATCH(D146,'Danh mục'!$A$26:$A$35,0))&amp;"","?"),IFERROR(INDEX('Danh mục'!$D$39:$D$78,MATCH(D146,'Danh mục'!$A$39:$A$78,0))&amp;"","?")))</f>
      </c>
      <c r="G146" s="16">
        <f>IF(OR(D146="",C146&lt;&gt;"Chi"),"",IFERROR(INDEX('Danh mục'!$C$39:$C$78,MATCH(D146,'Danh mục'!$A$39:$A$78,0))&amp;"",""))</f>
      </c>
      <c r="H146" s="11"/>
      <c r="I146" s="20"/>
      <c r="J146" s="11"/>
      <c r="K146" s="11"/>
      <c r="L146" s="11"/>
    </row>
    <row r="147" spans="1:12" x14ac:dyDescent="0.3">
      <c r="A147" s="31"/>
      <c r="B147" s="32">
        <f>IF(A147="","",DATE(YEAR(A147),MONTH(A147),1))</f>
      </c>
      <c r="C147" s="11"/>
      <c r="D147" s="11"/>
      <c r="E147" s="16">
        <f>IF(OR(D147="",C147&lt;&gt;"Chi"),"",IFERROR(INDEX('Danh mục'!$B$39:$B$78,MATCH(D147,'Danh mục'!$A$39:$A$78,0))&amp;"","?"))</f>
      </c>
      <c r="F147" s="16">
        <f>IF(D147="","",IF(C147="Thu",IFERROR(INDEX('Danh mục'!$B$26:$B$35,MATCH(D147,'Danh mục'!$A$26:$A$35,0))&amp;"","?"),IFERROR(INDEX('Danh mục'!$D$39:$D$78,MATCH(D147,'Danh mục'!$A$39:$A$78,0))&amp;"","?")))</f>
      </c>
      <c r="G147" s="16">
        <f>IF(OR(D147="",C147&lt;&gt;"Chi"),"",IFERROR(INDEX('Danh mục'!$C$39:$C$78,MATCH(D147,'Danh mục'!$A$39:$A$78,0))&amp;"",""))</f>
      </c>
      <c r="H147" s="11"/>
      <c r="I147" s="20"/>
      <c r="J147" s="11"/>
      <c r="K147" s="11"/>
      <c r="L147" s="11"/>
    </row>
    <row r="148" spans="1:12" x14ac:dyDescent="0.3">
      <c r="A148" s="31"/>
      <c r="B148" s="32">
        <f>IF(A148="","",DATE(YEAR(A148),MONTH(A148),1))</f>
      </c>
      <c r="C148" s="11"/>
      <c r="D148" s="11"/>
      <c r="E148" s="16">
        <f>IF(OR(D148="",C148&lt;&gt;"Chi"),"",IFERROR(INDEX('Danh mục'!$B$39:$B$78,MATCH(D148,'Danh mục'!$A$39:$A$78,0))&amp;"","?"))</f>
      </c>
      <c r="F148" s="16">
        <f>IF(D148="","",IF(C148="Thu",IFERROR(INDEX('Danh mục'!$B$26:$B$35,MATCH(D148,'Danh mục'!$A$26:$A$35,0))&amp;"","?"),IFERROR(INDEX('Danh mục'!$D$39:$D$78,MATCH(D148,'Danh mục'!$A$39:$A$78,0))&amp;"","?")))</f>
      </c>
      <c r="G148" s="16">
        <f>IF(OR(D148="",C148&lt;&gt;"Chi"),"",IFERROR(INDEX('Danh mục'!$C$39:$C$78,MATCH(D148,'Danh mục'!$A$39:$A$78,0))&amp;"",""))</f>
      </c>
      <c r="H148" s="11"/>
      <c r="I148" s="20"/>
      <c r="J148" s="11"/>
      <c r="K148" s="11"/>
      <c r="L148" s="11"/>
    </row>
    <row r="149" spans="1:12" x14ac:dyDescent="0.3">
      <c r="A149" s="31"/>
      <c r="B149" s="32">
        <f>IF(A149="","",DATE(YEAR(A149),MONTH(A149),1))</f>
      </c>
      <c r="C149" s="11"/>
      <c r="D149" s="11"/>
      <c r="E149" s="16">
        <f>IF(OR(D149="",C149&lt;&gt;"Chi"),"",IFERROR(INDEX('Danh mục'!$B$39:$B$78,MATCH(D149,'Danh mục'!$A$39:$A$78,0))&amp;"","?"))</f>
      </c>
      <c r="F149" s="16">
        <f>IF(D149="","",IF(C149="Thu",IFERROR(INDEX('Danh mục'!$B$26:$B$35,MATCH(D149,'Danh mục'!$A$26:$A$35,0))&amp;"","?"),IFERROR(INDEX('Danh mục'!$D$39:$D$78,MATCH(D149,'Danh mục'!$A$39:$A$78,0))&amp;"","?")))</f>
      </c>
      <c r="G149" s="16">
        <f>IF(OR(D149="",C149&lt;&gt;"Chi"),"",IFERROR(INDEX('Danh mục'!$C$39:$C$78,MATCH(D149,'Danh mục'!$A$39:$A$78,0))&amp;"",""))</f>
      </c>
      <c r="H149" s="11"/>
      <c r="I149" s="20"/>
      <c r="J149" s="11"/>
      <c r="K149" s="11"/>
      <c r="L149" s="11"/>
    </row>
    <row r="150" spans="1:12" x14ac:dyDescent="0.3">
      <c r="A150" s="31"/>
      <c r="B150" s="32">
        <f>IF(A150="","",DATE(YEAR(A150),MONTH(A150),1))</f>
      </c>
      <c r="C150" s="11"/>
      <c r="D150" s="11"/>
      <c r="E150" s="16">
        <f>IF(OR(D150="",C150&lt;&gt;"Chi"),"",IFERROR(INDEX('Danh mục'!$B$39:$B$78,MATCH(D150,'Danh mục'!$A$39:$A$78,0))&amp;"","?"))</f>
      </c>
      <c r="F150" s="16">
        <f>IF(D150="","",IF(C150="Thu",IFERROR(INDEX('Danh mục'!$B$26:$B$35,MATCH(D150,'Danh mục'!$A$26:$A$35,0))&amp;"","?"),IFERROR(INDEX('Danh mục'!$D$39:$D$78,MATCH(D150,'Danh mục'!$A$39:$A$78,0))&amp;"","?")))</f>
      </c>
      <c r="G150" s="16">
        <f>IF(OR(D150="",C150&lt;&gt;"Chi"),"",IFERROR(INDEX('Danh mục'!$C$39:$C$78,MATCH(D150,'Danh mục'!$A$39:$A$78,0))&amp;"",""))</f>
      </c>
      <c r="H150" s="11"/>
      <c r="I150" s="20"/>
      <c r="J150" s="11"/>
      <c r="K150" s="11"/>
      <c r="L150" s="11"/>
    </row>
    <row r="151" spans="1:12" x14ac:dyDescent="0.3">
      <c r="A151" s="31"/>
      <c r="B151" s="32">
        <f>IF(A151="","",DATE(YEAR(A151),MONTH(A151),1))</f>
      </c>
      <c r="C151" s="11"/>
      <c r="D151" s="11"/>
      <c r="E151" s="16">
        <f>IF(OR(D151="",C151&lt;&gt;"Chi"),"",IFERROR(INDEX('Danh mục'!$B$39:$B$78,MATCH(D151,'Danh mục'!$A$39:$A$78,0))&amp;"","?"))</f>
      </c>
      <c r="F151" s="16">
        <f>IF(D151="","",IF(C151="Thu",IFERROR(INDEX('Danh mục'!$B$26:$B$35,MATCH(D151,'Danh mục'!$A$26:$A$35,0))&amp;"","?"),IFERROR(INDEX('Danh mục'!$D$39:$D$78,MATCH(D151,'Danh mục'!$A$39:$A$78,0))&amp;"","?")))</f>
      </c>
      <c r="G151" s="16">
        <f>IF(OR(D151="",C151&lt;&gt;"Chi"),"",IFERROR(INDEX('Danh mục'!$C$39:$C$78,MATCH(D151,'Danh mục'!$A$39:$A$78,0))&amp;"",""))</f>
      </c>
      <c r="H151" s="11"/>
      <c r="I151" s="20"/>
      <c r="J151" s="11"/>
      <c r="K151" s="11"/>
      <c r="L151" s="11"/>
    </row>
    <row r="152" spans="1:12" x14ac:dyDescent="0.3">
      <c r="A152" s="31"/>
      <c r="B152" s="32">
        <f>IF(A152="","",DATE(YEAR(A152),MONTH(A152),1))</f>
      </c>
      <c r="C152" s="11"/>
      <c r="D152" s="11"/>
      <c r="E152" s="16">
        <f>IF(OR(D152="",C152&lt;&gt;"Chi"),"",IFERROR(INDEX('Danh mục'!$B$39:$B$78,MATCH(D152,'Danh mục'!$A$39:$A$78,0))&amp;"","?"))</f>
      </c>
      <c r="F152" s="16">
        <f>IF(D152="","",IF(C152="Thu",IFERROR(INDEX('Danh mục'!$B$26:$B$35,MATCH(D152,'Danh mục'!$A$26:$A$35,0))&amp;"","?"),IFERROR(INDEX('Danh mục'!$D$39:$D$78,MATCH(D152,'Danh mục'!$A$39:$A$78,0))&amp;"","?")))</f>
      </c>
      <c r="G152" s="16">
        <f>IF(OR(D152="",C152&lt;&gt;"Chi"),"",IFERROR(INDEX('Danh mục'!$C$39:$C$78,MATCH(D152,'Danh mục'!$A$39:$A$78,0))&amp;"",""))</f>
      </c>
      <c r="H152" s="11"/>
      <c r="I152" s="20"/>
      <c r="J152" s="11"/>
      <c r="K152" s="11"/>
      <c r="L152" s="11"/>
    </row>
    <row r="153" spans="1:12" x14ac:dyDescent="0.3">
      <c r="A153" s="31"/>
      <c r="B153" s="32">
        <f>IF(A153="","",DATE(YEAR(A153),MONTH(A153),1))</f>
      </c>
      <c r="C153" s="11"/>
      <c r="D153" s="11"/>
      <c r="E153" s="16">
        <f>IF(OR(D153="",C153&lt;&gt;"Chi"),"",IFERROR(INDEX('Danh mục'!$B$39:$B$78,MATCH(D153,'Danh mục'!$A$39:$A$78,0))&amp;"","?"))</f>
      </c>
      <c r="F153" s="16">
        <f>IF(D153="","",IF(C153="Thu",IFERROR(INDEX('Danh mục'!$B$26:$B$35,MATCH(D153,'Danh mục'!$A$26:$A$35,0))&amp;"","?"),IFERROR(INDEX('Danh mục'!$D$39:$D$78,MATCH(D153,'Danh mục'!$A$39:$A$78,0))&amp;"","?")))</f>
      </c>
      <c r="G153" s="16">
        <f>IF(OR(D153="",C153&lt;&gt;"Chi"),"",IFERROR(INDEX('Danh mục'!$C$39:$C$78,MATCH(D153,'Danh mục'!$A$39:$A$78,0))&amp;"",""))</f>
      </c>
      <c r="H153" s="11"/>
      <c r="I153" s="20"/>
      <c r="J153" s="11"/>
      <c r="K153" s="11"/>
      <c r="L153" s="11"/>
    </row>
    <row r="154" spans="1:12" x14ac:dyDescent="0.3">
      <c r="A154" s="31"/>
      <c r="B154" s="32">
        <f>IF(A154="","",DATE(YEAR(A154),MONTH(A154),1))</f>
      </c>
      <c r="C154" s="11"/>
      <c r="D154" s="11"/>
      <c r="E154" s="16">
        <f>IF(OR(D154="",C154&lt;&gt;"Chi"),"",IFERROR(INDEX('Danh mục'!$B$39:$B$78,MATCH(D154,'Danh mục'!$A$39:$A$78,0))&amp;"","?"))</f>
      </c>
      <c r="F154" s="16">
        <f>IF(D154="","",IF(C154="Thu",IFERROR(INDEX('Danh mục'!$B$26:$B$35,MATCH(D154,'Danh mục'!$A$26:$A$35,0))&amp;"","?"),IFERROR(INDEX('Danh mục'!$D$39:$D$78,MATCH(D154,'Danh mục'!$A$39:$A$78,0))&amp;"","?")))</f>
      </c>
      <c r="G154" s="16">
        <f>IF(OR(D154="",C154&lt;&gt;"Chi"),"",IFERROR(INDEX('Danh mục'!$C$39:$C$78,MATCH(D154,'Danh mục'!$A$39:$A$78,0))&amp;"",""))</f>
      </c>
      <c r="H154" s="11"/>
      <c r="I154" s="20"/>
      <c r="J154" s="11"/>
      <c r="K154" s="11"/>
      <c r="L154" s="11"/>
    </row>
    <row r="155" spans="1:12" x14ac:dyDescent="0.3">
      <c r="A155" s="31"/>
      <c r="B155" s="32">
        <f>IF(A155="","",DATE(YEAR(A155),MONTH(A155),1))</f>
      </c>
      <c r="C155" s="11"/>
      <c r="D155" s="11"/>
      <c r="E155" s="16">
        <f>IF(OR(D155="",C155&lt;&gt;"Chi"),"",IFERROR(INDEX('Danh mục'!$B$39:$B$78,MATCH(D155,'Danh mục'!$A$39:$A$78,0))&amp;"","?"))</f>
      </c>
      <c r="F155" s="16">
        <f>IF(D155="","",IF(C155="Thu",IFERROR(INDEX('Danh mục'!$B$26:$B$35,MATCH(D155,'Danh mục'!$A$26:$A$35,0))&amp;"","?"),IFERROR(INDEX('Danh mục'!$D$39:$D$78,MATCH(D155,'Danh mục'!$A$39:$A$78,0))&amp;"","?")))</f>
      </c>
      <c r="G155" s="16">
        <f>IF(OR(D155="",C155&lt;&gt;"Chi"),"",IFERROR(INDEX('Danh mục'!$C$39:$C$78,MATCH(D155,'Danh mục'!$A$39:$A$78,0))&amp;"",""))</f>
      </c>
      <c r="H155" s="11"/>
      <c r="I155" s="20"/>
      <c r="J155" s="11"/>
      <c r="K155" s="11"/>
      <c r="L155" s="11"/>
    </row>
    <row r="156" spans="1:12" x14ac:dyDescent="0.3">
      <c r="A156" s="31"/>
      <c r="B156" s="32">
        <f>IF(A156="","",DATE(YEAR(A156),MONTH(A156),1))</f>
      </c>
      <c r="C156" s="11"/>
      <c r="D156" s="11"/>
      <c r="E156" s="16">
        <f>IF(OR(D156="",C156&lt;&gt;"Chi"),"",IFERROR(INDEX('Danh mục'!$B$39:$B$78,MATCH(D156,'Danh mục'!$A$39:$A$78,0))&amp;"","?"))</f>
      </c>
      <c r="F156" s="16">
        <f>IF(D156="","",IF(C156="Thu",IFERROR(INDEX('Danh mục'!$B$26:$B$35,MATCH(D156,'Danh mục'!$A$26:$A$35,0))&amp;"","?"),IFERROR(INDEX('Danh mục'!$D$39:$D$78,MATCH(D156,'Danh mục'!$A$39:$A$78,0))&amp;"","?")))</f>
      </c>
      <c r="G156" s="16">
        <f>IF(OR(D156="",C156&lt;&gt;"Chi"),"",IFERROR(INDEX('Danh mục'!$C$39:$C$78,MATCH(D156,'Danh mục'!$A$39:$A$78,0))&amp;"",""))</f>
      </c>
      <c r="H156" s="11"/>
      <c r="I156" s="20"/>
      <c r="J156" s="11"/>
      <c r="K156" s="11"/>
      <c r="L156" s="11"/>
    </row>
    <row r="157" spans="1:12" x14ac:dyDescent="0.3">
      <c r="A157" s="31"/>
      <c r="B157" s="32">
        <f>IF(A157="","",DATE(YEAR(A157),MONTH(A157),1))</f>
      </c>
      <c r="C157" s="11"/>
      <c r="D157" s="11"/>
      <c r="E157" s="16">
        <f>IF(OR(D157="",C157&lt;&gt;"Chi"),"",IFERROR(INDEX('Danh mục'!$B$39:$B$78,MATCH(D157,'Danh mục'!$A$39:$A$78,0))&amp;"","?"))</f>
      </c>
      <c r="F157" s="16">
        <f>IF(D157="","",IF(C157="Thu",IFERROR(INDEX('Danh mục'!$B$26:$B$35,MATCH(D157,'Danh mục'!$A$26:$A$35,0))&amp;"","?"),IFERROR(INDEX('Danh mục'!$D$39:$D$78,MATCH(D157,'Danh mục'!$A$39:$A$78,0))&amp;"","?")))</f>
      </c>
      <c r="G157" s="16">
        <f>IF(OR(D157="",C157&lt;&gt;"Chi"),"",IFERROR(INDEX('Danh mục'!$C$39:$C$78,MATCH(D157,'Danh mục'!$A$39:$A$78,0))&amp;"",""))</f>
      </c>
      <c r="H157" s="11"/>
      <c r="I157" s="20"/>
      <c r="J157" s="11"/>
      <c r="K157" s="11"/>
      <c r="L157" s="11"/>
    </row>
    <row r="158" spans="1:12" x14ac:dyDescent="0.3">
      <c r="A158" s="31"/>
      <c r="B158" s="32">
        <f>IF(A158="","",DATE(YEAR(A158),MONTH(A158),1))</f>
      </c>
      <c r="C158" s="11"/>
      <c r="D158" s="11"/>
      <c r="E158" s="16">
        <f>IF(OR(D158="",C158&lt;&gt;"Chi"),"",IFERROR(INDEX('Danh mục'!$B$39:$B$78,MATCH(D158,'Danh mục'!$A$39:$A$78,0))&amp;"","?"))</f>
      </c>
      <c r="F158" s="16">
        <f>IF(D158="","",IF(C158="Thu",IFERROR(INDEX('Danh mục'!$B$26:$B$35,MATCH(D158,'Danh mục'!$A$26:$A$35,0))&amp;"","?"),IFERROR(INDEX('Danh mục'!$D$39:$D$78,MATCH(D158,'Danh mục'!$A$39:$A$78,0))&amp;"","?")))</f>
      </c>
      <c r="G158" s="16">
        <f>IF(OR(D158="",C158&lt;&gt;"Chi"),"",IFERROR(INDEX('Danh mục'!$C$39:$C$78,MATCH(D158,'Danh mục'!$A$39:$A$78,0))&amp;"",""))</f>
      </c>
      <c r="H158" s="11"/>
      <c r="I158" s="20"/>
      <c r="J158" s="11"/>
      <c r="K158" s="11"/>
      <c r="L158" s="11"/>
    </row>
    <row r="159" spans="1:12" x14ac:dyDescent="0.3">
      <c r="A159" s="31"/>
      <c r="B159" s="32">
        <f>IF(A159="","",DATE(YEAR(A159),MONTH(A159),1))</f>
      </c>
      <c r="C159" s="11"/>
      <c r="D159" s="11"/>
      <c r="E159" s="16">
        <f>IF(OR(D159="",C159&lt;&gt;"Chi"),"",IFERROR(INDEX('Danh mục'!$B$39:$B$78,MATCH(D159,'Danh mục'!$A$39:$A$78,0))&amp;"","?"))</f>
      </c>
      <c r="F159" s="16">
        <f>IF(D159="","",IF(C159="Thu",IFERROR(INDEX('Danh mục'!$B$26:$B$35,MATCH(D159,'Danh mục'!$A$26:$A$35,0))&amp;"","?"),IFERROR(INDEX('Danh mục'!$D$39:$D$78,MATCH(D159,'Danh mục'!$A$39:$A$78,0))&amp;"","?")))</f>
      </c>
      <c r="G159" s="16">
        <f>IF(OR(D159="",C159&lt;&gt;"Chi"),"",IFERROR(INDEX('Danh mục'!$C$39:$C$78,MATCH(D159,'Danh mục'!$A$39:$A$78,0))&amp;"",""))</f>
      </c>
      <c r="H159" s="11"/>
      <c r="I159" s="20"/>
      <c r="J159" s="11"/>
      <c r="K159" s="11"/>
      <c r="L159" s="11"/>
    </row>
    <row r="160" spans="1:12" x14ac:dyDescent="0.3">
      <c r="A160" s="31"/>
      <c r="B160" s="32">
        <f>IF(A160="","",DATE(YEAR(A160),MONTH(A160),1))</f>
      </c>
      <c r="C160" s="11"/>
      <c r="D160" s="11"/>
      <c r="E160" s="16">
        <f>IF(OR(D160="",C160&lt;&gt;"Chi"),"",IFERROR(INDEX('Danh mục'!$B$39:$B$78,MATCH(D160,'Danh mục'!$A$39:$A$78,0))&amp;"","?"))</f>
      </c>
      <c r="F160" s="16">
        <f>IF(D160="","",IF(C160="Thu",IFERROR(INDEX('Danh mục'!$B$26:$B$35,MATCH(D160,'Danh mục'!$A$26:$A$35,0))&amp;"","?"),IFERROR(INDEX('Danh mục'!$D$39:$D$78,MATCH(D160,'Danh mục'!$A$39:$A$78,0))&amp;"","?")))</f>
      </c>
      <c r="G160" s="16">
        <f>IF(OR(D160="",C160&lt;&gt;"Chi"),"",IFERROR(INDEX('Danh mục'!$C$39:$C$78,MATCH(D160,'Danh mục'!$A$39:$A$78,0))&amp;"",""))</f>
      </c>
      <c r="H160" s="11"/>
      <c r="I160" s="20"/>
      <c r="J160" s="11"/>
      <c r="K160" s="11"/>
      <c r="L160" s="11"/>
    </row>
    <row r="161" spans="1:12" x14ac:dyDescent="0.3">
      <c r="A161" s="31"/>
      <c r="B161" s="32">
        <f>IF(A161="","",DATE(YEAR(A161),MONTH(A161),1))</f>
      </c>
      <c r="C161" s="11"/>
      <c r="D161" s="11"/>
      <c r="E161" s="16">
        <f>IF(OR(D161="",C161&lt;&gt;"Chi"),"",IFERROR(INDEX('Danh mục'!$B$39:$B$78,MATCH(D161,'Danh mục'!$A$39:$A$78,0))&amp;"","?"))</f>
      </c>
      <c r="F161" s="16">
        <f>IF(D161="","",IF(C161="Thu",IFERROR(INDEX('Danh mục'!$B$26:$B$35,MATCH(D161,'Danh mục'!$A$26:$A$35,0))&amp;"","?"),IFERROR(INDEX('Danh mục'!$D$39:$D$78,MATCH(D161,'Danh mục'!$A$39:$A$78,0))&amp;"","?")))</f>
      </c>
      <c r="G161" s="16">
        <f>IF(OR(D161="",C161&lt;&gt;"Chi"),"",IFERROR(INDEX('Danh mục'!$C$39:$C$78,MATCH(D161,'Danh mục'!$A$39:$A$78,0))&amp;"",""))</f>
      </c>
      <c r="H161" s="11"/>
      <c r="I161" s="20"/>
      <c r="J161" s="11"/>
      <c r="K161" s="11"/>
      <c r="L161" s="11"/>
    </row>
    <row r="162" spans="1:12" x14ac:dyDescent="0.3">
      <c r="A162" s="31"/>
      <c r="B162" s="32">
        <f>IF(A162="","",DATE(YEAR(A162),MONTH(A162),1))</f>
      </c>
      <c r="C162" s="11"/>
      <c r="D162" s="11"/>
      <c r="E162" s="16">
        <f>IF(OR(D162="",C162&lt;&gt;"Chi"),"",IFERROR(INDEX('Danh mục'!$B$39:$B$78,MATCH(D162,'Danh mục'!$A$39:$A$78,0))&amp;"","?"))</f>
      </c>
      <c r="F162" s="16">
        <f>IF(D162="","",IF(C162="Thu",IFERROR(INDEX('Danh mục'!$B$26:$B$35,MATCH(D162,'Danh mục'!$A$26:$A$35,0))&amp;"","?"),IFERROR(INDEX('Danh mục'!$D$39:$D$78,MATCH(D162,'Danh mục'!$A$39:$A$78,0))&amp;"","?")))</f>
      </c>
      <c r="G162" s="16">
        <f>IF(OR(D162="",C162&lt;&gt;"Chi"),"",IFERROR(INDEX('Danh mục'!$C$39:$C$78,MATCH(D162,'Danh mục'!$A$39:$A$78,0))&amp;"",""))</f>
      </c>
      <c r="H162" s="11"/>
      <c r="I162" s="20"/>
      <c r="J162" s="11"/>
      <c r="K162" s="11"/>
      <c r="L162" s="11"/>
    </row>
    <row r="163" spans="1:12" x14ac:dyDescent="0.3">
      <c r="A163" s="31"/>
      <c r="B163" s="32">
        <f>IF(A163="","",DATE(YEAR(A163),MONTH(A163),1))</f>
      </c>
      <c r="C163" s="11"/>
      <c r="D163" s="11"/>
      <c r="E163" s="16">
        <f>IF(OR(D163="",C163&lt;&gt;"Chi"),"",IFERROR(INDEX('Danh mục'!$B$39:$B$78,MATCH(D163,'Danh mục'!$A$39:$A$78,0))&amp;"","?"))</f>
      </c>
      <c r="F163" s="16">
        <f>IF(D163="","",IF(C163="Thu",IFERROR(INDEX('Danh mục'!$B$26:$B$35,MATCH(D163,'Danh mục'!$A$26:$A$35,0))&amp;"","?"),IFERROR(INDEX('Danh mục'!$D$39:$D$78,MATCH(D163,'Danh mục'!$A$39:$A$78,0))&amp;"","?")))</f>
      </c>
      <c r="G163" s="16">
        <f>IF(OR(D163="",C163&lt;&gt;"Chi"),"",IFERROR(INDEX('Danh mục'!$C$39:$C$78,MATCH(D163,'Danh mục'!$A$39:$A$78,0))&amp;"",""))</f>
      </c>
      <c r="H163" s="11"/>
      <c r="I163" s="20"/>
      <c r="J163" s="11"/>
      <c r="K163" s="11"/>
      <c r="L163" s="11"/>
    </row>
    <row r="164" spans="1:12" x14ac:dyDescent="0.3">
      <c r="A164" s="31"/>
      <c r="B164" s="32">
        <f>IF(A164="","",DATE(YEAR(A164),MONTH(A164),1))</f>
      </c>
      <c r="C164" s="11"/>
      <c r="D164" s="11"/>
      <c r="E164" s="16">
        <f>IF(OR(D164="",C164&lt;&gt;"Chi"),"",IFERROR(INDEX('Danh mục'!$B$39:$B$78,MATCH(D164,'Danh mục'!$A$39:$A$78,0))&amp;"","?"))</f>
      </c>
      <c r="F164" s="16">
        <f>IF(D164="","",IF(C164="Thu",IFERROR(INDEX('Danh mục'!$B$26:$B$35,MATCH(D164,'Danh mục'!$A$26:$A$35,0))&amp;"","?"),IFERROR(INDEX('Danh mục'!$D$39:$D$78,MATCH(D164,'Danh mục'!$A$39:$A$78,0))&amp;"","?")))</f>
      </c>
      <c r="G164" s="16">
        <f>IF(OR(D164="",C164&lt;&gt;"Chi"),"",IFERROR(INDEX('Danh mục'!$C$39:$C$78,MATCH(D164,'Danh mục'!$A$39:$A$78,0))&amp;"",""))</f>
      </c>
      <c r="H164" s="11"/>
      <c r="I164" s="20"/>
      <c r="J164" s="11"/>
      <c r="K164" s="11"/>
      <c r="L164" s="11"/>
    </row>
    <row r="165" spans="1:12" x14ac:dyDescent="0.3">
      <c r="A165" s="31"/>
      <c r="B165" s="32">
        <f>IF(A165="","",DATE(YEAR(A165),MONTH(A165),1))</f>
      </c>
      <c r="C165" s="11"/>
      <c r="D165" s="11"/>
      <c r="E165" s="16">
        <f>IF(OR(D165="",C165&lt;&gt;"Chi"),"",IFERROR(INDEX('Danh mục'!$B$39:$B$78,MATCH(D165,'Danh mục'!$A$39:$A$78,0))&amp;"","?"))</f>
      </c>
      <c r="F165" s="16">
        <f>IF(D165="","",IF(C165="Thu",IFERROR(INDEX('Danh mục'!$B$26:$B$35,MATCH(D165,'Danh mục'!$A$26:$A$35,0))&amp;"","?"),IFERROR(INDEX('Danh mục'!$D$39:$D$78,MATCH(D165,'Danh mục'!$A$39:$A$78,0))&amp;"","?")))</f>
      </c>
      <c r="G165" s="16">
        <f>IF(OR(D165="",C165&lt;&gt;"Chi"),"",IFERROR(INDEX('Danh mục'!$C$39:$C$78,MATCH(D165,'Danh mục'!$A$39:$A$78,0))&amp;"",""))</f>
      </c>
      <c r="H165" s="11"/>
      <c r="I165" s="20"/>
      <c r="J165" s="11"/>
      <c r="K165" s="11"/>
      <c r="L165" s="11"/>
    </row>
    <row r="166" spans="1:12" x14ac:dyDescent="0.3">
      <c r="A166" s="31"/>
      <c r="B166" s="32">
        <f>IF(A166="","",DATE(YEAR(A166),MONTH(A166),1))</f>
      </c>
      <c r="C166" s="11"/>
      <c r="D166" s="11"/>
      <c r="E166" s="16">
        <f>IF(OR(D166="",C166&lt;&gt;"Chi"),"",IFERROR(INDEX('Danh mục'!$B$39:$B$78,MATCH(D166,'Danh mục'!$A$39:$A$78,0))&amp;"","?"))</f>
      </c>
      <c r="F166" s="16">
        <f>IF(D166="","",IF(C166="Thu",IFERROR(INDEX('Danh mục'!$B$26:$B$35,MATCH(D166,'Danh mục'!$A$26:$A$35,0))&amp;"","?"),IFERROR(INDEX('Danh mục'!$D$39:$D$78,MATCH(D166,'Danh mục'!$A$39:$A$78,0))&amp;"","?")))</f>
      </c>
      <c r="G166" s="16">
        <f>IF(OR(D166="",C166&lt;&gt;"Chi"),"",IFERROR(INDEX('Danh mục'!$C$39:$C$78,MATCH(D166,'Danh mục'!$A$39:$A$78,0))&amp;"",""))</f>
      </c>
      <c r="H166" s="11"/>
      <c r="I166" s="20"/>
      <c r="J166" s="11"/>
      <c r="K166" s="11"/>
      <c r="L166" s="11"/>
    </row>
    <row r="167" spans="1:12" x14ac:dyDescent="0.3">
      <c r="A167" s="31"/>
      <c r="B167" s="32">
        <f>IF(A167="","",DATE(YEAR(A167),MONTH(A167),1))</f>
      </c>
      <c r="C167" s="11"/>
      <c r="D167" s="11"/>
      <c r="E167" s="16">
        <f>IF(OR(D167="",C167&lt;&gt;"Chi"),"",IFERROR(INDEX('Danh mục'!$B$39:$B$78,MATCH(D167,'Danh mục'!$A$39:$A$78,0))&amp;"","?"))</f>
      </c>
      <c r="F167" s="16">
        <f>IF(D167="","",IF(C167="Thu",IFERROR(INDEX('Danh mục'!$B$26:$B$35,MATCH(D167,'Danh mục'!$A$26:$A$35,0))&amp;"","?"),IFERROR(INDEX('Danh mục'!$D$39:$D$78,MATCH(D167,'Danh mục'!$A$39:$A$78,0))&amp;"","?")))</f>
      </c>
      <c r="G167" s="16">
        <f>IF(OR(D167="",C167&lt;&gt;"Chi"),"",IFERROR(INDEX('Danh mục'!$C$39:$C$78,MATCH(D167,'Danh mục'!$A$39:$A$78,0))&amp;"",""))</f>
      </c>
      <c r="H167" s="11"/>
      <c r="I167" s="20"/>
      <c r="J167" s="11"/>
      <c r="K167" s="11"/>
      <c r="L167" s="11"/>
    </row>
    <row r="168" spans="1:12" x14ac:dyDescent="0.3">
      <c r="A168" s="31"/>
      <c r="B168" s="32">
        <f>IF(A168="","",DATE(YEAR(A168),MONTH(A168),1))</f>
      </c>
      <c r="C168" s="11"/>
      <c r="D168" s="11"/>
      <c r="E168" s="16">
        <f>IF(OR(D168="",C168&lt;&gt;"Chi"),"",IFERROR(INDEX('Danh mục'!$B$39:$B$78,MATCH(D168,'Danh mục'!$A$39:$A$78,0))&amp;"","?"))</f>
      </c>
      <c r="F168" s="16">
        <f>IF(D168="","",IF(C168="Thu",IFERROR(INDEX('Danh mục'!$B$26:$B$35,MATCH(D168,'Danh mục'!$A$26:$A$35,0))&amp;"","?"),IFERROR(INDEX('Danh mục'!$D$39:$D$78,MATCH(D168,'Danh mục'!$A$39:$A$78,0))&amp;"","?")))</f>
      </c>
      <c r="G168" s="16">
        <f>IF(OR(D168="",C168&lt;&gt;"Chi"),"",IFERROR(INDEX('Danh mục'!$C$39:$C$78,MATCH(D168,'Danh mục'!$A$39:$A$78,0))&amp;"",""))</f>
      </c>
      <c r="H168" s="11"/>
      <c r="I168" s="20"/>
      <c r="J168" s="11"/>
      <c r="K168" s="11"/>
      <c r="L168" s="11"/>
    </row>
    <row r="169" spans="1:12" x14ac:dyDescent="0.3">
      <c r="A169" s="31"/>
      <c r="B169" s="32">
        <f>IF(A169="","",DATE(YEAR(A169),MONTH(A169),1))</f>
      </c>
      <c r="C169" s="11"/>
      <c r="D169" s="11"/>
      <c r="E169" s="16">
        <f>IF(OR(D169="",C169&lt;&gt;"Chi"),"",IFERROR(INDEX('Danh mục'!$B$39:$B$78,MATCH(D169,'Danh mục'!$A$39:$A$78,0))&amp;"","?"))</f>
      </c>
      <c r="F169" s="16">
        <f>IF(D169="","",IF(C169="Thu",IFERROR(INDEX('Danh mục'!$B$26:$B$35,MATCH(D169,'Danh mục'!$A$26:$A$35,0))&amp;"","?"),IFERROR(INDEX('Danh mục'!$D$39:$D$78,MATCH(D169,'Danh mục'!$A$39:$A$78,0))&amp;"","?")))</f>
      </c>
      <c r="G169" s="16">
        <f>IF(OR(D169="",C169&lt;&gt;"Chi"),"",IFERROR(INDEX('Danh mục'!$C$39:$C$78,MATCH(D169,'Danh mục'!$A$39:$A$78,0))&amp;"",""))</f>
      </c>
      <c r="H169" s="11"/>
      <c r="I169" s="20"/>
      <c r="J169" s="11"/>
      <c r="K169" s="11"/>
      <c r="L169" s="11"/>
    </row>
    <row r="170" spans="1:12" x14ac:dyDescent="0.3">
      <c r="A170" s="31"/>
      <c r="B170" s="32">
        <f>IF(A170="","",DATE(YEAR(A170),MONTH(A170),1))</f>
      </c>
      <c r="C170" s="11"/>
      <c r="D170" s="11"/>
      <c r="E170" s="16">
        <f>IF(OR(D170="",C170&lt;&gt;"Chi"),"",IFERROR(INDEX('Danh mục'!$B$39:$B$78,MATCH(D170,'Danh mục'!$A$39:$A$78,0))&amp;"","?"))</f>
      </c>
      <c r="F170" s="16">
        <f>IF(D170="","",IF(C170="Thu",IFERROR(INDEX('Danh mục'!$B$26:$B$35,MATCH(D170,'Danh mục'!$A$26:$A$35,0))&amp;"","?"),IFERROR(INDEX('Danh mục'!$D$39:$D$78,MATCH(D170,'Danh mục'!$A$39:$A$78,0))&amp;"","?")))</f>
      </c>
      <c r="G170" s="16">
        <f>IF(OR(D170="",C170&lt;&gt;"Chi"),"",IFERROR(INDEX('Danh mục'!$C$39:$C$78,MATCH(D170,'Danh mục'!$A$39:$A$78,0))&amp;"",""))</f>
      </c>
      <c r="H170" s="11"/>
      <c r="I170" s="20"/>
      <c r="J170" s="11"/>
      <c r="K170" s="11"/>
      <c r="L170" s="11"/>
    </row>
    <row r="171" spans="1:12" x14ac:dyDescent="0.3">
      <c r="A171" s="31"/>
      <c r="B171" s="32">
        <f>IF(A171="","",DATE(YEAR(A171),MONTH(A171),1))</f>
      </c>
      <c r="C171" s="11"/>
      <c r="D171" s="11"/>
      <c r="E171" s="16">
        <f>IF(OR(D171="",C171&lt;&gt;"Chi"),"",IFERROR(INDEX('Danh mục'!$B$39:$B$78,MATCH(D171,'Danh mục'!$A$39:$A$78,0))&amp;"","?"))</f>
      </c>
      <c r="F171" s="16">
        <f>IF(D171="","",IF(C171="Thu",IFERROR(INDEX('Danh mục'!$B$26:$B$35,MATCH(D171,'Danh mục'!$A$26:$A$35,0))&amp;"","?"),IFERROR(INDEX('Danh mục'!$D$39:$D$78,MATCH(D171,'Danh mục'!$A$39:$A$78,0))&amp;"","?")))</f>
      </c>
      <c r="G171" s="16">
        <f>IF(OR(D171="",C171&lt;&gt;"Chi"),"",IFERROR(INDEX('Danh mục'!$C$39:$C$78,MATCH(D171,'Danh mục'!$A$39:$A$78,0))&amp;"",""))</f>
      </c>
      <c r="H171" s="11"/>
      <c r="I171" s="20"/>
      <c r="J171" s="11"/>
      <c r="K171" s="11"/>
      <c r="L171" s="11"/>
    </row>
    <row r="172" spans="1:12" x14ac:dyDescent="0.3">
      <c r="A172" s="31"/>
      <c r="B172" s="32">
        <f>IF(A172="","",DATE(YEAR(A172),MONTH(A172),1))</f>
      </c>
      <c r="C172" s="11"/>
      <c r="D172" s="11"/>
      <c r="E172" s="16">
        <f>IF(OR(D172="",C172&lt;&gt;"Chi"),"",IFERROR(INDEX('Danh mục'!$B$39:$B$78,MATCH(D172,'Danh mục'!$A$39:$A$78,0))&amp;"","?"))</f>
      </c>
      <c r="F172" s="16">
        <f>IF(D172="","",IF(C172="Thu",IFERROR(INDEX('Danh mục'!$B$26:$B$35,MATCH(D172,'Danh mục'!$A$26:$A$35,0))&amp;"","?"),IFERROR(INDEX('Danh mục'!$D$39:$D$78,MATCH(D172,'Danh mục'!$A$39:$A$78,0))&amp;"","?")))</f>
      </c>
      <c r="G172" s="16">
        <f>IF(OR(D172="",C172&lt;&gt;"Chi"),"",IFERROR(INDEX('Danh mục'!$C$39:$C$78,MATCH(D172,'Danh mục'!$A$39:$A$78,0))&amp;"",""))</f>
      </c>
      <c r="H172" s="11"/>
      <c r="I172" s="20"/>
      <c r="J172" s="11"/>
      <c r="K172" s="11"/>
      <c r="L172" s="11"/>
    </row>
    <row r="173" spans="1:12" x14ac:dyDescent="0.3">
      <c r="A173" s="31"/>
      <c r="B173" s="32">
        <f>IF(A173="","",DATE(YEAR(A173),MONTH(A173),1))</f>
      </c>
      <c r="C173" s="11"/>
      <c r="D173" s="11"/>
      <c r="E173" s="16">
        <f>IF(OR(D173="",C173&lt;&gt;"Chi"),"",IFERROR(INDEX('Danh mục'!$B$39:$B$78,MATCH(D173,'Danh mục'!$A$39:$A$78,0))&amp;"","?"))</f>
      </c>
      <c r="F173" s="16">
        <f>IF(D173="","",IF(C173="Thu",IFERROR(INDEX('Danh mục'!$B$26:$B$35,MATCH(D173,'Danh mục'!$A$26:$A$35,0))&amp;"","?"),IFERROR(INDEX('Danh mục'!$D$39:$D$78,MATCH(D173,'Danh mục'!$A$39:$A$78,0))&amp;"","?")))</f>
      </c>
      <c r="G173" s="16">
        <f>IF(OR(D173="",C173&lt;&gt;"Chi"),"",IFERROR(INDEX('Danh mục'!$C$39:$C$78,MATCH(D173,'Danh mục'!$A$39:$A$78,0))&amp;"",""))</f>
      </c>
      <c r="H173" s="11"/>
      <c r="I173" s="20"/>
      <c r="J173" s="11"/>
      <c r="K173" s="11"/>
      <c r="L173" s="11"/>
    </row>
    <row r="174" spans="1:12" x14ac:dyDescent="0.3">
      <c r="A174" s="31"/>
      <c r="B174" s="32">
        <f>IF(A174="","",DATE(YEAR(A174),MONTH(A174),1))</f>
      </c>
      <c r="C174" s="11"/>
      <c r="D174" s="11"/>
      <c r="E174" s="16">
        <f>IF(OR(D174="",C174&lt;&gt;"Chi"),"",IFERROR(INDEX('Danh mục'!$B$39:$B$78,MATCH(D174,'Danh mục'!$A$39:$A$78,0))&amp;"","?"))</f>
      </c>
      <c r="F174" s="16">
        <f>IF(D174="","",IF(C174="Thu",IFERROR(INDEX('Danh mục'!$B$26:$B$35,MATCH(D174,'Danh mục'!$A$26:$A$35,0))&amp;"","?"),IFERROR(INDEX('Danh mục'!$D$39:$D$78,MATCH(D174,'Danh mục'!$A$39:$A$78,0))&amp;"","?")))</f>
      </c>
      <c r="G174" s="16">
        <f>IF(OR(D174="",C174&lt;&gt;"Chi"),"",IFERROR(INDEX('Danh mục'!$C$39:$C$78,MATCH(D174,'Danh mục'!$A$39:$A$78,0))&amp;"",""))</f>
      </c>
      <c r="H174" s="11"/>
      <c r="I174" s="20"/>
      <c r="J174" s="11"/>
      <c r="K174" s="11"/>
      <c r="L174" s="11"/>
    </row>
    <row r="175" spans="1:12" x14ac:dyDescent="0.3">
      <c r="A175" s="31"/>
      <c r="B175" s="32">
        <f>IF(A175="","",DATE(YEAR(A175),MONTH(A175),1))</f>
      </c>
      <c r="C175" s="11"/>
      <c r="D175" s="11"/>
      <c r="E175" s="16">
        <f>IF(OR(D175="",C175&lt;&gt;"Chi"),"",IFERROR(INDEX('Danh mục'!$B$39:$B$78,MATCH(D175,'Danh mục'!$A$39:$A$78,0))&amp;"","?"))</f>
      </c>
      <c r="F175" s="16">
        <f>IF(D175="","",IF(C175="Thu",IFERROR(INDEX('Danh mục'!$B$26:$B$35,MATCH(D175,'Danh mục'!$A$26:$A$35,0))&amp;"","?"),IFERROR(INDEX('Danh mục'!$D$39:$D$78,MATCH(D175,'Danh mục'!$A$39:$A$78,0))&amp;"","?")))</f>
      </c>
      <c r="G175" s="16">
        <f>IF(OR(D175="",C175&lt;&gt;"Chi"),"",IFERROR(INDEX('Danh mục'!$C$39:$C$78,MATCH(D175,'Danh mục'!$A$39:$A$78,0))&amp;"",""))</f>
      </c>
      <c r="H175" s="11"/>
      <c r="I175" s="20"/>
      <c r="J175" s="11"/>
      <c r="K175" s="11"/>
      <c r="L175" s="11"/>
    </row>
    <row r="176" spans="1:12" x14ac:dyDescent="0.3">
      <c r="A176" s="31"/>
      <c r="B176" s="32">
        <f>IF(A176="","",DATE(YEAR(A176),MONTH(A176),1))</f>
      </c>
      <c r="C176" s="11"/>
      <c r="D176" s="11"/>
      <c r="E176" s="16">
        <f>IF(OR(D176="",C176&lt;&gt;"Chi"),"",IFERROR(INDEX('Danh mục'!$B$39:$B$78,MATCH(D176,'Danh mục'!$A$39:$A$78,0))&amp;"","?"))</f>
      </c>
      <c r="F176" s="16">
        <f>IF(D176="","",IF(C176="Thu",IFERROR(INDEX('Danh mục'!$B$26:$B$35,MATCH(D176,'Danh mục'!$A$26:$A$35,0))&amp;"","?"),IFERROR(INDEX('Danh mục'!$D$39:$D$78,MATCH(D176,'Danh mục'!$A$39:$A$78,0))&amp;"","?")))</f>
      </c>
      <c r="G176" s="16">
        <f>IF(OR(D176="",C176&lt;&gt;"Chi"),"",IFERROR(INDEX('Danh mục'!$C$39:$C$78,MATCH(D176,'Danh mục'!$A$39:$A$78,0))&amp;"",""))</f>
      </c>
      <c r="H176" s="11"/>
      <c r="I176" s="20"/>
      <c r="J176" s="11"/>
      <c r="K176" s="11"/>
      <c r="L176" s="11"/>
    </row>
    <row r="177" spans="1:12" x14ac:dyDescent="0.3">
      <c r="A177" s="31"/>
      <c r="B177" s="32">
        <f>IF(A177="","",DATE(YEAR(A177),MONTH(A177),1))</f>
      </c>
      <c r="C177" s="11"/>
      <c r="D177" s="11"/>
      <c r="E177" s="16">
        <f>IF(OR(D177="",C177&lt;&gt;"Chi"),"",IFERROR(INDEX('Danh mục'!$B$39:$B$78,MATCH(D177,'Danh mục'!$A$39:$A$78,0))&amp;"","?"))</f>
      </c>
      <c r="F177" s="16">
        <f>IF(D177="","",IF(C177="Thu",IFERROR(INDEX('Danh mục'!$B$26:$B$35,MATCH(D177,'Danh mục'!$A$26:$A$35,0))&amp;"","?"),IFERROR(INDEX('Danh mục'!$D$39:$D$78,MATCH(D177,'Danh mục'!$A$39:$A$78,0))&amp;"","?")))</f>
      </c>
      <c r="G177" s="16">
        <f>IF(OR(D177="",C177&lt;&gt;"Chi"),"",IFERROR(INDEX('Danh mục'!$C$39:$C$78,MATCH(D177,'Danh mục'!$A$39:$A$78,0))&amp;"",""))</f>
      </c>
      <c r="H177" s="11"/>
      <c r="I177" s="20"/>
      <c r="J177" s="11"/>
      <c r="K177" s="11"/>
      <c r="L177" s="11"/>
    </row>
    <row r="178" spans="1:12" x14ac:dyDescent="0.3">
      <c r="A178" s="31"/>
      <c r="B178" s="32">
        <f>IF(A178="","",DATE(YEAR(A178),MONTH(A178),1))</f>
      </c>
      <c r="C178" s="11"/>
      <c r="D178" s="11"/>
      <c r="E178" s="16">
        <f>IF(OR(D178="",C178&lt;&gt;"Chi"),"",IFERROR(INDEX('Danh mục'!$B$39:$B$78,MATCH(D178,'Danh mục'!$A$39:$A$78,0))&amp;"","?"))</f>
      </c>
      <c r="F178" s="16">
        <f>IF(D178="","",IF(C178="Thu",IFERROR(INDEX('Danh mục'!$B$26:$B$35,MATCH(D178,'Danh mục'!$A$26:$A$35,0))&amp;"","?"),IFERROR(INDEX('Danh mục'!$D$39:$D$78,MATCH(D178,'Danh mục'!$A$39:$A$78,0))&amp;"","?")))</f>
      </c>
      <c r="G178" s="16">
        <f>IF(OR(D178="",C178&lt;&gt;"Chi"),"",IFERROR(INDEX('Danh mục'!$C$39:$C$78,MATCH(D178,'Danh mục'!$A$39:$A$78,0))&amp;"",""))</f>
      </c>
      <c r="H178" s="11"/>
      <c r="I178" s="20"/>
      <c r="J178" s="11"/>
      <c r="K178" s="11"/>
      <c r="L178" s="11"/>
    </row>
    <row r="179" spans="1:12" x14ac:dyDescent="0.3">
      <c r="A179" s="31"/>
      <c r="B179" s="32">
        <f>IF(A179="","",DATE(YEAR(A179),MONTH(A179),1))</f>
      </c>
      <c r="C179" s="11"/>
      <c r="D179" s="11"/>
      <c r="E179" s="16">
        <f>IF(OR(D179="",C179&lt;&gt;"Chi"),"",IFERROR(INDEX('Danh mục'!$B$39:$B$78,MATCH(D179,'Danh mục'!$A$39:$A$78,0))&amp;"","?"))</f>
      </c>
      <c r="F179" s="16">
        <f>IF(D179="","",IF(C179="Thu",IFERROR(INDEX('Danh mục'!$B$26:$B$35,MATCH(D179,'Danh mục'!$A$26:$A$35,0))&amp;"","?"),IFERROR(INDEX('Danh mục'!$D$39:$D$78,MATCH(D179,'Danh mục'!$A$39:$A$78,0))&amp;"","?")))</f>
      </c>
      <c r="G179" s="16">
        <f>IF(OR(D179="",C179&lt;&gt;"Chi"),"",IFERROR(INDEX('Danh mục'!$C$39:$C$78,MATCH(D179,'Danh mục'!$A$39:$A$78,0))&amp;"",""))</f>
      </c>
      <c r="H179" s="11"/>
      <c r="I179" s="20"/>
      <c r="J179" s="11"/>
      <c r="K179" s="11"/>
      <c r="L179" s="11"/>
    </row>
    <row r="180" spans="1:12" x14ac:dyDescent="0.3">
      <c r="A180" s="31"/>
      <c r="B180" s="32">
        <f>IF(A180="","",DATE(YEAR(A180),MONTH(A180),1))</f>
      </c>
      <c r="C180" s="11"/>
      <c r="D180" s="11"/>
      <c r="E180" s="16">
        <f>IF(OR(D180="",C180&lt;&gt;"Chi"),"",IFERROR(INDEX('Danh mục'!$B$39:$B$78,MATCH(D180,'Danh mục'!$A$39:$A$78,0))&amp;"","?"))</f>
      </c>
      <c r="F180" s="16">
        <f>IF(D180="","",IF(C180="Thu",IFERROR(INDEX('Danh mục'!$B$26:$B$35,MATCH(D180,'Danh mục'!$A$26:$A$35,0))&amp;"","?"),IFERROR(INDEX('Danh mục'!$D$39:$D$78,MATCH(D180,'Danh mục'!$A$39:$A$78,0))&amp;"","?")))</f>
      </c>
      <c r="G180" s="16">
        <f>IF(OR(D180="",C180&lt;&gt;"Chi"),"",IFERROR(INDEX('Danh mục'!$C$39:$C$78,MATCH(D180,'Danh mục'!$A$39:$A$78,0))&amp;"",""))</f>
      </c>
      <c r="H180" s="11"/>
      <c r="I180" s="20"/>
      <c r="J180" s="11"/>
      <c r="K180" s="11"/>
      <c r="L180" s="11"/>
    </row>
    <row r="181" spans="1:12" x14ac:dyDescent="0.3">
      <c r="A181" s="31"/>
      <c r="B181" s="32">
        <f>IF(A181="","",DATE(YEAR(A181),MONTH(A181),1))</f>
      </c>
      <c r="C181" s="11"/>
      <c r="D181" s="11"/>
      <c r="E181" s="16">
        <f>IF(OR(D181="",C181&lt;&gt;"Chi"),"",IFERROR(INDEX('Danh mục'!$B$39:$B$78,MATCH(D181,'Danh mục'!$A$39:$A$78,0))&amp;"","?"))</f>
      </c>
      <c r="F181" s="16">
        <f>IF(D181="","",IF(C181="Thu",IFERROR(INDEX('Danh mục'!$B$26:$B$35,MATCH(D181,'Danh mục'!$A$26:$A$35,0))&amp;"","?"),IFERROR(INDEX('Danh mục'!$D$39:$D$78,MATCH(D181,'Danh mục'!$A$39:$A$78,0))&amp;"","?")))</f>
      </c>
      <c r="G181" s="16">
        <f>IF(OR(D181="",C181&lt;&gt;"Chi"),"",IFERROR(INDEX('Danh mục'!$C$39:$C$78,MATCH(D181,'Danh mục'!$A$39:$A$78,0))&amp;"",""))</f>
      </c>
      <c r="H181" s="11"/>
      <c r="I181" s="20"/>
      <c r="J181" s="11"/>
      <c r="K181" s="11"/>
      <c r="L181" s="11"/>
    </row>
    <row r="182" spans="1:12" x14ac:dyDescent="0.3">
      <c r="A182" s="31"/>
      <c r="B182" s="32">
        <f>IF(A182="","",DATE(YEAR(A182),MONTH(A182),1))</f>
      </c>
      <c r="C182" s="11"/>
      <c r="D182" s="11"/>
      <c r="E182" s="16">
        <f>IF(OR(D182="",C182&lt;&gt;"Chi"),"",IFERROR(INDEX('Danh mục'!$B$39:$B$78,MATCH(D182,'Danh mục'!$A$39:$A$78,0))&amp;"","?"))</f>
      </c>
      <c r="F182" s="16">
        <f>IF(D182="","",IF(C182="Thu",IFERROR(INDEX('Danh mục'!$B$26:$B$35,MATCH(D182,'Danh mục'!$A$26:$A$35,0))&amp;"","?"),IFERROR(INDEX('Danh mục'!$D$39:$D$78,MATCH(D182,'Danh mục'!$A$39:$A$78,0))&amp;"","?")))</f>
      </c>
      <c r="G182" s="16">
        <f>IF(OR(D182="",C182&lt;&gt;"Chi"),"",IFERROR(INDEX('Danh mục'!$C$39:$C$78,MATCH(D182,'Danh mục'!$A$39:$A$78,0))&amp;"",""))</f>
      </c>
      <c r="H182" s="11"/>
      <c r="I182" s="20"/>
      <c r="J182" s="11"/>
      <c r="K182" s="11"/>
      <c r="L182" s="11"/>
    </row>
    <row r="183" spans="1:12" x14ac:dyDescent="0.3">
      <c r="A183" s="31"/>
      <c r="B183" s="32">
        <f>IF(A183="","",DATE(YEAR(A183),MONTH(A183),1))</f>
      </c>
      <c r="C183" s="11"/>
      <c r="D183" s="11"/>
      <c r="E183" s="16">
        <f>IF(OR(D183="",C183&lt;&gt;"Chi"),"",IFERROR(INDEX('Danh mục'!$B$39:$B$78,MATCH(D183,'Danh mục'!$A$39:$A$78,0))&amp;"","?"))</f>
      </c>
      <c r="F183" s="16">
        <f>IF(D183="","",IF(C183="Thu",IFERROR(INDEX('Danh mục'!$B$26:$B$35,MATCH(D183,'Danh mục'!$A$26:$A$35,0))&amp;"","?"),IFERROR(INDEX('Danh mục'!$D$39:$D$78,MATCH(D183,'Danh mục'!$A$39:$A$78,0))&amp;"","?")))</f>
      </c>
      <c r="G183" s="16">
        <f>IF(OR(D183="",C183&lt;&gt;"Chi"),"",IFERROR(INDEX('Danh mục'!$C$39:$C$78,MATCH(D183,'Danh mục'!$A$39:$A$78,0))&amp;"",""))</f>
      </c>
      <c r="H183" s="11"/>
      <c r="I183" s="20"/>
      <c r="J183" s="11"/>
      <c r="K183" s="11"/>
      <c r="L183" s="11"/>
    </row>
    <row r="184" spans="1:12" x14ac:dyDescent="0.3">
      <c r="A184" s="31"/>
      <c r="B184" s="32">
        <f>IF(A184="","",DATE(YEAR(A184),MONTH(A184),1))</f>
      </c>
      <c r="C184" s="11"/>
      <c r="D184" s="11"/>
      <c r="E184" s="16">
        <f>IF(OR(D184="",C184&lt;&gt;"Chi"),"",IFERROR(INDEX('Danh mục'!$B$39:$B$78,MATCH(D184,'Danh mục'!$A$39:$A$78,0))&amp;"","?"))</f>
      </c>
      <c r="F184" s="16">
        <f>IF(D184="","",IF(C184="Thu",IFERROR(INDEX('Danh mục'!$B$26:$B$35,MATCH(D184,'Danh mục'!$A$26:$A$35,0))&amp;"","?"),IFERROR(INDEX('Danh mục'!$D$39:$D$78,MATCH(D184,'Danh mục'!$A$39:$A$78,0))&amp;"","?")))</f>
      </c>
      <c r="G184" s="16">
        <f>IF(OR(D184="",C184&lt;&gt;"Chi"),"",IFERROR(INDEX('Danh mục'!$C$39:$C$78,MATCH(D184,'Danh mục'!$A$39:$A$78,0))&amp;"",""))</f>
      </c>
      <c r="H184" s="11"/>
      <c r="I184" s="20"/>
      <c r="J184" s="11"/>
      <c r="K184" s="11"/>
      <c r="L184" s="11"/>
    </row>
    <row r="185" spans="1:12" x14ac:dyDescent="0.3">
      <c r="A185" s="31"/>
      <c r="B185" s="32">
        <f>IF(A185="","",DATE(YEAR(A185),MONTH(A185),1))</f>
      </c>
      <c r="C185" s="11"/>
      <c r="D185" s="11"/>
      <c r="E185" s="16">
        <f>IF(OR(D185="",C185&lt;&gt;"Chi"),"",IFERROR(INDEX('Danh mục'!$B$39:$B$78,MATCH(D185,'Danh mục'!$A$39:$A$78,0))&amp;"","?"))</f>
      </c>
      <c r="F185" s="16">
        <f>IF(D185="","",IF(C185="Thu",IFERROR(INDEX('Danh mục'!$B$26:$B$35,MATCH(D185,'Danh mục'!$A$26:$A$35,0))&amp;"","?"),IFERROR(INDEX('Danh mục'!$D$39:$D$78,MATCH(D185,'Danh mục'!$A$39:$A$78,0))&amp;"","?")))</f>
      </c>
      <c r="G185" s="16">
        <f>IF(OR(D185="",C185&lt;&gt;"Chi"),"",IFERROR(INDEX('Danh mục'!$C$39:$C$78,MATCH(D185,'Danh mục'!$A$39:$A$78,0))&amp;"",""))</f>
      </c>
      <c r="H185" s="11"/>
      <c r="I185" s="20"/>
      <c r="J185" s="11"/>
      <c r="K185" s="11"/>
      <c r="L185" s="11"/>
    </row>
    <row r="186" spans="1:12" x14ac:dyDescent="0.3">
      <c r="A186" s="31"/>
      <c r="B186" s="32">
        <f>IF(A186="","",DATE(YEAR(A186),MONTH(A186),1))</f>
      </c>
      <c r="C186" s="11"/>
      <c r="D186" s="11"/>
      <c r="E186" s="16">
        <f>IF(OR(D186="",C186&lt;&gt;"Chi"),"",IFERROR(INDEX('Danh mục'!$B$39:$B$78,MATCH(D186,'Danh mục'!$A$39:$A$78,0))&amp;"","?"))</f>
      </c>
      <c r="F186" s="16">
        <f>IF(D186="","",IF(C186="Thu",IFERROR(INDEX('Danh mục'!$B$26:$B$35,MATCH(D186,'Danh mục'!$A$26:$A$35,0))&amp;"","?"),IFERROR(INDEX('Danh mục'!$D$39:$D$78,MATCH(D186,'Danh mục'!$A$39:$A$78,0))&amp;"","?")))</f>
      </c>
      <c r="G186" s="16">
        <f>IF(OR(D186="",C186&lt;&gt;"Chi"),"",IFERROR(INDEX('Danh mục'!$C$39:$C$78,MATCH(D186,'Danh mục'!$A$39:$A$78,0))&amp;"",""))</f>
      </c>
      <c r="H186" s="11"/>
      <c r="I186" s="20"/>
      <c r="J186" s="11"/>
      <c r="K186" s="11"/>
      <c r="L186" s="11"/>
    </row>
    <row r="187" spans="1:12" x14ac:dyDescent="0.3">
      <c r="A187" s="31"/>
      <c r="B187" s="32">
        <f>IF(A187="","",DATE(YEAR(A187),MONTH(A187),1))</f>
      </c>
      <c r="C187" s="11"/>
      <c r="D187" s="11"/>
      <c r="E187" s="16">
        <f>IF(OR(D187="",C187&lt;&gt;"Chi"),"",IFERROR(INDEX('Danh mục'!$B$39:$B$78,MATCH(D187,'Danh mục'!$A$39:$A$78,0))&amp;"","?"))</f>
      </c>
      <c r="F187" s="16">
        <f>IF(D187="","",IF(C187="Thu",IFERROR(INDEX('Danh mục'!$B$26:$B$35,MATCH(D187,'Danh mục'!$A$26:$A$35,0))&amp;"","?"),IFERROR(INDEX('Danh mục'!$D$39:$D$78,MATCH(D187,'Danh mục'!$A$39:$A$78,0))&amp;"","?")))</f>
      </c>
      <c r="G187" s="16">
        <f>IF(OR(D187="",C187&lt;&gt;"Chi"),"",IFERROR(INDEX('Danh mục'!$C$39:$C$78,MATCH(D187,'Danh mục'!$A$39:$A$78,0))&amp;"",""))</f>
      </c>
      <c r="H187" s="11"/>
      <c r="I187" s="20"/>
      <c r="J187" s="11"/>
      <c r="K187" s="11"/>
      <c r="L187" s="11"/>
    </row>
    <row r="188" spans="1:12" x14ac:dyDescent="0.3">
      <c r="A188" s="31"/>
      <c r="B188" s="32">
        <f>IF(A188="","",DATE(YEAR(A188),MONTH(A188),1))</f>
      </c>
      <c r="C188" s="11"/>
      <c r="D188" s="11"/>
      <c r="E188" s="16">
        <f>IF(OR(D188="",C188&lt;&gt;"Chi"),"",IFERROR(INDEX('Danh mục'!$B$39:$B$78,MATCH(D188,'Danh mục'!$A$39:$A$78,0))&amp;"","?"))</f>
      </c>
      <c r="F188" s="16">
        <f>IF(D188="","",IF(C188="Thu",IFERROR(INDEX('Danh mục'!$B$26:$B$35,MATCH(D188,'Danh mục'!$A$26:$A$35,0))&amp;"","?"),IFERROR(INDEX('Danh mục'!$D$39:$D$78,MATCH(D188,'Danh mục'!$A$39:$A$78,0))&amp;"","?")))</f>
      </c>
      <c r="G188" s="16">
        <f>IF(OR(D188="",C188&lt;&gt;"Chi"),"",IFERROR(INDEX('Danh mục'!$C$39:$C$78,MATCH(D188,'Danh mục'!$A$39:$A$78,0))&amp;"",""))</f>
      </c>
      <c r="H188" s="11"/>
      <c r="I188" s="20"/>
      <c r="J188" s="11"/>
      <c r="K188" s="11"/>
      <c r="L188" s="11"/>
    </row>
    <row r="189" spans="1:12" x14ac:dyDescent="0.3">
      <c r="A189" s="31"/>
      <c r="B189" s="32">
        <f>IF(A189="","",DATE(YEAR(A189),MONTH(A189),1))</f>
      </c>
      <c r="C189" s="11"/>
      <c r="D189" s="11"/>
      <c r="E189" s="16">
        <f>IF(OR(D189="",C189&lt;&gt;"Chi"),"",IFERROR(INDEX('Danh mục'!$B$39:$B$78,MATCH(D189,'Danh mục'!$A$39:$A$78,0))&amp;"","?"))</f>
      </c>
      <c r="F189" s="16">
        <f>IF(D189="","",IF(C189="Thu",IFERROR(INDEX('Danh mục'!$B$26:$B$35,MATCH(D189,'Danh mục'!$A$26:$A$35,0))&amp;"","?"),IFERROR(INDEX('Danh mục'!$D$39:$D$78,MATCH(D189,'Danh mục'!$A$39:$A$78,0))&amp;"","?")))</f>
      </c>
      <c r="G189" s="16">
        <f>IF(OR(D189="",C189&lt;&gt;"Chi"),"",IFERROR(INDEX('Danh mục'!$C$39:$C$78,MATCH(D189,'Danh mục'!$A$39:$A$78,0))&amp;"",""))</f>
      </c>
      <c r="H189" s="11"/>
      <c r="I189" s="20"/>
      <c r="J189" s="11"/>
      <c r="K189" s="11"/>
      <c r="L189" s="11"/>
    </row>
    <row r="190" spans="1:12" x14ac:dyDescent="0.3">
      <c r="A190" s="31"/>
      <c r="B190" s="32">
        <f>IF(A190="","",DATE(YEAR(A190),MONTH(A190),1))</f>
      </c>
      <c r="C190" s="11"/>
      <c r="D190" s="11"/>
      <c r="E190" s="16">
        <f>IF(OR(D190="",C190&lt;&gt;"Chi"),"",IFERROR(INDEX('Danh mục'!$B$39:$B$78,MATCH(D190,'Danh mục'!$A$39:$A$78,0))&amp;"","?"))</f>
      </c>
      <c r="F190" s="16">
        <f>IF(D190="","",IF(C190="Thu",IFERROR(INDEX('Danh mục'!$B$26:$B$35,MATCH(D190,'Danh mục'!$A$26:$A$35,0))&amp;"","?"),IFERROR(INDEX('Danh mục'!$D$39:$D$78,MATCH(D190,'Danh mục'!$A$39:$A$78,0))&amp;"","?")))</f>
      </c>
      <c r="G190" s="16">
        <f>IF(OR(D190="",C190&lt;&gt;"Chi"),"",IFERROR(INDEX('Danh mục'!$C$39:$C$78,MATCH(D190,'Danh mục'!$A$39:$A$78,0))&amp;"",""))</f>
      </c>
      <c r="H190" s="11"/>
      <c r="I190" s="20"/>
      <c r="J190" s="11"/>
      <c r="K190" s="11"/>
      <c r="L190" s="11"/>
    </row>
    <row r="191" spans="1:12" x14ac:dyDescent="0.3">
      <c r="A191" s="31"/>
      <c r="B191" s="32">
        <f>IF(A191="","",DATE(YEAR(A191),MONTH(A191),1))</f>
      </c>
      <c r="C191" s="11"/>
      <c r="D191" s="11"/>
      <c r="E191" s="16">
        <f>IF(OR(D191="",C191&lt;&gt;"Chi"),"",IFERROR(INDEX('Danh mục'!$B$39:$B$78,MATCH(D191,'Danh mục'!$A$39:$A$78,0))&amp;"","?"))</f>
      </c>
      <c r="F191" s="16">
        <f>IF(D191="","",IF(C191="Thu",IFERROR(INDEX('Danh mục'!$B$26:$B$35,MATCH(D191,'Danh mục'!$A$26:$A$35,0))&amp;"","?"),IFERROR(INDEX('Danh mục'!$D$39:$D$78,MATCH(D191,'Danh mục'!$A$39:$A$78,0))&amp;"","?")))</f>
      </c>
      <c r="G191" s="16">
        <f>IF(OR(D191="",C191&lt;&gt;"Chi"),"",IFERROR(INDEX('Danh mục'!$C$39:$C$78,MATCH(D191,'Danh mục'!$A$39:$A$78,0))&amp;"",""))</f>
      </c>
      <c r="H191" s="11"/>
      <c r="I191" s="20"/>
      <c r="J191" s="11"/>
      <c r="K191" s="11"/>
      <c r="L191" s="11"/>
    </row>
    <row r="192" spans="1:12" x14ac:dyDescent="0.3">
      <c r="A192" s="31"/>
      <c r="B192" s="32">
        <f>IF(A192="","",DATE(YEAR(A192),MONTH(A192),1))</f>
      </c>
      <c r="C192" s="11"/>
      <c r="D192" s="11"/>
      <c r="E192" s="16">
        <f>IF(OR(D192="",C192&lt;&gt;"Chi"),"",IFERROR(INDEX('Danh mục'!$B$39:$B$78,MATCH(D192,'Danh mục'!$A$39:$A$78,0))&amp;"","?"))</f>
      </c>
      <c r="F192" s="16">
        <f>IF(D192="","",IF(C192="Thu",IFERROR(INDEX('Danh mục'!$B$26:$B$35,MATCH(D192,'Danh mục'!$A$26:$A$35,0))&amp;"","?"),IFERROR(INDEX('Danh mục'!$D$39:$D$78,MATCH(D192,'Danh mục'!$A$39:$A$78,0))&amp;"","?")))</f>
      </c>
      <c r="G192" s="16">
        <f>IF(OR(D192="",C192&lt;&gt;"Chi"),"",IFERROR(INDEX('Danh mục'!$C$39:$C$78,MATCH(D192,'Danh mục'!$A$39:$A$78,0))&amp;"",""))</f>
      </c>
      <c r="H192" s="11"/>
      <c r="I192" s="20"/>
      <c r="J192" s="11"/>
      <c r="K192" s="11"/>
      <c r="L192" s="11"/>
    </row>
    <row r="193" spans="1:12" x14ac:dyDescent="0.3">
      <c r="A193" s="31"/>
      <c r="B193" s="32">
        <f>IF(A193="","",DATE(YEAR(A193),MONTH(A193),1))</f>
      </c>
      <c r="C193" s="11"/>
      <c r="D193" s="11"/>
      <c r="E193" s="16">
        <f>IF(OR(D193="",C193&lt;&gt;"Chi"),"",IFERROR(INDEX('Danh mục'!$B$39:$B$78,MATCH(D193,'Danh mục'!$A$39:$A$78,0))&amp;"","?"))</f>
      </c>
      <c r="F193" s="16">
        <f>IF(D193="","",IF(C193="Thu",IFERROR(INDEX('Danh mục'!$B$26:$B$35,MATCH(D193,'Danh mục'!$A$26:$A$35,0))&amp;"","?"),IFERROR(INDEX('Danh mục'!$D$39:$D$78,MATCH(D193,'Danh mục'!$A$39:$A$78,0))&amp;"","?")))</f>
      </c>
      <c r="G193" s="16">
        <f>IF(OR(D193="",C193&lt;&gt;"Chi"),"",IFERROR(INDEX('Danh mục'!$C$39:$C$78,MATCH(D193,'Danh mục'!$A$39:$A$78,0))&amp;"",""))</f>
      </c>
      <c r="H193" s="11"/>
      <c r="I193" s="20"/>
      <c r="J193" s="11"/>
      <c r="K193" s="11"/>
      <c r="L193" s="11"/>
    </row>
    <row r="194" spans="1:12" x14ac:dyDescent="0.3">
      <c r="A194" s="31"/>
      <c r="B194" s="32">
        <f>IF(A194="","",DATE(YEAR(A194),MONTH(A194),1))</f>
      </c>
      <c r="C194" s="11"/>
      <c r="D194" s="11"/>
      <c r="E194" s="16">
        <f>IF(OR(D194="",C194&lt;&gt;"Chi"),"",IFERROR(INDEX('Danh mục'!$B$39:$B$78,MATCH(D194,'Danh mục'!$A$39:$A$78,0))&amp;"","?"))</f>
      </c>
      <c r="F194" s="16">
        <f>IF(D194="","",IF(C194="Thu",IFERROR(INDEX('Danh mục'!$B$26:$B$35,MATCH(D194,'Danh mục'!$A$26:$A$35,0))&amp;"","?"),IFERROR(INDEX('Danh mục'!$D$39:$D$78,MATCH(D194,'Danh mục'!$A$39:$A$78,0))&amp;"","?")))</f>
      </c>
      <c r="G194" s="16">
        <f>IF(OR(D194="",C194&lt;&gt;"Chi"),"",IFERROR(INDEX('Danh mục'!$C$39:$C$78,MATCH(D194,'Danh mục'!$A$39:$A$78,0))&amp;"",""))</f>
      </c>
      <c r="H194" s="11"/>
      <c r="I194" s="20"/>
      <c r="J194" s="11"/>
      <c r="K194" s="11"/>
      <c r="L194" s="11"/>
    </row>
    <row r="195" spans="1:12" x14ac:dyDescent="0.3">
      <c r="A195" s="31"/>
      <c r="B195" s="32">
        <f>IF(A195="","",DATE(YEAR(A195),MONTH(A195),1))</f>
      </c>
      <c r="C195" s="11"/>
      <c r="D195" s="11"/>
      <c r="E195" s="16">
        <f>IF(OR(D195="",C195&lt;&gt;"Chi"),"",IFERROR(INDEX('Danh mục'!$B$39:$B$78,MATCH(D195,'Danh mục'!$A$39:$A$78,0))&amp;"","?"))</f>
      </c>
      <c r="F195" s="16">
        <f>IF(D195="","",IF(C195="Thu",IFERROR(INDEX('Danh mục'!$B$26:$B$35,MATCH(D195,'Danh mục'!$A$26:$A$35,0))&amp;"","?"),IFERROR(INDEX('Danh mục'!$D$39:$D$78,MATCH(D195,'Danh mục'!$A$39:$A$78,0))&amp;"","?")))</f>
      </c>
      <c r="G195" s="16">
        <f>IF(OR(D195="",C195&lt;&gt;"Chi"),"",IFERROR(INDEX('Danh mục'!$C$39:$C$78,MATCH(D195,'Danh mục'!$A$39:$A$78,0))&amp;"",""))</f>
      </c>
      <c r="H195" s="11"/>
      <c r="I195" s="20"/>
      <c r="J195" s="11"/>
      <c r="K195" s="11"/>
      <c r="L195" s="11"/>
    </row>
    <row r="196" spans="1:12" x14ac:dyDescent="0.3">
      <c r="A196" s="31"/>
      <c r="B196" s="32">
        <f>IF(A196="","",DATE(YEAR(A196),MONTH(A196),1))</f>
      </c>
      <c r="C196" s="11"/>
      <c r="D196" s="11"/>
      <c r="E196" s="16">
        <f>IF(OR(D196="",C196&lt;&gt;"Chi"),"",IFERROR(INDEX('Danh mục'!$B$39:$B$78,MATCH(D196,'Danh mục'!$A$39:$A$78,0))&amp;"","?"))</f>
      </c>
      <c r="F196" s="16">
        <f>IF(D196="","",IF(C196="Thu",IFERROR(INDEX('Danh mục'!$B$26:$B$35,MATCH(D196,'Danh mục'!$A$26:$A$35,0))&amp;"","?"),IFERROR(INDEX('Danh mục'!$D$39:$D$78,MATCH(D196,'Danh mục'!$A$39:$A$78,0))&amp;"","?")))</f>
      </c>
      <c r="G196" s="16">
        <f>IF(OR(D196="",C196&lt;&gt;"Chi"),"",IFERROR(INDEX('Danh mục'!$C$39:$C$78,MATCH(D196,'Danh mục'!$A$39:$A$78,0))&amp;"",""))</f>
      </c>
      <c r="H196" s="11"/>
      <c r="I196" s="20"/>
      <c r="J196" s="11"/>
      <c r="K196" s="11"/>
      <c r="L196" s="11"/>
    </row>
    <row r="197" spans="1:12" x14ac:dyDescent="0.3">
      <c r="A197" s="31"/>
      <c r="B197" s="32">
        <f>IF(A197="","",DATE(YEAR(A197),MONTH(A197),1))</f>
      </c>
      <c r="C197" s="11"/>
      <c r="D197" s="11"/>
      <c r="E197" s="16">
        <f>IF(OR(D197="",C197&lt;&gt;"Chi"),"",IFERROR(INDEX('Danh mục'!$B$39:$B$78,MATCH(D197,'Danh mục'!$A$39:$A$78,0))&amp;"","?"))</f>
      </c>
      <c r="F197" s="16">
        <f>IF(D197="","",IF(C197="Thu",IFERROR(INDEX('Danh mục'!$B$26:$B$35,MATCH(D197,'Danh mục'!$A$26:$A$35,0))&amp;"","?"),IFERROR(INDEX('Danh mục'!$D$39:$D$78,MATCH(D197,'Danh mục'!$A$39:$A$78,0))&amp;"","?")))</f>
      </c>
      <c r="G197" s="16">
        <f>IF(OR(D197="",C197&lt;&gt;"Chi"),"",IFERROR(INDEX('Danh mục'!$C$39:$C$78,MATCH(D197,'Danh mục'!$A$39:$A$78,0))&amp;"",""))</f>
      </c>
      <c r="H197" s="11"/>
      <c r="I197" s="20"/>
      <c r="J197" s="11"/>
      <c r="K197" s="11"/>
      <c r="L197" s="11"/>
    </row>
    <row r="198" spans="1:12" x14ac:dyDescent="0.3">
      <c r="A198" s="31"/>
      <c r="B198" s="32">
        <f>IF(A198="","",DATE(YEAR(A198),MONTH(A198),1))</f>
      </c>
      <c r="C198" s="11"/>
      <c r="D198" s="11"/>
      <c r="E198" s="16">
        <f>IF(OR(D198="",C198&lt;&gt;"Chi"),"",IFERROR(INDEX('Danh mục'!$B$39:$B$78,MATCH(D198,'Danh mục'!$A$39:$A$78,0))&amp;"","?"))</f>
      </c>
      <c r="F198" s="16">
        <f>IF(D198="","",IF(C198="Thu",IFERROR(INDEX('Danh mục'!$B$26:$B$35,MATCH(D198,'Danh mục'!$A$26:$A$35,0))&amp;"","?"),IFERROR(INDEX('Danh mục'!$D$39:$D$78,MATCH(D198,'Danh mục'!$A$39:$A$78,0))&amp;"","?")))</f>
      </c>
      <c r="G198" s="16">
        <f>IF(OR(D198="",C198&lt;&gt;"Chi"),"",IFERROR(INDEX('Danh mục'!$C$39:$C$78,MATCH(D198,'Danh mục'!$A$39:$A$78,0))&amp;"",""))</f>
      </c>
      <c r="H198" s="11"/>
      <c r="I198" s="20"/>
      <c r="J198" s="11"/>
      <c r="K198" s="11"/>
      <c r="L198" s="11"/>
    </row>
    <row r="199" spans="1:12" x14ac:dyDescent="0.3">
      <c r="A199" s="31"/>
      <c r="B199" s="32">
        <f>IF(A199="","",DATE(YEAR(A199),MONTH(A199),1))</f>
      </c>
      <c r="C199" s="11"/>
      <c r="D199" s="11"/>
      <c r="E199" s="16">
        <f>IF(OR(D199="",C199&lt;&gt;"Chi"),"",IFERROR(INDEX('Danh mục'!$B$39:$B$78,MATCH(D199,'Danh mục'!$A$39:$A$78,0))&amp;"","?"))</f>
      </c>
      <c r="F199" s="16">
        <f>IF(D199="","",IF(C199="Thu",IFERROR(INDEX('Danh mục'!$B$26:$B$35,MATCH(D199,'Danh mục'!$A$26:$A$35,0))&amp;"","?"),IFERROR(INDEX('Danh mục'!$D$39:$D$78,MATCH(D199,'Danh mục'!$A$39:$A$78,0))&amp;"","?")))</f>
      </c>
      <c r="G199" s="16">
        <f>IF(OR(D199="",C199&lt;&gt;"Chi"),"",IFERROR(INDEX('Danh mục'!$C$39:$C$78,MATCH(D199,'Danh mục'!$A$39:$A$78,0))&amp;"",""))</f>
      </c>
      <c r="H199" s="11"/>
      <c r="I199" s="20"/>
      <c r="J199" s="11"/>
      <c r="K199" s="11"/>
      <c r="L199" s="11"/>
    </row>
    <row r="200" spans="1:12" x14ac:dyDescent="0.3">
      <c r="A200" s="31"/>
      <c r="B200" s="32">
        <f>IF(A200="","",DATE(YEAR(A200),MONTH(A200),1))</f>
      </c>
      <c r="C200" s="11"/>
      <c r="D200" s="11"/>
      <c r="E200" s="16">
        <f>IF(OR(D200="",C200&lt;&gt;"Chi"),"",IFERROR(INDEX('Danh mục'!$B$39:$B$78,MATCH(D200,'Danh mục'!$A$39:$A$78,0))&amp;"","?"))</f>
      </c>
      <c r="F200" s="16">
        <f>IF(D200="","",IF(C200="Thu",IFERROR(INDEX('Danh mục'!$B$26:$B$35,MATCH(D200,'Danh mục'!$A$26:$A$35,0))&amp;"","?"),IFERROR(INDEX('Danh mục'!$D$39:$D$78,MATCH(D200,'Danh mục'!$A$39:$A$78,0))&amp;"","?")))</f>
      </c>
      <c r="G200" s="16">
        <f>IF(OR(D200="",C200&lt;&gt;"Chi"),"",IFERROR(INDEX('Danh mục'!$C$39:$C$78,MATCH(D200,'Danh mục'!$A$39:$A$78,0))&amp;"",""))</f>
      </c>
      <c r="H200" s="11"/>
      <c r="I200" s="20"/>
      <c r="J200" s="11"/>
      <c r="K200" s="11"/>
      <c r="L200" s="11"/>
    </row>
    <row r="201" spans="1:12" x14ac:dyDescent="0.3">
      <c r="A201" s="31"/>
      <c r="B201" s="32">
        <f>IF(A201="","",DATE(YEAR(A201),MONTH(A201),1))</f>
      </c>
      <c r="C201" s="11"/>
      <c r="D201" s="11"/>
      <c r="E201" s="16">
        <f>IF(OR(D201="",C201&lt;&gt;"Chi"),"",IFERROR(INDEX('Danh mục'!$B$39:$B$78,MATCH(D201,'Danh mục'!$A$39:$A$78,0))&amp;"","?"))</f>
      </c>
      <c r="F201" s="16">
        <f>IF(D201="","",IF(C201="Thu",IFERROR(INDEX('Danh mục'!$B$26:$B$35,MATCH(D201,'Danh mục'!$A$26:$A$35,0))&amp;"","?"),IFERROR(INDEX('Danh mục'!$D$39:$D$78,MATCH(D201,'Danh mục'!$A$39:$A$78,0))&amp;"","?")))</f>
      </c>
      <c r="G201" s="16">
        <f>IF(OR(D201="",C201&lt;&gt;"Chi"),"",IFERROR(INDEX('Danh mục'!$C$39:$C$78,MATCH(D201,'Danh mục'!$A$39:$A$78,0))&amp;"",""))</f>
      </c>
      <c r="H201" s="11"/>
      <c r="I201" s="20"/>
      <c r="J201" s="11"/>
      <c r="K201" s="11"/>
      <c r="L201" s="11"/>
    </row>
    <row r="202" spans="1:12" x14ac:dyDescent="0.3">
      <c r="A202" s="31"/>
      <c r="B202" s="32">
        <f>IF(A202="","",DATE(YEAR(A202),MONTH(A202),1))</f>
      </c>
      <c r="C202" s="11"/>
      <c r="D202" s="11"/>
      <c r="E202" s="16">
        <f>IF(OR(D202="",C202&lt;&gt;"Chi"),"",IFERROR(INDEX('Danh mục'!$B$39:$B$78,MATCH(D202,'Danh mục'!$A$39:$A$78,0))&amp;"","?"))</f>
      </c>
      <c r="F202" s="16">
        <f>IF(D202="","",IF(C202="Thu",IFERROR(INDEX('Danh mục'!$B$26:$B$35,MATCH(D202,'Danh mục'!$A$26:$A$35,0))&amp;"","?"),IFERROR(INDEX('Danh mục'!$D$39:$D$78,MATCH(D202,'Danh mục'!$A$39:$A$78,0))&amp;"","?")))</f>
      </c>
      <c r="G202" s="16">
        <f>IF(OR(D202="",C202&lt;&gt;"Chi"),"",IFERROR(INDEX('Danh mục'!$C$39:$C$78,MATCH(D202,'Danh mục'!$A$39:$A$78,0))&amp;"",""))</f>
      </c>
      <c r="H202" s="11"/>
      <c r="I202" s="20"/>
      <c r="J202" s="11"/>
      <c r="K202" s="11"/>
      <c r="L202" s="11"/>
    </row>
    <row r="203" spans="1:12" x14ac:dyDescent="0.3">
      <c r="A203" s="31"/>
      <c r="B203" s="32">
        <f>IF(A203="","",DATE(YEAR(A203),MONTH(A203),1))</f>
      </c>
      <c r="C203" s="11"/>
      <c r="D203" s="11"/>
      <c r="E203" s="16">
        <f>IF(OR(D203="",C203&lt;&gt;"Chi"),"",IFERROR(INDEX('Danh mục'!$B$39:$B$78,MATCH(D203,'Danh mục'!$A$39:$A$78,0))&amp;"","?"))</f>
      </c>
      <c r="F203" s="16">
        <f>IF(D203="","",IF(C203="Thu",IFERROR(INDEX('Danh mục'!$B$26:$B$35,MATCH(D203,'Danh mục'!$A$26:$A$35,0))&amp;"","?"),IFERROR(INDEX('Danh mục'!$D$39:$D$78,MATCH(D203,'Danh mục'!$A$39:$A$78,0))&amp;"","?")))</f>
      </c>
      <c r="G203" s="16">
        <f>IF(OR(D203="",C203&lt;&gt;"Chi"),"",IFERROR(INDEX('Danh mục'!$C$39:$C$78,MATCH(D203,'Danh mục'!$A$39:$A$78,0))&amp;"",""))</f>
      </c>
      <c r="H203" s="11"/>
      <c r="I203" s="20"/>
      <c r="J203" s="11"/>
      <c r="K203" s="11"/>
      <c r="L203" s="11"/>
    </row>
    <row r="204" spans="1:12" x14ac:dyDescent="0.3">
      <c r="A204" s="31"/>
      <c r="B204" s="32">
        <f>IF(A204="","",DATE(YEAR(A204),MONTH(A204),1))</f>
      </c>
      <c r="C204" s="11"/>
      <c r="D204" s="11"/>
      <c r="E204" s="16">
        <f>IF(OR(D204="",C204&lt;&gt;"Chi"),"",IFERROR(INDEX('Danh mục'!$B$39:$B$78,MATCH(D204,'Danh mục'!$A$39:$A$78,0))&amp;"","?"))</f>
      </c>
      <c r="F204" s="16">
        <f>IF(D204="","",IF(C204="Thu",IFERROR(INDEX('Danh mục'!$B$26:$B$35,MATCH(D204,'Danh mục'!$A$26:$A$35,0))&amp;"","?"),IFERROR(INDEX('Danh mục'!$D$39:$D$78,MATCH(D204,'Danh mục'!$A$39:$A$78,0))&amp;"","?")))</f>
      </c>
      <c r="G204" s="16">
        <f>IF(OR(D204="",C204&lt;&gt;"Chi"),"",IFERROR(INDEX('Danh mục'!$C$39:$C$78,MATCH(D204,'Danh mục'!$A$39:$A$78,0))&amp;"",""))</f>
      </c>
      <c r="H204" s="11"/>
      <c r="I204" s="20"/>
      <c r="J204" s="11"/>
      <c r="K204" s="11"/>
      <c r="L204" s="11"/>
    </row>
    <row r="205" spans="1:12" x14ac:dyDescent="0.3">
      <c r="A205" s="31"/>
      <c r="B205" s="32">
        <f>IF(A205="","",DATE(YEAR(A205),MONTH(A205),1))</f>
      </c>
      <c r="C205" s="11"/>
      <c r="D205" s="11"/>
      <c r="E205" s="16">
        <f>IF(OR(D205="",C205&lt;&gt;"Chi"),"",IFERROR(INDEX('Danh mục'!$B$39:$B$78,MATCH(D205,'Danh mục'!$A$39:$A$78,0))&amp;"","?"))</f>
      </c>
      <c r="F205" s="16">
        <f>IF(D205="","",IF(C205="Thu",IFERROR(INDEX('Danh mục'!$B$26:$B$35,MATCH(D205,'Danh mục'!$A$26:$A$35,0))&amp;"","?"),IFERROR(INDEX('Danh mục'!$D$39:$D$78,MATCH(D205,'Danh mục'!$A$39:$A$78,0))&amp;"","?")))</f>
      </c>
      <c r="G205" s="16">
        <f>IF(OR(D205="",C205&lt;&gt;"Chi"),"",IFERROR(INDEX('Danh mục'!$C$39:$C$78,MATCH(D205,'Danh mục'!$A$39:$A$78,0))&amp;"",""))</f>
      </c>
      <c r="H205" s="11"/>
      <c r="I205" s="20"/>
      <c r="J205" s="11"/>
      <c r="K205" s="11"/>
      <c r="L205" s="11"/>
    </row>
    <row r="206" spans="1:12" x14ac:dyDescent="0.3">
      <c r="A206" s="31"/>
      <c r="B206" s="32">
        <f>IF(A206="","",DATE(YEAR(A206),MONTH(A206),1))</f>
      </c>
      <c r="C206" s="11"/>
      <c r="D206" s="11"/>
      <c r="E206" s="16">
        <f>IF(OR(D206="",C206&lt;&gt;"Chi"),"",IFERROR(INDEX('Danh mục'!$B$39:$B$78,MATCH(D206,'Danh mục'!$A$39:$A$78,0))&amp;"","?"))</f>
      </c>
      <c r="F206" s="16">
        <f>IF(D206="","",IF(C206="Thu",IFERROR(INDEX('Danh mục'!$B$26:$B$35,MATCH(D206,'Danh mục'!$A$26:$A$35,0))&amp;"","?"),IFERROR(INDEX('Danh mục'!$D$39:$D$78,MATCH(D206,'Danh mục'!$A$39:$A$78,0))&amp;"","?")))</f>
      </c>
      <c r="G206" s="16">
        <f>IF(OR(D206="",C206&lt;&gt;"Chi"),"",IFERROR(INDEX('Danh mục'!$C$39:$C$78,MATCH(D206,'Danh mục'!$A$39:$A$78,0))&amp;"",""))</f>
      </c>
      <c r="H206" s="11"/>
      <c r="I206" s="20"/>
      <c r="J206" s="11"/>
      <c r="K206" s="11"/>
      <c r="L206" s="11"/>
    </row>
    <row r="207" spans="1:12" x14ac:dyDescent="0.3">
      <c r="A207" s="31"/>
      <c r="B207" s="32">
        <f>IF(A207="","",DATE(YEAR(A207),MONTH(A207),1))</f>
      </c>
      <c r="C207" s="11"/>
      <c r="D207" s="11"/>
      <c r="E207" s="16">
        <f>IF(OR(D207="",C207&lt;&gt;"Chi"),"",IFERROR(INDEX('Danh mục'!$B$39:$B$78,MATCH(D207,'Danh mục'!$A$39:$A$78,0))&amp;"","?"))</f>
      </c>
      <c r="F207" s="16">
        <f>IF(D207="","",IF(C207="Thu",IFERROR(INDEX('Danh mục'!$B$26:$B$35,MATCH(D207,'Danh mục'!$A$26:$A$35,0))&amp;"","?"),IFERROR(INDEX('Danh mục'!$D$39:$D$78,MATCH(D207,'Danh mục'!$A$39:$A$78,0))&amp;"","?")))</f>
      </c>
      <c r="G207" s="16">
        <f>IF(OR(D207="",C207&lt;&gt;"Chi"),"",IFERROR(INDEX('Danh mục'!$C$39:$C$78,MATCH(D207,'Danh mục'!$A$39:$A$78,0))&amp;"",""))</f>
      </c>
      <c r="H207" s="11"/>
      <c r="I207" s="20"/>
      <c r="J207" s="11"/>
      <c r="K207" s="11"/>
      <c r="L207" s="11"/>
    </row>
    <row r="208" spans="1:12" x14ac:dyDescent="0.3">
      <c r="A208" s="31"/>
      <c r="B208" s="32">
        <f>IF(A208="","",DATE(YEAR(A208),MONTH(A208),1))</f>
      </c>
      <c r="C208" s="11"/>
      <c r="D208" s="11"/>
      <c r="E208" s="16">
        <f>IF(OR(D208="",C208&lt;&gt;"Chi"),"",IFERROR(INDEX('Danh mục'!$B$39:$B$78,MATCH(D208,'Danh mục'!$A$39:$A$78,0))&amp;"","?"))</f>
      </c>
      <c r="F208" s="16">
        <f>IF(D208="","",IF(C208="Thu",IFERROR(INDEX('Danh mục'!$B$26:$B$35,MATCH(D208,'Danh mục'!$A$26:$A$35,0))&amp;"","?"),IFERROR(INDEX('Danh mục'!$D$39:$D$78,MATCH(D208,'Danh mục'!$A$39:$A$78,0))&amp;"","?")))</f>
      </c>
      <c r="G208" s="16">
        <f>IF(OR(D208="",C208&lt;&gt;"Chi"),"",IFERROR(INDEX('Danh mục'!$C$39:$C$78,MATCH(D208,'Danh mục'!$A$39:$A$78,0))&amp;"",""))</f>
      </c>
      <c r="H208" s="11"/>
      <c r="I208" s="20"/>
      <c r="J208" s="11"/>
      <c r="K208" s="11"/>
      <c r="L208" s="11"/>
    </row>
    <row r="209" spans="1:12" x14ac:dyDescent="0.3">
      <c r="A209" s="31"/>
      <c r="B209" s="32">
        <f>IF(A209="","",DATE(YEAR(A209),MONTH(A209),1))</f>
      </c>
      <c r="C209" s="11"/>
      <c r="D209" s="11"/>
      <c r="E209" s="16">
        <f>IF(OR(D209="",C209&lt;&gt;"Chi"),"",IFERROR(INDEX('Danh mục'!$B$39:$B$78,MATCH(D209,'Danh mục'!$A$39:$A$78,0))&amp;"","?"))</f>
      </c>
      <c r="F209" s="16">
        <f>IF(D209="","",IF(C209="Thu",IFERROR(INDEX('Danh mục'!$B$26:$B$35,MATCH(D209,'Danh mục'!$A$26:$A$35,0))&amp;"","?"),IFERROR(INDEX('Danh mục'!$D$39:$D$78,MATCH(D209,'Danh mục'!$A$39:$A$78,0))&amp;"","?")))</f>
      </c>
      <c r="G209" s="16">
        <f>IF(OR(D209="",C209&lt;&gt;"Chi"),"",IFERROR(INDEX('Danh mục'!$C$39:$C$78,MATCH(D209,'Danh mục'!$A$39:$A$78,0))&amp;"",""))</f>
      </c>
      <c r="H209" s="11"/>
      <c r="I209" s="20"/>
      <c r="J209" s="11"/>
      <c r="K209" s="11"/>
      <c r="L209" s="11"/>
    </row>
    <row r="210" spans="1:12" x14ac:dyDescent="0.3">
      <c r="A210" s="31"/>
      <c r="B210" s="32">
        <f>IF(A210="","",DATE(YEAR(A210),MONTH(A210),1))</f>
      </c>
      <c r="C210" s="11"/>
      <c r="D210" s="11"/>
      <c r="E210" s="16">
        <f>IF(OR(D210="",C210&lt;&gt;"Chi"),"",IFERROR(INDEX('Danh mục'!$B$39:$B$78,MATCH(D210,'Danh mục'!$A$39:$A$78,0))&amp;"","?"))</f>
      </c>
      <c r="F210" s="16">
        <f>IF(D210="","",IF(C210="Thu",IFERROR(INDEX('Danh mục'!$B$26:$B$35,MATCH(D210,'Danh mục'!$A$26:$A$35,0))&amp;"","?"),IFERROR(INDEX('Danh mục'!$D$39:$D$78,MATCH(D210,'Danh mục'!$A$39:$A$78,0))&amp;"","?")))</f>
      </c>
      <c r="G210" s="16">
        <f>IF(OR(D210="",C210&lt;&gt;"Chi"),"",IFERROR(INDEX('Danh mục'!$C$39:$C$78,MATCH(D210,'Danh mục'!$A$39:$A$78,0))&amp;"",""))</f>
      </c>
      <c r="H210" s="11"/>
      <c r="I210" s="20"/>
      <c r="J210" s="11"/>
      <c r="K210" s="11"/>
      <c r="L210" s="11"/>
    </row>
    <row r="211" spans="1:12" x14ac:dyDescent="0.3">
      <c r="A211" s="31"/>
      <c r="B211" s="32">
        <f>IF(A211="","",DATE(YEAR(A211),MONTH(A211),1))</f>
      </c>
      <c r="C211" s="11"/>
      <c r="D211" s="11"/>
      <c r="E211" s="16">
        <f>IF(OR(D211="",C211&lt;&gt;"Chi"),"",IFERROR(INDEX('Danh mục'!$B$39:$B$78,MATCH(D211,'Danh mục'!$A$39:$A$78,0))&amp;"","?"))</f>
      </c>
      <c r="F211" s="16">
        <f>IF(D211="","",IF(C211="Thu",IFERROR(INDEX('Danh mục'!$B$26:$B$35,MATCH(D211,'Danh mục'!$A$26:$A$35,0))&amp;"","?"),IFERROR(INDEX('Danh mục'!$D$39:$D$78,MATCH(D211,'Danh mục'!$A$39:$A$78,0))&amp;"","?")))</f>
      </c>
      <c r="G211" s="16">
        <f>IF(OR(D211="",C211&lt;&gt;"Chi"),"",IFERROR(INDEX('Danh mục'!$C$39:$C$78,MATCH(D211,'Danh mục'!$A$39:$A$78,0))&amp;"",""))</f>
      </c>
      <c r="H211" s="11"/>
      <c r="I211" s="20"/>
      <c r="J211" s="11"/>
      <c r="K211" s="11"/>
      <c r="L211" s="11"/>
    </row>
    <row r="212" spans="1:12" x14ac:dyDescent="0.3">
      <c r="A212" s="31"/>
      <c r="B212" s="32">
        <f>IF(A212="","",DATE(YEAR(A212),MONTH(A212),1))</f>
      </c>
      <c r="C212" s="11"/>
      <c r="D212" s="11"/>
      <c r="E212" s="16">
        <f>IF(OR(D212="",C212&lt;&gt;"Chi"),"",IFERROR(INDEX('Danh mục'!$B$39:$B$78,MATCH(D212,'Danh mục'!$A$39:$A$78,0))&amp;"","?"))</f>
      </c>
      <c r="F212" s="16">
        <f>IF(D212="","",IF(C212="Thu",IFERROR(INDEX('Danh mục'!$B$26:$B$35,MATCH(D212,'Danh mục'!$A$26:$A$35,0))&amp;"","?"),IFERROR(INDEX('Danh mục'!$D$39:$D$78,MATCH(D212,'Danh mục'!$A$39:$A$78,0))&amp;"","?")))</f>
      </c>
      <c r="G212" s="16">
        <f>IF(OR(D212="",C212&lt;&gt;"Chi"),"",IFERROR(INDEX('Danh mục'!$C$39:$C$78,MATCH(D212,'Danh mục'!$A$39:$A$78,0))&amp;"",""))</f>
      </c>
      <c r="H212" s="11"/>
      <c r="I212" s="20"/>
      <c r="J212" s="11"/>
      <c r="K212" s="11"/>
      <c r="L212" s="11"/>
    </row>
    <row r="213" spans="1:12" x14ac:dyDescent="0.3">
      <c r="A213" s="31"/>
      <c r="B213" s="32">
        <f>IF(A213="","",DATE(YEAR(A213),MONTH(A213),1))</f>
      </c>
      <c r="C213" s="11"/>
      <c r="D213" s="11"/>
      <c r="E213" s="16">
        <f>IF(OR(D213="",C213&lt;&gt;"Chi"),"",IFERROR(INDEX('Danh mục'!$B$39:$B$78,MATCH(D213,'Danh mục'!$A$39:$A$78,0))&amp;"","?"))</f>
      </c>
      <c r="F213" s="16">
        <f>IF(D213="","",IF(C213="Thu",IFERROR(INDEX('Danh mục'!$B$26:$B$35,MATCH(D213,'Danh mục'!$A$26:$A$35,0))&amp;"","?"),IFERROR(INDEX('Danh mục'!$D$39:$D$78,MATCH(D213,'Danh mục'!$A$39:$A$78,0))&amp;"","?")))</f>
      </c>
      <c r="G213" s="16">
        <f>IF(OR(D213="",C213&lt;&gt;"Chi"),"",IFERROR(INDEX('Danh mục'!$C$39:$C$78,MATCH(D213,'Danh mục'!$A$39:$A$78,0))&amp;"",""))</f>
      </c>
      <c r="H213" s="11"/>
      <c r="I213" s="20"/>
      <c r="J213" s="11"/>
      <c r="K213" s="11"/>
      <c r="L213" s="11"/>
    </row>
    <row r="214" spans="1:12" x14ac:dyDescent="0.3">
      <c r="A214" s="31"/>
      <c r="B214" s="32">
        <f>IF(A214="","",DATE(YEAR(A214),MONTH(A214),1))</f>
      </c>
      <c r="C214" s="11"/>
      <c r="D214" s="11"/>
      <c r="E214" s="16">
        <f>IF(OR(D214="",C214&lt;&gt;"Chi"),"",IFERROR(INDEX('Danh mục'!$B$39:$B$78,MATCH(D214,'Danh mục'!$A$39:$A$78,0))&amp;"","?"))</f>
      </c>
      <c r="F214" s="16">
        <f>IF(D214="","",IF(C214="Thu",IFERROR(INDEX('Danh mục'!$B$26:$B$35,MATCH(D214,'Danh mục'!$A$26:$A$35,0))&amp;"","?"),IFERROR(INDEX('Danh mục'!$D$39:$D$78,MATCH(D214,'Danh mục'!$A$39:$A$78,0))&amp;"","?")))</f>
      </c>
      <c r="G214" s="16">
        <f>IF(OR(D214="",C214&lt;&gt;"Chi"),"",IFERROR(INDEX('Danh mục'!$C$39:$C$78,MATCH(D214,'Danh mục'!$A$39:$A$78,0))&amp;"",""))</f>
      </c>
      <c r="H214" s="11"/>
      <c r="I214" s="20"/>
      <c r="J214" s="11"/>
      <c r="K214" s="11"/>
      <c r="L214" s="11"/>
    </row>
    <row r="215" spans="1:12" x14ac:dyDescent="0.3">
      <c r="A215" s="31"/>
      <c r="B215" s="32">
        <f>IF(A215="","",DATE(YEAR(A215),MONTH(A215),1))</f>
      </c>
      <c r="C215" s="11"/>
      <c r="D215" s="11"/>
      <c r="E215" s="16">
        <f>IF(OR(D215="",C215&lt;&gt;"Chi"),"",IFERROR(INDEX('Danh mục'!$B$39:$B$78,MATCH(D215,'Danh mục'!$A$39:$A$78,0))&amp;"","?"))</f>
      </c>
      <c r="F215" s="16">
        <f>IF(D215="","",IF(C215="Thu",IFERROR(INDEX('Danh mục'!$B$26:$B$35,MATCH(D215,'Danh mục'!$A$26:$A$35,0))&amp;"","?"),IFERROR(INDEX('Danh mục'!$D$39:$D$78,MATCH(D215,'Danh mục'!$A$39:$A$78,0))&amp;"","?")))</f>
      </c>
      <c r="G215" s="16">
        <f>IF(OR(D215="",C215&lt;&gt;"Chi"),"",IFERROR(INDEX('Danh mục'!$C$39:$C$78,MATCH(D215,'Danh mục'!$A$39:$A$78,0))&amp;"",""))</f>
      </c>
      <c r="H215" s="11"/>
      <c r="I215" s="20"/>
      <c r="J215" s="11"/>
      <c r="K215" s="11"/>
      <c r="L215" s="11"/>
    </row>
    <row r="216" spans="1:12" x14ac:dyDescent="0.3">
      <c r="A216" s="31"/>
      <c r="B216" s="32">
        <f>IF(A216="","",DATE(YEAR(A216),MONTH(A216),1))</f>
      </c>
      <c r="C216" s="11"/>
      <c r="D216" s="11"/>
      <c r="E216" s="16">
        <f>IF(OR(D216="",C216&lt;&gt;"Chi"),"",IFERROR(INDEX('Danh mục'!$B$39:$B$78,MATCH(D216,'Danh mục'!$A$39:$A$78,0))&amp;"","?"))</f>
      </c>
      <c r="F216" s="16">
        <f>IF(D216="","",IF(C216="Thu",IFERROR(INDEX('Danh mục'!$B$26:$B$35,MATCH(D216,'Danh mục'!$A$26:$A$35,0))&amp;"","?"),IFERROR(INDEX('Danh mục'!$D$39:$D$78,MATCH(D216,'Danh mục'!$A$39:$A$78,0))&amp;"","?")))</f>
      </c>
      <c r="G216" s="16">
        <f>IF(OR(D216="",C216&lt;&gt;"Chi"),"",IFERROR(INDEX('Danh mục'!$C$39:$C$78,MATCH(D216,'Danh mục'!$A$39:$A$78,0))&amp;"",""))</f>
      </c>
      <c r="H216" s="11"/>
      <c r="I216" s="20"/>
      <c r="J216" s="11"/>
      <c r="K216" s="11"/>
      <c r="L216" s="11"/>
    </row>
    <row r="217" spans="1:12" x14ac:dyDescent="0.3">
      <c r="A217" s="31"/>
      <c r="B217" s="32">
        <f>IF(A217="","",DATE(YEAR(A217),MONTH(A217),1))</f>
      </c>
      <c r="C217" s="11"/>
      <c r="D217" s="11"/>
      <c r="E217" s="16">
        <f>IF(OR(D217="",C217&lt;&gt;"Chi"),"",IFERROR(INDEX('Danh mục'!$B$39:$B$78,MATCH(D217,'Danh mục'!$A$39:$A$78,0))&amp;"","?"))</f>
      </c>
      <c r="F217" s="16">
        <f>IF(D217="","",IF(C217="Thu",IFERROR(INDEX('Danh mục'!$B$26:$B$35,MATCH(D217,'Danh mục'!$A$26:$A$35,0))&amp;"","?"),IFERROR(INDEX('Danh mục'!$D$39:$D$78,MATCH(D217,'Danh mục'!$A$39:$A$78,0))&amp;"","?")))</f>
      </c>
      <c r="G217" s="16">
        <f>IF(OR(D217="",C217&lt;&gt;"Chi"),"",IFERROR(INDEX('Danh mục'!$C$39:$C$78,MATCH(D217,'Danh mục'!$A$39:$A$78,0))&amp;"",""))</f>
      </c>
      <c r="H217" s="11"/>
      <c r="I217" s="20"/>
      <c r="J217" s="11"/>
      <c r="K217" s="11"/>
      <c r="L217" s="11"/>
    </row>
    <row r="218" spans="1:12" x14ac:dyDescent="0.3">
      <c r="A218" s="31"/>
      <c r="B218" s="32">
        <f>IF(A218="","",DATE(YEAR(A218),MONTH(A218),1))</f>
      </c>
      <c r="C218" s="11"/>
      <c r="D218" s="11"/>
      <c r="E218" s="16">
        <f>IF(OR(D218="",C218&lt;&gt;"Chi"),"",IFERROR(INDEX('Danh mục'!$B$39:$B$78,MATCH(D218,'Danh mục'!$A$39:$A$78,0))&amp;"","?"))</f>
      </c>
      <c r="F218" s="16">
        <f>IF(D218="","",IF(C218="Thu",IFERROR(INDEX('Danh mục'!$B$26:$B$35,MATCH(D218,'Danh mục'!$A$26:$A$35,0))&amp;"","?"),IFERROR(INDEX('Danh mục'!$D$39:$D$78,MATCH(D218,'Danh mục'!$A$39:$A$78,0))&amp;"","?")))</f>
      </c>
      <c r="G218" s="16">
        <f>IF(OR(D218="",C218&lt;&gt;"Chi"),"",IFERROR(INDEX('Danh mục'!$C$39:$C$78,MATCH(D218,'Danh mục'!$A$39:$A$78,0))&amp;"",""))</f>
      </c>
      <c r="H218" s="11"/>
      <c r="I218" s="20"/>
      <c r="J218" s="11"/>
      <c r="K218" s="11"/>
      <c r="L218" s="11"/>
    </row>
    <row r="219" spans="1:12" x14ac:dyDescent="0.3">
      <c r="A219" s="31"/>
      <c r="B219" s="32">
        <f>IF(A219="","",DATE(YEAR(A219),MONTH(A219),1))</f>
      </c>
      <c r="C219" s="11"/>
      <c r="D219" s="11"/>
      <c r="E219" s="16">
        <f>IF(OR(D219="",C219&lt;&gt;"Chi"),"",IFERROR(INDEX('Danh mục'!$B$39:$B$78,MATCH(D219,'Danh mục'!$A$39:$A$78,0))&amp;"","?"))</f>
      </c>
      <c r="F219" s="16">
        <f>IF(D219="","",IF(C219="Thu",IFERROR(INDEX('Danh mục'!$B$26:$B$35,MATCH(D219,'Danh mục'!$A$26:$A$35,0))&amp;"","?"),IFERROR(INDEX('Danh mục'!$D$39:$D$78,MATCH(D219,'Danh mục'!$A$39:$A$78,0))&amp;"","?")))</f>
      </c>
      <c r="G219" s="16">
        <f>IF(OR(D219="",C219&lt;&gt;"Chi"),"",IFERROR(INDEX('Danh mục'!$C$39:$C$78,MATCH(D219,'Danh mục'!$A$39:$A$78,0))&amp;"",""))</f>
      </c>
      <c r="H219" s="11"/>
      <c r="I219" s="20"/>
      <c r="J219" s="11"/>
      <c r="K219" s="11"/>
      <c r="L219" s="11"/>
    </row>
    <row r="220" spans="1:12" x14ac:dyDescent="0.3">
      <c r="A220" s="31"/>
      <c r="B220" s="32">
        <f>IF(A220="","",DATE(YEAR(A220),MONTH(A220),1))</f>
      </c>
      <c r="C220" s="11"/>
      <c r="D220" s="11"/>
      <c r="E220" s="16">
        <f>IF(OR(D220="",C220&lt;&gt;"Chi"),"",IFERROR(INDEX('Danh mục'!$B$39:$B$78,MATCH(D220,'Danh mục'!$A$39:$A$78,0))&amp;"","?"))</f>
      </c>
      <c r="F220" s="16">
        <f>IF(D220="","",IF(C220="Thu",IFERROR(INDEX('Danh mục'!$B$26:$B$35,MATCH(D220,'Danh mục'!$A$26:$A$35,0))&amp;"","?"),IFERROR(INDEX('Danh mục'!$D$39:$D$78,MATCH(D220,'Danh mục'!$A$39:$A$78,0))&amp;"","?")))</f>
      </c>
      <c r="G220" s="16">
        <f>IF(OR(D220="",C220&lt;&gt;"Chi"),"",IFERROR(INDEX('Danh mục'!$C$39:$C$78,MATCH(D220,'Danh mục'!$A$39:$A$78,0))&amp;"",""))</f>
      </c>
      <c r="H220" s="11"/>
      <c r="I220" s="20"/>
      <c r="J220" s="11"/>
      <c r="K220" s="11"/>
      <c r="L220" s="11"/>
    </row>
    <row r="221" spans="1:12" x14ac:dyDescent="0.3">
      <c r="A221" s="31"/>
      <c r="B221" s="32">
        <f>IF(A221="","",DATE(YEAR(A221),MONTH(A221),1))</f>
      </c>
      <c r="C221" s="11"/>
      <c r="D221" s="11"/>
      <c r="E221" s="16">
        <f>IF(OR(D221="",C221&lt;&gt;"Chi"),"",IFERROR(INDEX('Danh mục'!$B$39:$B$78,MATCH(D221,'Danh mục'!$A$39:$A$78,0))&amp;"","?"))</f>
      </c>
      <c r="F221" s="16">
        <f>IF(D221="","",IF(C221="Thu",IFERROR(INDEX('Danh mục'!$B$26:$B$35,MATCH(D221,'Danh mục'!$A$26:$A$35,0))&amp;"","?"),IFERROR(INDEX('Danh mục'!$D$39:$D$78,MATCH(D221,'Danh mục'!$A$39:$A$78,0))&amp;"","?")))</f>
      </c>
      <c r="G221" s="16">
        <f>IF(OR(D221="",C221&lt;&gt;"Chi"),"",IFERROR(INDEX('Danh mục'!$C$39:$C$78,MATCH(D221,'Danh mục'!$A$39:$A$78,0))&amp;"",""))</f>
      </c>
      <c r="H221" s="11"/>
      <c r="I221" s="20"/>
      <c r="J221" s="11"/>
      <c r="K221" s="11"/>
      <c r="L221" s="11"/>
    </row>
    <row r="222" spans="1:12" x14ac:dyDescent="0.3">
      <c r="A222" s="31"/>
      <c r="B222" s="32">
        <f>IF(A222="","",DATE(YEAR(A222),MONTH(A222),1))</f>
      </c>
      <c r="C222" s="11"/>
      <c r="D222" s="11"/>
      <c r="E222" s="16">
        <f>IF(OR(D222="",C222&lt;&gt;"Chi"),"",IFERROR(INDEX('Danh mục'!$B$39:$B$78,MATCH(D222,'Danh mục'!$A$39:$A$78,0))&amp;"","?"))</f>
      </c>
      <c r="F222" s="16">
        <f>IF(D222="","",IF(C222="Thu",IFERROR(INDEX('Danh mục'!$B$26:$B$35,MATCH(D222,'Danh mục'!$A$26:$A$35,0))&amp;"","?"),IFERROR(INDEX('Danh mục'!$D$39:$D$78,MATCH(D222,'Danh mục'!$A$39:$A$78,0))&amp;"","?")))</f>
      </c>
      <c r="G222" s="16">
        <f>IF(OR(D222="",C222&lt;&gt;"Chi"),"",IFERROR(INDEX('Danh mục'!$C$39:$C$78,MATCH(D222,'Danh mục'!$A$39:$A$78,0))&amp;"",""))</f>
      </c>
      <c r="H222" s="11"/>
      <c r="I222" s="20"/>
      <c r="J222" s="11"/>
      <c r="K222" s="11"/>
      <c r="L222" s="11"/>
    </row>
    <row r="223" spans="1:12" x14ac:dyDescent="0.3">
      <c r="A223" s="31"/>
      <c r="B223" s="32">
        <f>IF(A223="","",DATE(YEAR(A223),MONTH(A223),1))</f>
      </c>
      <c r="C223" s="11"/>
      <c r="D223" s="11"/>
      <c r="E223" s="16">
        <f>IF(OR(D223="",C223&lt;&gt;"Chi"),"",IFERROR(INDEX('Danh mục'!$B$39:$B$78,MATCH(D223,'Danh mục'!$A$39:$A$78,0))&amp;"","?"))</f>
      </c>
      <c r="F223" s="16">
        <f>IF(D223="","",IF(C223="Thu",IFERROR(INDEX('Danh mục'!$B$26:$B$35,MATCH(D223,'Danh mục'!$A$26:$A$35,0))&amp;"","?"),IFERROR(INDEX('Danh mục'!$D$39:$D$78,MATCH(D223,'Danh mục'!$A$39:$A$78,0))&amp;"","?")))</f>
      </c>
      <c r="G223" s="16">
        <f>IF(OR(D223="",C223&lt;&gt;"Chi"),"",IFERROR(INDEX('Danh mục'!$C$39:$C$78,MATCH(D223,'Danh mục'!$A$39:$A$78,0))&amp;"",""))</f>
      </c>
      <c r="H223" s="11"/>
      <c r="I223" s="20"/>
      <c r="J223" s="11"/>
      <c r="K223" s="11"/>
      <c r="L223" s="11"/>
    </row>
    <row r="224" spans="1:12" x14ac:dyDescent="0.3">
      <c r="A224" s="31"/>
      <c r="B224" s="32">
        <f>IF(A224="","",DATE(YEAR(A224),MONTH(A224),1))</f>
      </c>
      <c r="C224" s="11"/>
      <c r="D224" s="11"/>
      <c r="E224" s="16">
        <f>IF(OR(D224="",C224&lt;&gt;"Chi"),"",IFERROR(INDEX('Danh mục'!$B$39:$B$78,MATCH(D224,'Danh mục'!$A$39:$A$78,0))&amp;"","?"))</f>
      </c>
      <c r="F224" s="16">
        <f>IF(D224="","",IF(C224="Thu",IFERROR(INDEX('Danh mục'!$B$26:$B$35,MATCH(D224,'Danh mục'!$A$26:$A$35,0))&amp;"","?"),IFERROR(INDEX('Danh mục'!$D$39:$D$78,MATCH(D224,'Danh mục'!$A$39:$A$78,0))&amp;"","?")))</f>
      </c>
      <c r="G224" s="16">
        <f>IF(OR(D224="",C224&lt;&gt;"Chi"),"",IFERROR(INDEX('Danh mục'!$C$39:$C$78,MATCH(D224,'Danh mục'!$A$39:$A$78,0))&amp;"",""))</f>
      </c>
      <c r="H224" s="11"/>
      <c r="I224" s="20"/>
      <c r="J224" s="11"/>
      <c r="K224" s="11"/>
      <c r="L224" s="11"/>
    </row>
    <row r="225" spans="1:12" x14ac:dyDescent="0.3">
      <c r="A225" s="31"/>
      <c r="B225" s="32">
        <f>IF(A225="","",DATE(YEAR(A225),MONTH(A225),1))</f>
      </c>
      <c r="C225" s="11"/>
      <c r="D225" s="11"/>
      <c r="E225" s="16">
        <f>IF(OR(D225="",C225&lt;&gt;"Chi"),"",IFERROR(INDEX('Danh mục'!$B$39:$B$78,MATCH(D225,'Danh mục'!$A$39:$A$78,0))&amp;"","?"))</f>
      </c>
      <c r="F225" s="16">
        <f>IF(D225="","",IF(C225="Thu",IFERROR(INDEX('Danh mục'!$B$26:$B$35,MATCH(D225,'Danh mục'!$A$26:$A$35,0))&amp;"","?"),IFERROR(INDEX('Danh mục'!$D$39:$D$78,MATCH(D225,'Danh mục'!$A$39:$A$78,0))&amp;"","?")))</f>
      </c>
      <c r="G225" s="16">
        <f>IF(OR(D225="",C225&lt;&gt;"Chi"),"",IFERROR(INDEX('Danh mục'!$C$39:$C$78,MATCH(D225,'Danh mục'!$A$39:$A$78,0))&amp;"",""))</f>
      </c>
      <c r="H225" s="11"/>
      <c r="I225" s="20"/>
      <c r="J225" s="11"/>
      <c r="K225" s="11"/>
      <c r="L225" s="11"/>
    </row>
    <row r="226" spans="1:12" x14ac:dyDescent="0.3">
      <c r="A226" s="31"/>
      <c r="B226" s="32">
        <f>IF(A226="","",DATE(YEAR(A226),MONTH(A226),1))</f>
      </c>
      <c r="C226" s="11"/>
      <c r="D226" s="11"/>
      <c r="E226" s="16">
        <f>IF(OR(D226="",C226&lt;&gt;"Chi"),"",IFERROR(INDEX('Danh mục'!$B$39:$B$78,MATCH(D226,'Danh mục'!$A$39:$A$78,0))&amp;"","?"))</f>
      </c>
      <c r="F226" s="16">
        <f>IF(D226="","",IF(C226="Thu",IFERROR(INDEX('Danh mục'!$B$26:$B$35,MATCH(D226,'Danh mục'!$A$26:$A$35,0))&amp;"","?"),IFERROR(INDEX('Danh mục'!$D$39:$D$78,MATCH(D226,'Danh mục'!$A$39:$A$78,0))&amp;"","?")))</f>
      </c>
      <c r="G226" s="16">
        <f>IF(OR(D226="",C226&lt;&gt;"Chi"),"",IFERROR(INDEX('Danh mục'!$C$39:$C$78,MATCH(D226,'Danh mục'!$A$39:$A$78,0))&amp;"",""))</f>
      </c>
      <c r="H226" s="11"/>
      <c r="I226" s="20"/>
      <c r="J226" s="11"/>
      <c r="K226" s="11"/>
      <c r="L226" s="11"/>
    </row>
    <row r="227" spans="1:12" x14ac:dyDescent="0.3">
      <c r="A227" s="31"/>
      <c r="B227" s="32">
        <f>IF(A227="","",DATE(YEAR(A227),MONTH(A227),1))</f>
      </c>
      <c r="C227" s="11"/>
      <c r="D227" s="11"/>
      <c r="E227" s="16">
        <f>IF(OR(D227="",C227&lt;&gt;"Chi"),"",IFERROR(INDEX('Danh mục'!$B$39:$B$78,MATCH(D227,'Danh mục'!$A$39:$A$78,0))&amp;"","?"))</f>
      </c>
      <c r="F227" s="16">
        <f>IF(D227="","",IF(C227="Thu",IFERROR(INDEX('Danh mục'!$B$26:$B$35,MATCH(D227,'Danh mục'!$A$26:$A$35,0))&amp;"","?"),IFERROR(INDEX('Danh mục'!$D$39:$D$78,MATCH(D227,'Danh mục'!$A$39:$A$78,0))&amp;"","?")))</f>
      </c>
      <c r="G227" s="16">
        <f>IF(OR(D227="",C227&lt;&gt;"Chi"),"",IFERROR(INDEX('Danh mục'!$C$39:$C$78,MATCH(D227,'Danh mục'!$A$39:$A$78,0))&amp;"",""))</f>
      </c>
      <c r="H227" s="11"/>
      <c r="I227" s="20"/>
      <c r="J227" s="11"/>
      <c r="K227" s="11"/>
      <c r="L227" s="11"/>
    </row>
    <row r="228" spans="1:12" x14ac:dyDescent="0.3">
      <c r="A228" s="31"/>
      <c r="B228" s="32">
        <f>IF(A228="","",DATE(YEAR(A228),MONTH(A228),1))</f>
      </c>
      <c r="C228" s="11"/>
      <c r="D228" s="11"/>
      <c r="E228" s="16">
        <f>IF(OR(D228="",C228&lt;&gt;"Chi"),"",IFERROR(INDEX('Danh mục'!$B$39:$B$78,MATCH(D228,'Danh mục'!$A$39:$A$78,0))&amp;"","?"))</f>
      </c>
      <c r="F228" s="16">
        <f>IF(D228="","",IF(C228="Thu",IFERROR(INDEX('Danh mục'!$B$26:$B$35,MATCH(D228,'Danh mục'!$A$26:$A$35,0))&amp;"","?"),IFERROR(INDEX('Danh mục'!$D$39:$D$78,MATCH(D228,'Danh mục'!$A$39:$A$78,0))&amp;"","?")))</f>
      </c>
      <c r="G228" s="16">
        <f>IF(OR(D228="",C228&lt;&gt;"Chi"),"",IFERROR(INDEX('Danh mục'!$C$39:$C$78,MATCH(D228,'Danh mục'!$A$39:$A$78,0))&amp;"",""))</f>
      </c>
      <c r="H228" s="11"/>
      <c r="I228" s="20"/>
      <c r="J228" s="11"/>
      <c r="K228" s="11"/>
      <c r="L228" s="11"/>
    </row>
    <row r="229" spans="1:12" x14ac:dyDescent="0.3">
      <c r="A229" s="31"/>
      <c r="B229" s="32">
        <f>IF(A229="","",DATE(YEAR(A229),MONTH(A229),1))</f>
      </c>
      <c r="C229" s="11"/>
      <c r="D229" s="11"/>
      <c r="E229" s="16">
        <f>IF(OR(D229="",C229&lt;&gt;"Chi"),"",IFERROR(INDEX('Danh mục'!$B$39:$B$78,MATCH(D229,'Danh mục'!$A$39:$A$78,0))&amp;"","?"))</f>
      </c>
      <c r="F229" s="16">
        <f>IF(D229="","",IF(C229="Thu",IFERROR(INDEX('Danh mục'!$B$26:$B$35,MATCH(D229,'Danh mục'!$A$26:$A$35,0))&amp;"","?"),IFERROR(INDEX('Danh mục'!$D$39:$D$78,MATCH(D229,'Danh mục'!$A$39:$A$78,0))&amp;"","?")))</f>
      </c>
      <c r="G229" s="16">
        <f>IF(OR(D229="",C229&lt;&gt;"Chi"),"",IFERROR(INDEX('Danh mục'!$C$39:$C$78,MATCH(D229,'Danh mục'!$A$39:$A$78,0))&amp;"",""))</f>
      </c>
      <c r="H229" s="11"/>
      <c r="I229" s="20"/>
      <c r="J229" s="11"/>
      <c r="K229" s="11"/>
      <c r="L229" s="11"/>
    </row>
    <row r="230" spans="1:12" x14ac:dyDescent="0.3">
      <c r="A230" s="31"/>
      <c r="B230" s="32">
        <f>IF(A230="","",DATE(YEAR(A230),MONTH(A230),1))</f>
      </c>
      <c r="C230" s="11"/>
      <c r="D230" s="11"/>
      <c r="E230" s="16">
        <f>IF(OR(D230="",C230&lt;&gt;"Chi"),"",IFERROR(INDEX('Danh mục'!$B$39:$B$78,MATCH(D230,'Danh mục'!$A$39:$A$78,0))&amp;"","?"))</f>
      </c>
      <c r="F230" s="16">
        <f>IF(D230="","",IF(C230="Thu",IFERROR(INDEX('Danh mục'!$B$26:$B$35,MATCH(D230,'Danh mục'!$A$26:$A$35,0))&amp;"","?"),IFERROR(INDEX('Danh mục'!$D$39:$D$78,MATCH(D230,'Danh mục'!$A$39:$A$78,0))&amp;"","?")))</f>
      </c>
      <c r="G230" s="16">
        <f>IF(OR(D230="",C230&lt;&gt;"Chi"),"",IFERROR(INDEX('Danh mục'!$C$39:$C$78,MATCH(D230,'Danh mục'!$A$39:$A$78,0))&amp;"",""))</f>
      </c>
      <c r="H230" s="11"/>
      <c r="I230" s="20"/>
      <c r="J230" s="11"/>
      <c r="K230" s="11"/>
      <c r="L230" s="11"/>
    </row>
    <row r="231" spans="1:12" x14ac:dyDescent="0.3">
      <c r="A231" s="31"/>
      <c r="B231" s="32">
        <f>IF(A231="","",DATE(YEAR(A231),MONTH(A231),1))</f>
      </c>
      <c r="C231" s="11"/>
      <c r="D231" s="11"/>
      <c r="E231" s="16">
        <f>IF(OR(D231="",C231&lt;&gt;"Chi"),"",IFERROR(INDEX('Danh mục'!$B$39:$B$78,MATCH(D231,'Danh mục'!$A$39:$A$78,0))&amp;"","?"))</f>
      </c>
      <c r="F231" s="16">
        <f>IF(D231="","",IF(C231="Thu",IFERROR(INDEX('Danh mục'!$B$26:$B$35,MATCH(D231,'Danh mục'!$A$26:$A$35,0))&amp;"","?"),IFERROR(INDEX('Danh mục'!$D$39:$D$78,MATCH(D231,'Danh mục'!$A$39:$A$78,0))&amp;"","?")))</f>
      </c>
      <c r="G231" s="16">
        <f>IF(OR(D231="",C231&lt;&gt;"Chi"),"",IFERROR(INDEX('Danh mục'!$C$39:$C$78,MATCH(D231,'Danh mục'!$A$39:$A$78,0))&amp;"",""))</f>
      </c>
      <c r="H231" s="11"/>
      <c r="I231" s="20"/>
      <c r="J231" s="11"/>
      <c r="K231" s="11"/>
      <c r="L231" s="11"/>
    </row>
    <row r="232" spans="1:12" x14ac:dyDescent="0.3">
      <c r="A232" s="31"/>
      <c r="B232" s="32">
        <f>IF(A232="","",DATE(YEAR(A232),MONTH(A232),1))</f>
      </c>
      <c r="C232" s="11"/>
      <c r="D232" s="11"/>
      <c r="E232" s="16">
        <f>IF(OR(D232="",C232&lt;&gt;"Chi"),"",IFERROR(INDEX('Danh mục'!$B$39:$B$78,MATCH(D232,'Danh mục'!$A$39:$A$78,0))&amp;"","?"))</f>
      </c>
      <c r="F232" s="16">
        <f>IF(D232="","",IF(C232="Thu",IFERROR(INDEX('Danh mục'!$B$26:$B$35,MATCH(D232,'Danh mục'!$A$26:$A$35,0))&amp;"","?"),IFERROR(INDEX('Danh mục'!$D$39:$D$78,MATCH(D232,'Danh mục'!$A$39:$A$78,0))&amp;"","?")))</f>
      </c>
      <c r="G232" s="16">
        <f>IF(OR(D232="",C232&lt;&gt;"Chi"),"",IFERROR(INDEX('Danh mục'!$C$39:$C$78,MATCH(D232,'Danh mục'!$A$39:$A$78,0))&amp;"",""))</f>
      </c>
      <c r="H232" s="11"/>
      <c r="I232" s="20"/>
      <c r="J232" s="11"/>
      <c r="K232" s="11"/>
      <c r="L232" s="11"/>
    </row>
    <row r="233" spans="1:12" x14ac:dyDescent="0.3">
      <c r="A233" s="31"/>
      <c r="B233" s="32">
        <f>IF(A233="","",DATE(YEAR(A233),MONTH(A233),1))</f>
      </c>
      <c r="C233" s="11"/>
      <c r="D233" s="11"/>
      <c r="E233" s="16">
        <f>IF(OR(D233="",C233&lt;&gt;"Chi"),"",IFERROR(INDEX('Danh mục'!$B$39:$B$78,MATCH(D233,'Danh mục'!$A$39:$A$78,0))&amp;"","?"))</f>
      </c>
      <c r="F233" s="16">
        <f>IF(D233="","",IF(C233="Thu",IFERROR(INDEX('Danh mục'!$B$26:$B$35,MATCH(D233,'Danh mục'!$A$26:$A$35,0))&amp;"","?"),IFERROR(INDEX('Danh mục'!$D$39:$D$78,MATCH(D233,'Danh mục'!$A$39:$A$78,0))&amp;"","?")))</f>
      </c>
      <c r="G233" s="16">
        <f>IF(OR(D233="",C233&lt;&gt;"Chi"),"",IFERROR(INDEX('Danh mục'!$C$39:$C$78,MATCH(D233,'Danh mục'!$A$39:$A$78,0))&amp;"",""))</f>
      </c>
      <c r="H233" s="11"/>
      <c r="I233" s="20"/>
      <c r="J233" s="11"/>
      <c r="K233" s="11"/>
      <c r="L233" s="11"/>
    </row>
    <row r="234" spans="1:12" x14ac:dyDescent="0.3">
      <c r="A234" s="31"/>
      <c r="B234" s="32">
        <f>IF(A234="","",DATE(YEAR(A234),MONTH(A234),1))</f>
      </c>
      <c r="C234" s="11"/>
      <c r="D234" s="11"/>
      <c r="E234" s="16">
        <f>IF(OR(D234="",C234&lt;&gt;"Chi"),"",IFERROR(INDEX('Danh mục'!$B$39:$B$78,MATCH(D234,'Danh mục'!$A$39:$A$78,0))&amp;"","?"))</f>
      </c>
      <c r="F234" s="16">
        <f>IF(D234="","",IF(C234="Thu",IFERROR(INDEX('Danh mục'!$B$26:$B$35,MATCH(D234,'Danh mục'!$A$26:$A$35,0))&amp;"","?"),IFERROR(INDEX('Danh mục'!$D$39:$D$78,MATCH(D234,'Danh mục'!$A$39:$A$78,0))&amp;"","?")))</f>
      </c>
      <c r="G234" s="16">
        <f>IF(OR(D234="",C234&lt;&gt;"Chi"),"",IFERROR(INDEX('Danh mục'!$C$39:$C$78,MATCH(D234,'Danh mục'!$A$39:$A$78,0))&amp;"",""))</f>
      </c>
      <c r="H234" s="11"/>
      <c r="I234" s="20"/>
      <c r="J234" s="11"/>
      <c r="K234" s="11"/>
      <c r="L234" s="11"/>
    </row>
    <row r="235" spans="1:12" x14ac:dyDescent="0.3">
      <c r="A235" s="31"/>
      <c r="B235" s="32">
        <f>IF(A235="","",DATE(YEAR(A235),MONTH(A235),1))</f>
      </c>
      <c r="C235" s="11"/>
      <c r="D235" s="11"/>
      <c r="E235" s="16">
        <f>IF(OR(D235="",C235&lt;&gt;"Chi"),"",IFERROR(INDEX('Danh mục'!$B$39:$B$78,MATCH(D235,'Danh mục'!$A$39:$A$78,0))&amp;"","?"))</f>
      </c>
      <c r="F235" s="16">
        <f>IF(D235="","",IF(C235="Thu",IFERROR(INDEX('Danh mục'!$B$26:$B$35,MATCH(D235,'Danh mục'!$A$26:$A$35,0))&amp;"","?"),IFERROR(INDEX('Danh mục'!$D$39:$D$78,MATCH(D235,'Danh mục'!$A$39:$A$78,0))&amp;"","?")))</f>
      </c>
      <c r="G235" s="16">
        <f>IF(OR(D235="",C235&lt;&gt;"Chi"),"",IFERROR(INDEX('Danh mục'!$C$39:$C$78,MATCH(D235,'Danh mục'!$A$39:$A$78,0))&amp;"",""))</f>
      </c>
      <c r="H235" s="11"/>
      <c r="I235" s="20"/>
      <c r="J235" s="11"/>
      <c r="K235" s="11"/>
      <c r="L235" s="11"/>
    </row>
    <row r="236" spans="1:12" x14ac:dyDescent="0.3">
      <c r="A236" s="31"/>
      <c r="B236" s="32">
        <f>IF(A236="","",DATE(YEAR(A236),MONTH(A236),1))</f>
      </c>
      <c r="C236" s="11"/>
      <c r="D236" s="11"/>
      <c r="E236" s="16">
        <f>IF(OR(D236="",C236&lt;&gt;"Chi"),"",IFERROR(INDEX('Danh mục'!$B$39:$B$78,MATCH(D236,'Danh mục'!$A$39:$A$78,0))&amp;"","?"))</f>
      </c>
      <c r="F236" s="16">
        <f>IF(D236="","",IF(C236="Thu",IFERROR(INDEX('Danh mục'!$B$26:$B$35,MATCH(D236,'Danh mục'!$A$26:$A$35,0))&amp;"","?"),IFERROR(INDEX('Danh mục'!$D$39:$D$78,MATCH(D236,'Danh mục'!$A$39:$A$78,0))&amp;"","?")))</f>
      </c>
      <c r="G236" s="16">
        <f>IF(OR(D236="",C236&lt;&gt;"Chi"),"",IFERROR(INDEX('Danh mục'!$C$39:$C$78,MATCH(D236,'Danh mục'!$A$39:$A$78,0))&amp;"",""))</f>
      </c>
      <c r="H236" s="11"/>
      <c r="I236" s="20"/>
      <c r="J236" s="11"/>
      <c r="K236" s="11"/>
      <c r="L236" s="11"/>
    </row>
    <row r="237" spans="1:12" x14ac:dyDescent="0.3">
      <c r="A237" s="31"/>
      <c r="B237" s="32">
        <f>IF(A237="","",DATE(YEAR(A237),MONTH(A237),1))</f>
      </c>
      <c r="C237" s="11"/>
      <c r="D237" s="11"/>
      <c r="E237" s="16">
        <f>IF(OR(D237="",C237&lt;&gt;"Chi"),"",IFERROR(INDEX('Danh mục'!$B$39:$B$78,MATCH(D237,'Danh mục'!$A$39:$A$78,0))&amp;"","?"))</f>
      </c>
      <c r="F237" s="16">
        <f>IF(D237="","",IF(C237="Thu",IFERROR(INDEX('Danh mục'!$B$26:$B$35,MATCH(D237,'Danh mục'!$A$26:$A$35,0))&amp;"","?"),IFERROR(INDEX('Danh mục'!$D$39:$D$78,MATCH(D237,'Danh mục'!$A$39:$A$78,0))&amp;"","?")))</f>
      </c>
      <c r="G237" s="16">
        <f>IF(OR(D237="",C237&lt;&gt;"Chi"),"",IFERROR(INDEX('Danh mục'!$C$39:$C$78,MATCH(D237,'Danh mục'!$A$39:$A$78,0))&amp;"",""))</f>
      </c>
      <c r="H237" s="11"/>
      <c r="I237" s="20"/>
      <c r="J237" s="11"/>
      <c r="K237" s="11"/>
      <c r="L237" s="11"/>
    </row>
    <row r="238" spans="1:12" x14ac:dyDescent="0.3">
      <c r="A238" s="31"/>
      <c r="B238" s="32">
        <f>IF(A238="","",DATE(YEAR(A238),MONTH(A238),1))</f>
      </c>
      <c r="C238" s="11"/>
      <c r="D238" s="11"/>
      <c r="E238" s="16">
        <f>IF(OR(D238="",C238&lt;&gt;"Chi"),"",IFERROR(INDEX('Danh mục'!$B$39:$B$78,MATCH(D238,'Danh mục'!$A$39:$A$78,0))&amp;"","?"))</f>
      </c>
      <c r="F238" s="16">
        <f>IF(D238="","",IF(C238="Thu",IFERROR(INDEX('Danh mục'!$B$26:$B$35,MATCH(D238,'Danh mục'!$A$26:$A$35,0))&amp;"","?"),IFERROR(INDEX('Danh mục'!$D$39:$D$78,MATCH(D238,'Danh mục'!$A$39:$A$78,0))&amp;"","?")))</f>
      </c>
      <c r="G238" s="16">
        <f>IF(OR(D238="",C238&lt;&gt;"Chi"),"",IFERROR(INDEX('Danh mục'!$C$39:$C$78,MATCH(D238,'Danh mục'!$A$39:$A$78,0))&amp;"",""))</f>
      </c>
      <c r="H238" s="11"/>
      <c r="I238" s="20"/>
      <c r="J238" s="11"/>
      <c r="K238" s="11"/>
      <c r="L238" s="11"/>
    </row>
    <row r="239" spans="1:12" x14ac:dyDescent="0.3">
      <c r="A239" s="31"/>
      <c r="B239" s="32">
        <f>IF(A239="","",DATE(YEAR(A239),MONTH(A239),1))</f>
      </c>
      <c r="C239" s="11"/>
      <c r="D239" s="11"/>
      <c r="E239" s="16">
        <f>IF(OR(D239="",C239&lt;&gt;"Chi"),"",IFERROR(INDEX('Danh mục'!$B$39:$B$78,MATCH(D239,'Danh mục'!$A$39:$A$78,0))&amp;"","?"))</f>
      </c>
      <c r="F239" s="16">
        <f>IF(D239="","",IF(C239="Thu",IFERROR(INDEX('Danh mục'!$B$26:$B$35,MATCH(D239,'Danh mục'!$A$26:$A$35,0))&amp;"","?"),IFERROR(INDEX('Danh mục'!$D$39:$D$78,MATCH(D239,'Danh mục'!$A$39:$A$78,0))&amp;"","?")))</f>
      </c>
      <c r="G239" s="16">
        <f>IF(OR(D239="",C239&lt;&gt;"Chi"),"",IFERROR(INDEX('Danh mục'!$C$39:$C$78,MATCH(D239,'Danh mục'!$A$39:$A$78,0))&amp;"",""))</f>
      </c>
      <c r="H239" s="11"/>
      <c r="I239" s="20"/>
      <c r="J239" s="11"/>
      <c r="K239" s="11"/>
      <c r="L239" s="11"/>
    </row>
    <row r="240" spans="1:12" x14ac:dyDescent="0.3">
      <c r="A240" s="31"/>
      <c r="B240" s="32">
        <f>IF(A240="","",DATE(YEAR(A240),MONTH(A240),1))</f>
      </c>
      <c r="C240" s="11"/>
      <c r="D240" s="11"/>
      <c r="E240" s="16">
        <f>IF(OR(D240="",C240&lt;&gt;"Chi"),"",IFERROR(INDEX('Danh mục'!$B$39:$B$78,MATCH(D240,'Danh mục'!$A$39:$A$78,0))&amp;"","?"))</f>
      </c>
      <c r="F240" s="16">
        <f>IF(D240="","",IF(C240="Thu",IFERROR(INDEX('Danh mục'!$B$26:$B$35,MATCH(D240,'Danh mục'!$A$26:$A$35,0))&amp;"","?"),IFERROR(INDEX('Danh mục'!$D$39:$D$78,MATCH(D240,'Danh mục'!$A$39:$A$78,0))&amp;"","?")))</f>
      </c>
      <c r="G240" s="16">
        <f>IF(OR(D240="",C240&lt;&gt;"Chi"),"",IFERROR(INDEX('Danh mục'!$C$39:$C$78,MATCH(D240,'Danh mục'!$A$39:$A$78,0))&amp;"",""))</f>
      </c>
      <c r="H240" s="11"/>
      <c r="I240" s="20"/>
      <c r="J240" s="11"/>
      <c r="K240" s="11"/>
      <c r="L240" s="11"/>
    </row>
    <row r="241" spans="1:12" x14ac:dyDescent="0.3">
      <c r="A241" s="31"/>
      <c r="B241" s="32">
        <f>IF(A241="","",DATE(YEAR(A241),MONTH(A241),1))</f>
      </c>
      <c r="C241" s="11"/>
      <c r="D241" s="11"/>
      <c r="E241" s="16">
        <f>IF(OR(D241="",C241&lt;&gt;"Chi"),"",IFERROR(INDEX('Danh mục'!$B$39:$B$78,MATCH(D241,'Danh mục'!$A$39:$A$78,0))&amp;"","?"))</f>
      </c>
      <c r="F241" s="16">
        <f>IF(D241="","",IF(C241="Thu",IFERROR(INDEX('Danh mục'!$B$26:$B$35,MATCH(D241,'Danh mục'!$A$26:$A$35,0))&amp;"","?"),IFERROR(INDEX('Danh mục'!$D$39:$D$78,MATCH(D241,'Danh mục'!$A$39:$A$78,0))&amp;"","?")))</f>
      </c>
      <c r="G241" s="16">
        <f>IF(OR(D241="",C241&lt;&gt;"Chi"),"",IFERROR(INDEX('Danh mục'!$C$39:$C$78,MATCH(D241,'Danh mục'!$A$39:$A$78,0))&amp;"",""))</f>
      </c>
      <c r="H241" s="11"/>
      <c r="I241" s="20"/>
      <c r="J241" s="11"/>
      <c r="K241" s="11"/>
      <c r="L241" s="11"/>
    </row>
    <row r="242" spans="1:12" x14ac:dyDescent="0.3">
      <c r="A242" s="31"/>
      <c r="B242" s="32">
        <f>IF(A242="","",DATE(YEAR(A242),MONTH(A242),1))</f>
      </c>
      <c r="C242" s="11"/>
      <c r="D242" s="11"/>
      <c r="E242" s="16">
        <f>IF(OR(D242="",C242&lt;&gt;"Chi"),"",IFERROR(INDEX('Danh mục'!$B$39:$B$78,MATCH(D242,'Danh mục'!$A$39:$A$78,0))&amp;"","?"))</f>
      </c>
      <c r="F242" s="16">
        <f>IF(D242="","",IF(C242="Thu",IFERROR(INDEX('Danh mục'!$B$26:$B$35,MATCH(D242,'Danh mục'!$A$26:$A$35,0))&amp;"","?"),IFERROR(INDEX('Danh mục'!$D$39:$D$78,MATCH(D242,'Danh mục'!$A$39:$A$78,0))&amp;"","?")))</f>
      </c>
      <c r="G242" s="16">
        <f>IF(OR(D242="",C242&lt;&gt;"Chi"),"",IFERROR(INDEX('Danh mục'!$C$39:$C$78,MATCH(D242,'Danh mục'!$A$39:$A$78,0))&amp;"",""))</f>
      </c>
      <c r="H242" s="11"/>
      <c r="I242" s="20"/>
      <c r="J242" s="11"/>
      <c r="K242" s="11"/>
      <c r="L242" s="11"/>
    </row>
    <row r="243" spans="1:12" x14ac:dyDescent="0.3">
      <c r="A243" s="31"/>
      <c r="B243" s="32">
        <f>IF(A243="","",DATE(YEAR(A243),MONTH(A243),1))</f>
      </c>
      <c r="C243" s="11"/>
      <c r="D243" s="11"/>
      <c r="E243" s="16">
        <f>IF(OR(D243="",C243&lt;&gt;"Chi"),"",IFERROR(INDEX('Danh mục'!$B$39:$B$78,MATCH(D243,'Danh mục'!$A$39:$A$78,0))&amp;"","?"))</f>
      </c>
      <c r="F243" s="16">
        <f>IF(D243="","",IF(C243="Thu",IFERROR(INDEX('Danh mục'!$B$26:$B$35,MATCH(D243,'Danh mục'!$A$26:$A$35,0))&amp;"","?"),IFERROR(INDEX('Danh mục'!$D$39:$D$78,MATCH(D243,'Danh mục'!$A$39:$A$78,0))&amp;"","?")))</f>
      </c>
      <c r="G243" s="16">
        <f>IF(OR(D243="",C243&lt;&gt;"Chi"),"",IFERROR(INDEX('Danh mục'!$C$39:$C$78,MATCH(D243,'Danh mục'!$A$39:$A$78,0))&amp;"",""))</f>
      </c>
      <c r="H243" s="11"/>
      <c r="I243" s="20"/>
      <c r="J243" s="11"/>
      <c r="K243" s="11"/>
      <c r="L243" s="11"/>
    </row>
    <row r="244" spans="1:12" x14ac:dyDescent="0.3">
      <c r="A244" s="31"/>
      <c r="B244" s="32">
        <f>IF(A244="","",DATE(YEAR(A244),MONTH(A244),1))</f>
      </c>
      <c r="C244" s="11"/>
      <c r="D244" s="11"/>
      <c r="E244" s="16">
        <f>IF(OR(D244="",C244&lt;&gt;"Chi"),"",IFERROR(INDEX('Danh mục'!$B$39:$B$78,MATCH(D244,'Danh mục'!$A$39:$A$78,0))&amp;"","?"))</f>
      </c>
      <c r="F244" s="16">
        <f>IF(D244="","",IF(C244="Thu",IFERROR(INDEX('Danh mục'!$B$26:$B$35,MATCH(D244,'Danh mục'!$A$26:$A$35,0))&amp;"","?"),IFERROR(INDEX('Danh mục'!$D$39:$D$78,MATCH(D244,'Danh mục'!$A$39:$A$78,0))&amp;"","?")))</f>
      </c>
      <c r="G244" s="16">
        <f>IF(OR(D244="",C244&lt;&gt;"Chi"),"",IFERROR(INDEX('Danh mục'!$C$39:$C$78,MATCH(D244,'Danh mục'!$A$39:$A$78,0))&amp;"",""))</f>
      </c>
      <c r="H244" s="11"/>
      <c r="I244" s="20"/>
      <c r="J244" s="11"/>
      <c r="K244" s="11"/>
      <c r="L244" s="11"/>
    </row>
    <row r="245" spans="1:12" x14ac:dyDescent="0.3">
      <c r="A245" s="31"/>
      <c r="B245" s="32">
        <f>IF(A245="","",DATE(YEAR(A245),MONTH(A245),1))</f>
      </c>
      <c r="C245" s="11"/>
      <c r="D245" s="11"/>
      <c r="E245" s="16">
        <f>IF(OR(D245="",C245&lt;&gt;"Chi"),"",IFERROR(INDEX('Danh mục'!$B$39:$B$78,MATCH(D245,'Danh mục'!$A$39:$A$78,0))&amp;"","?"))</f>
      </c>
      <c r="F245" s="16">
        <f>IF(D245="","",IF(C245="Thu",IFERROR(INDEX('Danh mục'!$B$26:$B$35,MATCH(D245,'Danh mục'!$A$26:$A$35,0))&amp;"","?"),IFERROR(INDEX('Danh mục'!$D$39:$D$78,MATCH(D245,'Danh mục'!$A$39:$A$78,0))&amp;"","?")))</f>
      </c>
      <c r="G245" s="16">
        <f>IF(OR(D245="",C245&lt;&gt;"Chi"),"",IFERROR(INDEX('Danh mục'!$C$39:$C$78,MATCH(D245,'Danh mục'!$A$39:$A$78,0))&amp;"",""))</f>
      </c>
      <c r="H245" s="11"/>
      <c r="I245" s="20"/>
      <c r="J245" s="11"/>
      <c r="K245" s="11"/>
      <c r="L245" s="11"/>
    </row>
    <row r="246" spans="1:12" x14ac:dyDescent="0.3">
      <c r="A246" s="31"/>
      <c r="B246" s="32">
        <f>IF(A246="","",DATE(YEAR(A246),MONTH(A246),1))</f>
      </c>
      <c r="C246" s="11"/>
      <c r="D246" s="11"/>
      <c r="E246" s="16">
        <f>IF(OR(D246="",C246&lt;&gt;"Chi"),"",IFERROR(INDEX('Danh mục'!$B$39:$B$78,MATCH(D246,'Danh mục'!$A$39:$A$78,0))&amp;"","?"))</f>
      </c>
      <c r="F246" s="16">
        <f>IF(D246="","",IF(C246="Thu",IFERROR(INDEX('Danh mục'!$B$26:$B$35,MATCH(D246,'Danh mục'!$A$26:$A$35,0))&amp;"","?"),IFERROR(INDEX('Danh mục'!$D$39:$D$78,MATCH(D246,'Danh mục'!$A$39:$A$78,0))&amp;"","?")))</f>
      </c>
      <c r="G246" s="16">
        <f>IF(OR(D246="",C246&lt;&gt;"Chi"),"",IFERROR(INDEX('Danh mục'!$C$39:$C$78,MATCH(D246,'Danh mục'!$A$39:$A$78,0))&amp;"",""))</f>
      </c>
      <c r="H246" s="11"/>
      <c r="I246" s="20"/>
      <c r="J246" s="11"/>
      <c r="K246" s="11"/>
      <c r="L246" s="11"/>
    </row>
    <row r="247" spans="1:12" x14ac:dyDescent="0.3">
      <c r="A247" s="31"/>
      <c r="B247" s="32">
        <f>IF(A247="","",DATE(YEAR(A247),MONTH(A247),1))</f>
      </c>
      <c r="C247" s="11"/>
      <c r="D247" s="11"/>
      <c r="E247" s="16">
        <f>IF(OR(D247="",C247&lt;&gt;"Chi"),"",IFERROR(INDEX('Danh mục'!$B$39:$B$78,MATCH(D247,'Danh mục'!$A$39:$A$78,0))&amp;"","?"))</f>
      </c>
      <c r="F247" s="16">
        <f>IF(D247="","",IF(C247="Thu",IFERROR(INDEX('Danh mục'!$B$26:$B$35,MATCH(D247,'Danh mục'!$A$26:$A$35,0))&amp;"","?"),IFERROR(INDEX('Danh mục'!$D$39:$D$78,MATCH(D247,'Danh mục'!$A$39:$A$78,0))&amp;"","?")))</f>
      </c>
      <c r="G247" s="16">
        <f>IF(OR(D247="",C247&lt;&gt;"Chi"),"",IFERROR(INDEX('Danh mục'!$C$39:$C$78,MATCH(D247,'Danh mục'!$A$39:$A$78,0))&amp;"",""))</f>
      </c>
      <c r="H247" s="11"/>
      <c r="I247" s="20"/>
      <c r="J247" s="11"/>
      <c r="K247" s="11"/>
      <c r="L247" s="11"/>
    </row>
    <row r="248" spans="1:12" x14ac:dyDescent="0.3">
      <c r="A248" s="31"/>
      <c r="B248" s="32">
        <f>IF(A248="","",DATE(YEAR(A248),MONTH(A248),1))</f>
      </c>
      <c r="C248" s="11"/>
      <c r="D248" s="11"/>
      <c r="E248" s="16">
        <f>IF(OR(D248="",C248&lt;&gt;"Chi"),"",IFERROR(INDEX('Danh mục'!$B$39:$B$78,MATCH(D248,'Danh mục'!$A$39:$A$78,0))&amp;"","?"))</f>
      </c>
      <c r="F248" s="16">
        <f>IF(D248="","",IF(C248="Thu",IFERROR(INDEX('Danh mục'!$B$26:$B$35,MATCH(D248,'Danh mục'!$A$26:$A$35,0))&amp;"","?"),IFERROR(INDEX('Danh mục'!$D$39:$D$78,MATCH(D248,'Danh mục'!$A$39:$A$78,0))&amp;"","?")))</f>
      </c>
      <c r="G248" s="16">
        <f>IF(OR(D248="",C248&lt;&gt;"Chi"),"",IFERROR(INDEX('Danh mục'!$C$39:$C$78,MATCH(D248,'Danh mục'!$A$39:$A$78,0))&amp;"",""))</f>
      </c>
      <c r="H248" s="11"/>
      <c r="I248" s="20"/>
      <c r="J248" s="11"/>
      <c r="K248" s="11"/>
      <c r="L248" s="11"/>
    </row>
    <row r="249" spans="1:12" x14ac:dyDescent="0.3">
      <c r="A249" s="31"/>
      <c r="B249" s="32">
        <f>IF(A249="","",DATE(YEAR(A249),MONTH(A249),1))</f>
      </c>
      <c r="C249" s="11"/>
      <c r="D249" s="11"/>
      <c r="E249" s="16">
        <f>IF(OR(D249="",C249&lt;&gt;"Chi"),"",IFERROR(INDEX('Danh mục'!$B$39:$B$78,MATCH(D249,'Danh mục'!$A$39:$A$78,0))&amp;"","?"))</f>
      </c>
      <c r="F249" s="16">
        <f>IF(D249="","",IF(C249="Thu",IFERROR(INDEX('Danh mục'!$B$26:$B$35,MATCH(D249,'Danh mục'!$A$26:$A$35,0))&amp;"","?"),IFERROR(INDEX('Danh mục'!$D$39:$D$78,MATCH(D249,'Danh mục'!$A$39:$A$78,0))&amp;"","?")))</f>
      </c>
      <c r="G249" s="16">
        <f>IF(OR(D249="",C249&lt;&gt;"Chi"),"",IFERROR(INDEX('Danh mục'!$C$39:$C$78,MATCH(D249,'Danh mục'!$A$39:$A$78,0))&amp;"",""))</f>
      </c>
      <c r="H249" s="11"/>
      <c r="I249" s="20"/>
      <c r="J249" s="11"/>
      <c r="K249" s="11"/>
      <c r="L249" s="11"/>
    </row>
    <row r="250" spans="1:12" x14ac:dyDescent="0.3">
      <c r="A250" s="31"/>
      <c r="B250" s="32">
        <f>IF(A250="","",DATE(YEAR(A250),MONTH(A250),1))</f>
      </c>
      <c r="C250" s="11"/>
      <c r="D250" s="11"/>
      <c r="E250" s="16">
        <f>IF(OR(D250="",C250&lt;&gt;"Chi"),"",IFERROR(INDEX('Danh mục'!$B$39:$B$78,MATCH(D250,'Danh mục'!$A$39:$A$78,0))&amp;"","?"))</f>
      </c>
      <c r="F250" s="16">
        <f>IF(D250="","",IF(C250="Thu",IFERROR(INDEX('Danh mục'!$B$26:$B$35,MATCH(D250,'Danh mục'!$A$26:$A$35,0))&amp;"","?"),IFERROR(INDEX('Danh mục'!$D$39:$D$78,MATCH(D250,'Danh mục'!$A$39:$A$78,0))&amp;"","?")))</f>
      </c>
      <c r="G250" s="16">
        <f>IF(OR(D250="",C250&lt;&gt;"Chi"),"",IFERROR(INDEX('Danh mục'!$C$39:$C$78,MATCH(D250,'Danh mục'!$A$39:$A$78,0))&amp;"",""))</f>
      </c>
      <c r="H250" s="11"/>
      <c r="I250" s="20"/>
      <c r="J250" s="11"/>
      <c r="K250" s="11"/>
      <c r="L250" s="11"/>
    </row>
    <row r="251" spans="1:12" x14ac:dyDescent="0.3">
      <c r="A251" s="31"/>
      <c r="B251" s="32">
        <f>IF(A251="","",DATE(YEAR(A251),MONTH(A251),1))</f>
      </c>
      <c r="C251" s="11"/>
      <c r="D251" s="11"/>
      <c r="E251" s="16">
        <f>IF(OR(D251="",C251&lt;&gt;"Chi"),"",IFERROR(INDEX('Danh mục'!$B$39:$B$78,MATCH(D251,'Danh mục'!$A$39:$A$78,0))&amp;"","?"))</f>
      </c>
      <c r="F251" s="16">
        <f>IF(D251="","",IF(C251="Thu",IFERROR(INDEX('Danh mục'!$B$26:$B$35,MATCH(D251,'Danh mục'!$A$26:$A$35,0))&amp;"","?"),IFERROR(INDEX('Danh mục'!$D$39:$D$78,MATCH(D251,'Danh mục'!$A$39:$A$78,0))&amp;"","?")))</f>
      </c>
      <c r="G251" s="16">
        <f>IF(OR(D251="",C251&lt;&gt;"Chi"),"",IFERROR(INDEX('Danh mục'!$C$39:$C$78,MATCH(D251,'Danh mục'!$A$39:$A$78,0))&amp;"",""))</f>
      </c>
      <c r="H251" s="11"/>
      <c r="I251" s="20"/>
      <c r="J251" s="11"/>
      <c r="K251" s="11"/>
      <c r="L251" s="11"/>
    </row>
    <row r="252" spans="1:12" x14ac:dyDescent="0.3">
      <c r="A252" s="31"/>
      <c r="B252" s="32">
        <f>IF(A252="","",DATE(YEAR(A252),MONTH(A252),1))</f>
      </c>
      <c r="C252" s="11"/>
      <c r="D252" s="11"/>
      <c r="E252" s="16">
        <f>IF(OR(D252="",C252&lt;&gt;"Chi"),"",IFERROR(INDEX('Danh mục'!$B$39:$B$78,MATCH(D252,'Danh mục'!$A$39:$A$78,0))&amp;"","?"))</f>
      </c>
      <c r="F252" s="16">
        <f>IF(D252="","",IF(C252="Thu",IFERROR(INDEX('Danh mục'!$B$26:$B$35,MATCH(D252,'Danh mục'!$A$26:$A$35,0))&amp;"","?"),IFERROR(INDEX('Danh mục'!$D$39:$D$78,MATCH(D252,'Danh mục'!$A$39:$A$78,0))&amp;"","?")))</f>
      </c>
      <c r="G252" s="16">
        <f>IF(OR(D252="",C252&lt;&gt;"Chi"),"",IFERROR(INDEX('Danh mục'!$C$39:$C$78,MATCH(D252,'Danh mục'!$A$39:$A$78,0))&amp;"",""))</f>
      </c>
      <c r="H252" s="11"/>
      <c r="I252" s="20"/>
      <c r="J252" s="11"/>
      <c r="K252" s="11"/>
      <c r="L252" s="11"/>
    </row>
    <row r="253" spans="1:12" x14ac:dyDescent="0.3">
      <c r="A253" s="31"/>
      <c r="B253" s="32">
        <f>IF(A253="","",DATE(YEAR(A253),MONTH(A253),1))</f>
      </c>
      <c r="C253" s="11"/>
      <c r="D253" s="11"/>
      <c r="E253" s="16">
        <f>IF(OR(D253="",C253&lt;&gt;"Chi"),"",IFERROR(INDEX('Danh mục'!$B$39:$B$78,MATCH(D253,'Danh mục'!$A$39:$A$78,0))&amp;"","?"))</f>
      </c>
      <c r="F253" s="16">
        <f>IF(D253="","",IF(C253="Thu",IFERROR(INDEX('Danh mục'!$B$26:$B$35,MATCH(D253,'Danh mục'!$A$26:$A$35,0))&amp;"","?"),IFERROR(INDEX('Danh mục'!$D$39:$D$78,MATCH(D253,'Danh mục'!$A$39:$A$78,0))&amp;"","?")))</f>
      </c>
      <c r="G253" s="16">
        <f>IF(OR(D253="",C253&lt;&gt;"Chi"),"",IFERROR(INDEX('Danh mục'!$C$39:$C$78,MATCH(D253,'Danh mục'!$A$39:$A$78,0))&amp;"",""))</f>
      </c>
      <c r="H253" s="11"/>
      <c r="I253" s="20"/>
      <c r="J253" s="11"/>
      <c r="K253" s="11"/>
      <c r="L253" s="11"/>
    </row>
    <row r="254" spans="1:12" x14ac:dyDescent="0.3">
      <c r="A254" s="31"/>
      <c r="B254" s="32">
        <f>IF(A254="","",DATE(YEAR(A254),MONTH(A254),1))</f>
      </c>
      <c r="C254" s="11"/>
      <c r="D254" s="11"/>
      <c r="E254" s="16">
        <f>IF(OR(D254="",C254&lt;&gt;"Chi"),"",IFERROR(INDEX('Danh mục'!$B$39:$B$78,MATCH(D254,'Danh mục'!$A$39:$A$78,0))&amp;"","?"))</f>
      </c>
      <c r="F254" s="16">
        <f>IF(D254="","",IF(C254="Thu",IFERROR(INDEX('Danh mục'!$B$26:$B$35,MATCH(D254,'Danh mục'!$A$26:$A$35,0))&amp;"","?"),IFERROR(INDEX('Danh mục'!$D$39:$D$78,MATCH(D254,'Danh mục'!$A$39:$A$78,0))&amp;"","?")))</f>
      </c>
      <c r="G254" s="16">
        <f>IF(OR(D254="",C254&lt;&gt;"Chi"),"",IFERROR(INDEX('Danh mục'!$C$39:$C$78,MATCH(D254,'Danh mục'!$A$39:$A$78,0))&amp;"",""))</f>
      </c>
      <c r="H254" s="11"/>
      <c r="I254" s="20"/>
      <c r="J254" s="11"/>
      <c r="K254" s="11"/>
      <c r="L254" s="11"/>
    </row>
    <row r="255" spans="1:12" x14ac:dyDescent="0.3">
      <c r="A255" s="31"/>
      <c r="B255" s="32">
        <f>IF(A255="","",DATE(YEAR(A255),MONTH(A255),1))</f>
      </c>
      <c r="C255" s="11"/>
      <c r="D255" s="11"/>
      <c r="E255" s="16">
        <f>IF(OR(D255="",C255&lt;&gt;"Chi"),"",IFERROR(INDEX('Danh mục'!$B$39:$B$78,MATCH(D255,'Danh mục'!$A$39:$A$78,0))&amp;"","?"))</f>
      </c>
      <c r="F255" s="16">
        <f>IF(D255="","",IF(C255="Thu",IFERROR(INDEX('Danh mục'!$B$26:$B$35,MATCH(D255,'Danh mục'!$A$26:$A$35,0))&amp;"","?"),IFERROR(INDEX('Danh mục'!$D$39:$D$78,MATCH(D255,'Danh mục'!$A$39:$A$78,0))&amp;"","?")))</f>
      </c>
      <c r="G255" s="16">
        <f>IF(OR(D255="",C255&lt;&gt;"Chi"),"",IFERROR(INDEX('Danh mục'!$C$39:$C$78,MATCH(D255,'Danh mục'!$A$39:$A$78,0))&amp;"",""))</f>
      </c>
      <c r="H255" s="11"/>
      <c r="I255" s="20"/>
      <c r="J255" s="11"/>
      <c r="K255" s="11"/>
      <c r="L255" s="11"/>
    </row>
    <row r="256" spans="1:12" x14ac:dyDescent="0.3">
      <c r="A256" s="31"/>
      <c r="B256" s="32">
        <f>IF(A256="","",DATE(YEAR(A256),MONTH(A256),1))</f>
      </c>
      <c r="C256" s="11"/>
      <c r="D256" s="11"/>
      <c r="E256" s="16">
        <f>IF(OR(D256="",C256&lt;&gt;"Chi"),"",IFERROR(INDEX('Danh mục'!$B$39:$B$78,MATCH(D256,'Danh mục'!$A$39:$A$78,0))&amp;"","?"))</f>
      </c>
      <c r="F256" s="16">
        <f>IF(D256="","",IF(C256="Thu",IFERROR(INDEX('Danh mục'!$B$26:$B$35,MATCH(D256,'Danh mục'!$A$26:$A$35,0))&amp;"","?"),IFERROR(INDEX('Danh mục'!$D$39:$D$78,MATCH(D256,'Danh mục'!$A$39:$A$78,0))&amp;"","?")))</f>
      </c>
      <c r="G256" s="16">
        <f>IF(OR(D256="",C256&lt;&gt;"Chi"),"",IFERROR(INDEX('Danh mục'!$C$39:$C$78,MATCH(D256,'Danh mục'!$A$39:$A$78,0))&amp;"",""))</f>
      </c>
      <c r="H256" s="11"/>
      <c r="I256" s="20"/>
      <c r="J256" s="11"/>
      <c r="K256" s="11"/>
      <c r="L256" s="11"/>
    </row>
    <row r="257" spans="1:12" x14ac:dyDescent="0.3">
      <c r="A257" s="31"/>
      <c r="B257" s="32">
        <f>IF(A257="","",DATE(YEAR(A257),MONTH(A257),1))</f>
      </c>
      <c r="C257" s="11"/>
      <c r="D257" s="11"/>
      <c r="E257" s="16">
        <f>IF(OR(D257="",C257&lt;&gt;"Chi"),"",IFERROR(INDEX('Danh mục'!$B$39:$B$78,MATCH(D257,'Danh mục'!$A$39:$A$78,0))&amp;"","?"))</f>
      </c>
      <c r="F257" s="16">
        <f>IF(D257="","",IF(C257="Thu",IFERROR(INDEX('Danh mục'!$B$26:$B$35,MATCH(D257,'Danh mục'!$A$26:$A$35,0))&amp;"","?"),IFERROR(INDEX('Danh mục'!$D$39:$D$78,MATCH(D257,'Danh mục'!$A$39:$A$78,0))&amp;"","?")))</f>
      </c>
      <c r="G257" s="16">
        <f>IF(OR(D257="",C257&lt;&gt;"Chi"),"",IFERROR(INDEX('Danh mục'!$C$39:$C$78,MATCH(D257,'Danh mục'!$A$39:$A$78,0))&amp;"",""))</f>
      </c>
      <c r="H257" s="11"/>
      <c r="I257" s="20"/>
      <c r="J257" s="11"/>
      <c r="K257" s="11"/>
      <c r="L257" s="11"/>
    </row>
    <row r="258" spans="1:12" x14ac:dyDescent="0.3">
      <c r="A258" s="31"/>
      <c r="B258" s="32">
        <f>IF(A258="","",DATE(YEAR(A258),MONTH(A258),1))</f>
      </c>
      <c r="C258" s="11"/>
      <c r="D258" s="11"/>
      <c r="E258" s="16">
        <f>IF(OR(D258="",C258&lt;&gt;"Chi"),"",IFERROR(INDEX('Danh mục'!$B$39:$B$78,MATCH(D258,'Danh mục'!$A$39:$A$78,0))&amp;"","?"))</f>
      </c>
      <c r="F258" s="16">
        <f>IF(D258="","",IF(C258="Thu",IFERROR(INDEX('Danh mục'!$B$26:$B$35,MATCH(D258,'Danh mục'!$A$26:$A$35,0))&amp;"","?"),IFERROR(INDEX('Danh mục'!$D$39:$D$78,MATCH(D258,'Danh mục'!$A$39:$A$78,0))&amp;"","?")))</f>
      </c>
      <c r="G258" s="16">
        <f>IF(OR(D258="",C258&lt;&gt;"Chi"),"",IFERROR(INDEX('Danh mục'!$C$39:$C$78,MATCH(D258,'Danh mục'!$A$39:$A$78,0))&amp;"",""))</f>
      </c>
      <c r="H258" s="11"/>
      <c r="I258" s="20"/>
      <c r="J258" s="11"/>
      <c r="K258" s="11"/>
      <c r="L258" s="11"/>
    </row>
    <row r="259" spans="1:12" x14ac:dyDescent="0.3">
      <c r="A259" s="31"/>
      <c r="B259" s="32">
        <f>IF(A259="","",DATE(YEAR(A259),MONTH(A259),1))</f>
      </c>
      <c r="C259" s="11"/>
      <c r="D259" s="11"/>
      <c r="E259" s="16">
        <f>IF(OR(D259="",C259&lt;&gt;"Chi"),"",IFERROR(INDEX('Danh mục'!$B$39:$B$78,MATCH(D259,'Danh mục'!$A$39:$A$78,0))&amp;"","?"))</f>
      </c>
      <c r="F259" s="16">
        <f>IF(D259="","",IF(C259="Thu",IFERROR(INDEX('Danh mục'!$B$26:$B$35,MATCH(D259,'Danh mục'!$A$26:$A$35,0))&amp;"","?"),IFERROR(INDEX('Danh mục'!$D$39:$D$78,MATCH(D259,'Danh mục'!$A$39:$A$78,0))&amp;"","?")))</f>
      </c>
      <c r="G259" s="16">
        <f>IF(OR(D259="",C259&lt;&gt;"Chi"),"",IFERROR(INDEX('Danh mục'!$C$39:$C$78,MATCH(D259,'Danh mục'!$A$39:$A$78,0))&amp;"",""))</f>
      </c>
      <c r="H259" s="11"/>
      <c r="I259" s="20"/>
      <c r="J259" s="11"/>
      <c r="K259" s="11"/>
      <c r="L259" s="11"/>
    </row>
    <row r="260" spans="1:12" x14ac:dyDescent="0.3">
      <c r="A260" s="31"/>
      <c r="B260" s="32">
        <f>IF(A260="","",DATE(YEAR(A260),MONTH(A260),1))</f>
      </c>
      <c r="C260" s="11"/>
      <c r="D260" s="11"/>
      <c r="E260" s="16">
        <f>IF(OR(D260="",C260&lt;&gt;"Chi"),"",IFERROR(INDEX('Danh mục'!$B$39:$B$78,MATCH(D260,'Danh mục'!$A$39:$A$78,0))&amp;"","?"))</f>
      </c>
      <c r="F260" s="16">
        <f>IF(D260="","",IF(C260="Thu",IFERROR(INDEX('Danh mục'!$B$26:$B$35,MATCH(D260,'Danh mục'!$A$26:$A$35,0))&amp;"","?"),IFERROR(INDEX('Danh mục'!$D$39:$D$78,MATCH(D260,'Danh mục'!$A$39:$A$78,0))&amp;"","?")))</f>
      </c>
      <c r="G260" s="16">
        <f>IF(OR(D260="",C260&lt;&gt;"Chi"),"",IFERROR(INDEX('Danh mục'!$C$39:$C$78,MATCH(D260,'Danh mục'!$A$39:$A$78,0))&amp;"",""))</f>
      </c>
      <c r="H260" s="11"/>
      <c r="I260" s="20"/>
      <c r="J260" s="11"/>
      <c r="K260" s="11"/>
      <c r="L260" s="11"/>
    </row>
    <row r="261" spans="1:12" x14ac:dyDescent="0.3">
      <c r="A261" s="31"/>
      <c r="B261" s="32">
        <f>IF(A261="","",DATE(YEAR(A261),MONTH(A261),1))</f>
      </c>
      <c r="C261" s="11"/>
      <c r="D261" s="11"/>
      <c r="E261" s="16">
        <f>IF(OR(D261="",C261&lt;&gt;"Chi"),"",IFERROR(INDEX('Danh mục'!$B$39:$B$78,MATCH(D261,'Danh mục'!$A$39:$A$78,0))&amp;"","?"))</f>
      </c>
      <c r="F261" s="16">
        <f>IF(D261="","",IF(C261="Thu",IFERROR(INDEX('Danh mục'!$B$26:$B$35,MATCH(D261,'Danh mục'!$A$26:$A$35,0))&amp;"","?"),IFERROR(INDEX('Danh mục'!$D$39:$D$78,MATCH(D261,'Danh mục'!$A$39:$A$78,0))&amp;"","?")))</f>
      </c>
      <c r="G261" s="16">
        <f>IF(OR(D261="",C261&lt;&gt;"Chi"),"",IFERROR(INDEX('Danh mục'!$C$39:$C$78,MATCH(D261,'Danh mục'!$A$39:$A$78,0))&amp;"",""))</f>
      </c>
      <c r="H261" s="11"/>
      <c r="I261" s="20"/>
      <c r="J261" s="11"/>
      <c r="K261" s="11"/>
      <c r="L261" s="11"/>
    </row>
    <row r="262" spans="1:12" x14ac:dyDescent="0.3">
      <c r="A262" s="31"/>
      <c r="B262" s="32">
        <f>IF(A262="","",DATE(YEAR(A262),MONTH(A262),1))</f>
      </c>
      <c r="C262" s="11"/>
      <c r="D262" s="11"/>
      <c r="E262" s="16">
        <f>IF(OR(D262="",C262&lt;&gt;"Chi"),"",IFERROR(INDEX('Danh mục'!$B$39:$B$78,MATCH(D262,'Danh mục'!$A$39:$A$78,0))&amp;"","?"))</f>
      </c>
      <c r="F262" s="16">
        <f>IF(D262="","",IF(C262="Thu",IFERROR(INDEX('Danh mục'!$B$26:$B$35,MATCH(D262,'Danh mục'!$A$26:$A$35,0))&amp;"","?"),IFERROR(INDEX('Danh mục'!$D$39:$D$78,MATCH(D262,'Danh mục'!$A$39:$A$78,0))&amp;"","?")))</f>
      </c>
      <c r="G262" s="16">
        <f>IF(OR(D262="",C262&lt;&gt;"Chi"),"",IFERROR(INDEX('Danh mục'!$C$39:$C$78,MATCH(D262,'Danh mục'!$A$39:$A$78,0))&amp;"",""))</f>
      </c>
      <c r="H262" s="11"/>
      <c r="I262" s="20"/>
      <c r="J262" s="11"/>
      <c r="K262" s="11"/>
      <c r="L262" s="11"/>
    </row>
    <row r="263" spans="1:12" x14ac:dyDescent="0.3">
      <c r="A263" s="31"/>
      <c r="B263" s="32">
        <f>IF(A263="","",DATE(YEAR(A263),MONTH(A263),1))</f>
      </c>
      <c r="C263" s="11"/>
      <c r="D263" s="11"/>
      <c r="E263" s="16">
        <f>IF(OR(D263="",C263&lt;&gt;"Chi"),"",IFERROR(INDEX('Danh mục'!$B$39:$B$78,MATCH(D263,'Danh mục'!$A$39:$A$78,0))&amp;"","?"))</f>
      </c>
      <c r="F263" s="16">
        <f>IF(D263="","",IF(C263="Thu",IFERROR(INDEX('Danh mục'!$B$26:$B$35,MATCH(D263,'Danh mục'!$A$26:$A$35,0))&amp;"","?"),IFERROR(INDEX('Danh mục'!$D$39:$D$78,MATCH(D263,'Danh mục'!$A$39:$A$78,0))&amp;"","?")))</f>
      </c>
      <c r="G263" s="16">
        <f>IF(OR(D263="",C263&lt;&gt;"Chi"),"",IFERROR(INDEX('Danh mục'!$C$39:$C$78,MATCH(D263,'Danh mục'!$A$39:$A$78,0))&amp;"",""))</f>
      </c>
      <c r="H263" s="11"/>
      <c r="I263" s="20"/>
      <c r="J263" s="11"/>
      <c r="K263" s="11"/>
      <c r="L263" s="11"/>
    </row>
    <row r="264" spans="1:12" x14ac:dyDescent="0.3">
      <c r="A264" s="31"/>
      <c r="B264" s="32">
        <f>IF(A264="","",DATE(YEAR(A264),MONTH(A264),1))</f>
      </c>
      <c r="C264" s="11"/>
      <c r="D264" s="11"/>
      <c r="E264" s="16">
        <f>IF(OR(D264="",C264&lt;&gt;"Chi"),"",IFERROR(INDEX('Danh mục'!$B$39:$B$78,MATCH(D264,'Danh mục'!$A$39:$A$78,0))&amp;"","?"))</f>
      </c>
      <c r="F264" s="16">
        <f>IF(D264="","",IF(C264="Thu",IFERROR(INDEX('Danh mục'!$B$26:$B$35,MATCH(D264,'Danh mục'!$A$26:$A$35,0))&amp;"","?"),IFERROR(INDEX('Danh mục'!$D$39:$D$78,MATCH(D264,'Danh mục'!$A$39:$A$78,0))&amp;"","?")))</f>
      </c>
      <c r="G264" s="16">
        <f>IF(OR(D264="",C264&lt;&gt;"Chi"),"",IFERROR(INDEX('Danh mục'!$C$39:$C$78,MATCH(D264,'Danh mục'!$A$39:$A$78,0))&amp;"",""))</f>
      </c>
      <c r="H264" s="11"/>
      <c r="I264" s="20"/>
      <c r="J264" s="11"/>
      <c r="K264" s="11"/>
      <c r="L264" s="11"/>
    </row>
    <row r="265" spans="1:12" x14ac:dyDescent="0.3">
      <c r="A265" s="31"/>
      <c r="B265" s="32">
        <f>IF(A265="","",DATE(YEAR(A265),MONTH(A265),1))</f>
      </c>
      <c r="C265" s="11"/>
      <c r="D265" s="11"/>
      <c r="E265" s="16">
        <f>IF(OR(D265="",C265&lt;&gt;"Chi"),"",IFERROR(INDEX('Danh mục'!$B$39:$B$78,MATCH(D265,'Danh mục'!$A$39:$A$78,0))&amp;"","?"))</f>
      </c>
      <c r="F265" s="16">
        <f>IF(D265="","",IF(C265="Thu",IFERROR(INDEX('Danh mục'!$B$26:$B$35,MATCH(D265,'Danh mục'!$A$26:$A$35,0))&amp;"","?"),IFERROR(INDEX('Danh mục'!$D$39:$D$78,MATCH(D265,'Danh mục'!$A$39:$A$78,0))&amp;"","?")))</f>
      </c>
      <c r="G265" s="16">
        <f>IF(OR(D265="",C265&lt;&gt;"Chi"),"",IFERROR(INDEX('Danh mục'!$C$39:$C$78,MATCH(D265,'Danh mục'!$A$39:$A$78,0))&amp;"",""))</f>
      </c>
      <c r="H265" s="11"/>
      <c r="I265" s="20"/>
      <c r="J265" s="11"/>
      <c r="K265" s="11"/>
      <c r="L265" s="11"/>
    </row>
    <row r="266" spans="1:12" x14ac:dyDescent="0.3">
      <c r="A266" s="31"/>
      <c r="B266" s="32">
        <f>IF(A266="","",DATE(YEAR(A266),MONTH(A266),1))</f>
      </c>
      <c r="C266" s="11"/>
      <c r="D266" s="11"/>
      <c r="E266" s="16">
        <f>IF(OR(D266="",C266&lt;&gt;"Chi"),"",IFERROR(INDEX('Danh mục'!$B$39:$B$78,MATCH(D266,'Danh mục'!$A$39:$A$78,0))&amp;"","?"))</f>
      </c>
      <c r="F266" s="16">
        <f>IF(D266="","",IF(C266="Thu",IFERROR(INDEX('Danh mục'!$B$26:$B$35,MATCH(D266,'Danh mục'!$A$26:$A$35,0))&amp;"","?"),IFERROR(INDEX('Danh mục'!$D$39:$D$78,MATCH(D266,'Danh mục'!$A$39:$A$78,0))&amp;"","?")))</f>
      </c>
      <c r="G266" s="16">
        <f>IF(OR(D266="",C266&lt;&gt;"Chi"),"",IFERROR(INDEX('Danh mục'!$C$39:$C$78,MATCH(D266,'Danh mục'!$A$39:$A$78,0))&amp;"",""))</f>
      </c>
      <c r="H266" s="11"/>
      <c r="I266" s="20"/>
      <c r="J266" s="11"/>
      <c r="K266" s="11"/>
      <c r="L266" s="11"/>
    </row>
    <row r="267" spans="1:12" x14ac:dyDescent="0.3">
      <c r="A267" s="31"/>
      <c r="B267" s="32">
        <f>IF(A267="","",DATE(YEAR(A267),MONTH(A267),1))</f>
      </c>
      <c r="C267" s="11"/>
      <c r="D267" s="11"/>
      <c r="E267" s="16">
        <f>IF(OR(D267="",C267&lt;&gt;"Chi"),"",IFERROR(INDEX('Danh mục'!$B$39:$B$78,MATCH(D267,'Danh mục'!$A$39:$A$78,0))&amp;"","?"))</f>
      </c>
      <c r="F267" s="16">
        <f>IF(D267="","",IF(C267="Thu",IFERROR(INDEX('Danh mục'!$B$26:$B$35,MATCH(D267,'Danh mục'!$A$26:$A$35,0))&amp;"","?"),IFERROR(INDEX('Danh mục'!$D$39:$D$78,MATCH(D267,'Danh mục'!$A$39:$A$78,0))&amp;"","?")))</f>
      </c>
      <c r="G267" s="16">
        <f>IF(OR(D267="",C267&lt;&gt;"Chi"),"",IFERROR(INDEX('Danh mục'!$C$39:$C$78,MATCH(D267,'Danh mục'!$A$39:$A$78,0))&amp;"",""))</f>
      </c>
      <c r="H267" s="11"/>
      <c r="I267" s="20"/>
      <c r="J267" s="11"/>
      <c r="K267" s="11"/>
      <c r="L267" s="11"/>
    </row>
    <row r="268" spans="1:12" x14ac:dyDescent="0.3">
      <c r="A268" s="31"/>
      <c r="B268" s="32">
        <f>IF(A268="","",DATE(YEAR(A268),MONTH(A268),1))</f>
      </c>
      <c r="C268" s="11"/>
      <c r="D268" s="11"/>
      <c r="E268" s="16">
        <f>IF(OR(D268="",C268&lt;&gt;"Chi"),"",IFERROR(INDEX('Danh mục'!$B$39:$B$78,MATCH(D268,'Danh mục'!$A$39:$A$78,0))&amp;"","?"))</f>
      </c>
      <c r="F268" s="16">
        <f>IF(D268="","",IF(C268="Thu",IFERROR(INDEX('Danh mục'!$B$26:$B$35,MATCH(D268,'Danh mục'!$A$26:$A$35,0))&amp;"","?"),IFERROR(INDEX('Danh mục'!$D$39:$D$78,MATCH(D268,'Danh mục'!$A$39:$A$78,0))&amp;"","?")))</f>
      </c>
      <c r="G268" s="16">
        <f>IF(OR(D268="",C268&lt;&gt;"Chi"),"",IFERROR(INDEX('Danh mục'!$C$39:$C$78,MATCH(D268,'Danh mục'!$A$39:$A$78,0))&amp;"",""))</f>
      </c>
      <c r="H268" s="11"/>
      <c r="I268" s="20"/>
      <c r="J268" s="11"/>
      <c r="K268" s="11"/>
      <c r="L268" s="11"/>
    </row>
    <row r="269" spans="1:12" x14ac:dyDescent="0.3">
      <c r="A269" s="31"/>
      <c r="B269" s="32">
        <f>IF(A269="","",DATE(YEAR(A269),MONTH(A269),1))</f>
      </c>
      <c r="C269" s="11"/>
      <c r="D269" s="11"/>
      <c r="E269" s="16">
        <f>IF(OR(D269="",C269&lt;&gt;"Chi"),"",IFERROR(INDEX('Danh mục'!$B$39:$B$78,MATCH(D269,'Danh mục'!$A$39:$A$78,0))&amp;"","?"))</f>
      </c>
      <c r="F269" s="16">
        <f>IF(D269="","",IF(C269="Thu",IFERROR(INDEX('Danh mục'!$B$26:$B$35,MATCH(D269,'Danh mục'!$A$26:$A$35,0))&amp;"","?"),IFERROR(INDEX('Danh mục'!$D$39:$D$78,MATCH(D269,'Danh mục'!$A$39:$A$78,0))&amp;"","?")))</f>
      </c>
      <c r="G269" s="16">
        <f>IF(OR(D269="",C269&lt;&gt;"Chi"),"",IFERROR(INDEX('Danh mục'!$C$39:$C$78,MATCH(D269,'Danh mục'!$A$39:$A$78,0))&amp;"",""))</f>
      </c>
      <c r="H269" s="11"/>
      <c r="I269" s="20"/>
      <c r="J269" s="11"/>
      <c r="K269" s="11"/>
      <c r="L269" s="11"/>
    </row>
    <row r="270" spans="1:12" x14ac:dyDescent="0.3">
      <c r="A270" s="31"/>
      <c r="B270" s="32">
        <f>IF(A270="","",DATE(YEAR(A270),MONTH(A270),1))</f>
      </c>
      <c r="C270" s="11"/>
      <c r="D270" s="11"/>
      <c r="E270" s="16">
        <f>IF(OR(D270="",C270&lt;&gt;"Chi"),"",IFERROR(INDEX('Danh mục'!$B$39:$B$78,MATCH(D270,'Danh mục'!$A$39:$A$78,0))&amp;"","?"))</f>
      </c>
      <c r="F270" s="16">
        <f>IF(D270="","",IF(C270="Thu",IFERROR(INDEX('Danh mục'!$B$26:$B$35,MATCH(D270,'Danh mục'!$A$26:$A$35,0))&amp;"","?"),IFERROR(INDEX('Danh mục'!$D$39:$D$78,MATCH(D270,'Danh mục'!$A$39:$A$78,0))&amp;"","?")))</f>
      </c>
      <c r="G270" s="16">
        <f>IF(OR(D270="",C270&lt;&gt;"Chi"),"",IFERROR(INDEX('Danh mục'!$C$39:$C$78,MATCH(D270,'Danh mục'!$A$39:$A$78,0))&amp;"",""))</f>
      </c>
      <c r="H270" s="11"/>
      <c r="I270" s="20"/>
      <c r="J270" s="11"/>
      <c r="K270" s="11"/>
      <c r="L270" s="11"/>
    </row>
    <row r="271" spans="1:12" x14ac:dyDescent="0.3">
      <c r="A271" s="31"/>
      <c r="B271" s="32">
        <f>IF(A271="","",DATE(YEAR(A271),MONTH(A271),1))</f>
      </c>
      <c r="C271" s="11"/>
      <c r="D271" s="11"/>
      <c r="E271" s="16">
        <f>IF(OR(D271="",C271&lt;&gt;"Chi"),"",IFERROR(INDEX('Danh mục'!$B$39:$B$78,MATCH(D271,'Danh mục'!$A$39:$A$78,0))&amp;"","?"))</f>
      </c>
      <c r="F271" s="16">
        <f>IF(D271="","",IF(C271="Thu",IFERROR(INDEX('Danh mục'!$B$26:$B$35,MATCH(D271,'Danh mục'!$A$26:$A$35,0))&amp;"","?"),IFERROR(INDEX('Danh mục'!$D$39:$D$78,MATCH(D271,'Danh mục'!$A$39:$A$78,0))&amp;"","?")))</f>
      </c>
      <c r="G271" s="16">
        <f>IF(OR(D271="",C271&lt;&gt;"Chi"),"",IFERROR(INDEX('Danh mục'!$C$39:$C$78,MATCH(D271,'Danh mục'!$A$39:$A$78,0))&amp;"",""))</f>
      </c>
      <c r="H271" s="11"/>
      <c r="I271" s="20"/>
      <c r="J271" s="11"/>
      <c r="K271" s="11"/>
      <c r="L271" s="11"/>
    </row>
    <row r="272" spans="1:12" x14ac:dyDescent="0.3">
      <c r="A272" s="31"/>
      <c r="B272" s="32">
        <f>IF(A272="","",DATE(YEAR(A272),MONTH(A272),1))</f>
      </c>
      <c r="C272" s="11"/>
      <c r="D272" s="11"/>
      <c r="E272" s="16">
        <f>IF(OR(D272="",C272&lt;&gt;"Chi"),"",IFERROR(INDEX('Danh mục'!$B$39:$B$78,MATCH(D272,'Danh mục'!$A$39:$A$78,0))&amp;"","?"))</f>
      </c>
      <c r="F272" s="16">
        <f>IF(D272="","",IF(C272="Thu",IFERROR(INDEX('Danh mục'!$B$26:$B$35,MATCH(D272,'Danh mục'!$A$26:$A$35,0))&amp;"","?"),IFERROR(INDEX('Danh mục'!$D$39:$D$78,MATCH(D272,'Danh mục'!$A$39:$A$78,0))&amp;"","?")))</f>
      </c>
      <c r="G272" s="16">
        <f>IF(OR(D272="",C272&lt;&gt;"Chi"),"",IFERROR(INDEX('Danh mục'!$C$39:$C$78,MATCH(D272,'Danh mục'!$A$39:$A$78,0))&amp;"",""))</f>
      </c>
      <c r="H272" s="11"/>
      <c r="I272" s="20"/>
      <c r="J272" s="11"/>
      <c r="K272" s="11"/>
      <c r="L272" s="11"/>
    </row>
    <row r="273" spans="1:12" x14ac:dyDescent="0.3">
      <c r="A273" s="31"/>
      <c r="B273" s="32">
        <f>IF(A273="","",DATE(YEAR(A273),MONTH(A273),1))</f>
      </c>
      <c r="C273" s="11"/>
      <c r="D273" s="11"/>
      <c r="E273" s="16">
        <f>IF(OR(D273="",C273&lt;&gt;"Chi"),"",IFERROR(INDEX('Danh mục'!$B$39:$B$78,MATCH(D273,'Danh mục'!$A$39:$A$78,0))&amp;"","?"))</f>
      </c>
      <c r="F273" s="16">
        <f>IF(D273="","",IF(C273="Thu",IFERROR(INDEX('Danh mục'!$B$26:$B$35,MATCH(D273,'Danh mục'!$A$26:$A$35,0))&amp;"","?"),IFERROR(INDEX('Danh mục'!$D$39:$D$78,MATCH(D273,'Danh mục'!$A$39:$A$78,0))&amp;"","?")))</f>
      </c>
      <c r="G273" s="16">
        <f>IF(OR(D273="",C273&lt;&gt;"Chi"),"",IFERROR(INDEX('Danh mục'!$C$39:$C$78,MATCH(D273,'Danh mục'!$A$39:$A$78,0))&amp;"",""))</f>
      </c>
      <c r="H273" s="11"/>
      <c r="I273" s="20"/>
      <c r="J273" s="11"/>
      <c r="K273" s="11"/>
      <c r="L273" s="11"/>
    </row>
    <row r="274" spans="1:12" x14ac:dyDescent="0.3">
      <c r="A274" s="31"/>
      <c r="B274" s="32">
        <f>IF(A274="","",DATE(YEAR(A274),MONTH(A274),1))</f>
      </c>
      <c r="C274" s="11"/>
      <c r="D274" s="11"/>
      <c r="E274" s="16">
        <f>IF(OR(D274="",C274&lt;&gt;"Chi"),"",IFERROR(INDEX('Danh mục'!$B$39:$B$78,MATCH(D274,'Danh mục'!$A$39:$A$78,0))&amp;"","?"))</f>
      </c>
      <c r="F274" s="16">
        <f>IF(D274="","",IF(C274="Thu",IFERROR(INDEX('Danh mục'!$B$26:$B$35,MATCH(D274,'Danh mục'!$A$26:$A$35,0))&amp;"","?"),IFERROR(INDEX('Danh mục'!$D$39:$D$78,MATCH(D274,'Danh mục'!$A$39:$A$78,0))&amp;"","?")))</f>
      </c>
      <c r="G274" s="16">
        <f>IF(OR(D274="",C274&lt;&gt;"Chi"),"",IFERROR(INDEX('Danh mục'!$C$39:$C$78,MATCH(D274,'Danh mục'!$A$39:$A$78,0))&amp;"",""))</f>
      </c>
      <c r="H274" s="11"/>
      <c r="I274" s="20"/>
      <c r="J274" s="11"/>
      <c r="K274" s="11"/>
      <c r="L274" s="11"/>
    </row>
    <row r="275" spans="1:12" x14ac:dyDescent="0.3">
      <c r="A275" s="31"/>
      <c r="B275" s="32">
        <f>IF(A275="","",DATE(YEAR(A275),MONTH(A275),1))</f>
      </c>
      <c r="C275" s="11"/>
      <c r="D275" s="11"/>
      <c r="E275" s="16">
        <f>IF(OR(D275="",C275&lt;&gt;"Chi"),"",IFERROR(INDEX('Danh mục'!$B$39:$B$78,MATCH(D275,'Danh mục'!$A$39:$A$78,0))&amp;"","?"))</f>
      </c>
      <c r="F275" s="16">
        <f>IF(D275="","",IF(C275="Thu",IFERROR(INDEX('Danh mục'!$B$26:$B$35,MATCH(D275,'Danh mục'!$A$26:$A$35,0))&amp;"","?"),IFERROR(INDEX('Danh mục'!$D$39:$D$78,MATCH(D275,'Danh mục'!$A$39:$A$78,0))&amp;"","?")))</f>
      </c>
      <c r="G275" s="16">
        <f>IF(OR(D275="",C275&lt;&gt;"Chi"),"",IFERROR(INDEX('Danh mục'!$C$39:$C$78,MATCH(D275,'Danh mục'!$A$39:$A$78,0))&amp;"",""))</f>
      </c>
      <c r="H275" s="11"/>
      <c r="I275" s="20"/>
      <c r="J275" s="11"/>
      <c r="K275" s="11"/>
      <c r="L275" s="11"/>
    </row>
    <row r="276" spans="1:12" x14ac:dyDescent="0.3">
      <c r="A276" s="31"/>
      <c r="B276" s="32">
        <f>IF(A276="","",DATE(YEAR(A276),MONTH(A276),1))</f>
      </c>
      <c r="C276" s="11"/>
      <c r="D276" s="11"/>
      <c r="E276" s="16">
        <f>IF(OR(D276="",C276&lt;&gt;"Chi"),"",IFERROR(INDEX('Danh mục'!$B$39:$B$78,MATCH(D276,'Danh mục'!$A$39:$A$78,0))&amp;"","?"))</f>
      </c>
      <c r="F276" s="16">
        <f>IF(D276="","",IF(C276="Thu",IFERROR(INDEX('Danh mục'!$B$26:$B$35,MATCH(D276,'Danh mục'!$A$26:$A$35,0))&amp;"","?"),IFERROR(INDEX('Danh mục'!$D$39:$D$78,MATCH(D276,'Danh mục'!$A$39:$A$78,0))&amp;"","?")))</f>
      </c>
      <c r="G276" s="16">
        <f>IF(OR(D276="",C276&lt;&gt;"Chi"),"",IFERROR(INDEX('Danh mục'!$C$39:$C$78,MATCH(D276,'Danh mục'!$A$39:$A$78,0))&amp;"",""))</f>
      </c>
      <c r="H276" s="11"/>
      <c r="I276" s="20"/>
      <c r="J276" s="11"/>
      <c r="K276" s="11"/>
      <c r="L276" s="11"/>
    </row>
    <row r="277" spans="1:12" x14ac:dyDescent="0.3">
      <c r="A277" s="31"/>
      <c r="B277" s="32">
        <f>IF(A277="","",DATE(YEAR(A277),MONTH(A277),1))</f>
      </c>
      <c r="C277" s="11"/>
      <c r="D277" s="11"/>
      <c r="E277" s="16">
        <f>IF(OR(D277="",C277&lt;&gt;"Chi"),"",IFERROR(INDEX('Danh mục'!$B$39:$B$78,MATCH(D277,'Danh mục'!$A$39:$A$78,0))&amp;"","?"))</f>
      </c>
      <c r="F277" s="16">
        <f>IF(D277="","",IF(C277="Thu",IFERROR(INDEX('Danh mục'!$B$26:$B$35,MATCH(D277,'Danh mục'!$A$26:$A$35,0))&amp;"","?"),IFERROR(INDEX('Danh mục'!$D$39:$D$78,MATCH(D277,'Danh mục'!$A$39:$A$78,0))&amp;"","?")))</f>
      </c>
      <c r="G277" s="16">
        <f>IF(OR(D277="",C277&lt;&gt;"Chi"),"",IFERROR(INDEX('Danh mục'!$C$39:$C$78,MATCH(D277,'Danh mục'!$A$39:$A$78,0))&amp;"",""))</f>
      </c>
      <c r="H277" s="11"/>
      <c r="I277" s="20"/>
      <c r="J277" s="11"/>
      <c r="K277" s="11"/>
      <c r="L277" s="11"/>
    </row>
    <row r="278" spans="1:12" x14ac:dyDescent="0.3">
      <c r="A278" s="31"/>
      <c r="B278" s="32">
        <f>IF(A278="","",DATE(YEAR(A278),MONTH(A278),1))</f>
      </c>
      <c r="C278" s="11"/>
      <c r="D278" s="11"/>
      <c r="E278" s="16">
        <f>IF(OR(D278="",C278&lt;&gt;"Chi"),"",IFERROR(INDEX('Danh mục'!$B$39:$B$78,MATCH(D278,'Danh mục'!$A$39:$A$78,0))&amp;"","?"))</f>
      </c>
      <c r="F278" s="16">
        <f>IF(D278="","",IF(C278="Thu",IFERROR(INDEX('Danh mục'!$B$26:$B$35,MATCH(D278,'Danh mục'!$A$26:$A$35,0))&amp;"","?"),IFERROR(INDEX('Danh mục'!$D$39:$D$78,MATCH(D278,'Danh mục'!$A$39:$A$78,0))&amp;"","?")))</f>
      </c>
      <c r="G278" s="16">
        <f>IF(OR(D278="",C278&lt;&gt;"Chi"),"",IFERROR(INDEX('Danh mục'!$C$39:$C$78,MATCH(D278,'Danh mục'!$A$39:$A$78,0))&amp;"",""))</f>
      </c>
      <c r="H278" s="11"/>
      <c r="I278" s="20"/>
      <c r="J278" s="11"/>
      <c r="K278" s="11"/>
      <c r="L278" s="11"/>
    </row>
    <row r="279" spans="1:12" x14ac:dyDescent="0.3">
      <c r="A279" s="31"/>
      <c r="B279" s="32">
        <f>IF(A279="","",DATE(YEAR(A279),MONTH(A279),1))</f>
      </c>
      <c r="C279" s="11"/>
      <c r="D279" s="11"/>
      <c r="E279" s="16">
        <f>IF(OR(D279="",C279&lt;&gt;"Chi"),"",IFERROR(INDEX('Danh mục'!$B$39:$B$78,MATCH(D279,'Danh mục'!$A$39:$A$78,0))&amp;"","?"))</f>
      </c>
      <c r="F279" s="16">
        <f>IF(D279="","",IF(C279="Thu",IFERROR(INDEX('Danh mục'!$B$26:$B$35,MATCH(D279,'Danh mục'!$A$26:$A$35,0))&amp;"","?"),IFERROR(INDEX('Danh mục'!$D$39:$D$78,MATCH(D279,'Danh mục'!$A$39:$A$78,0))&amp;"","?")))</f>
      </c>
      <c r="G279" s="16">
        <f>IF(OR(D279="",C279&lt;&gt;"Chi"),"",IFERROR(INDEX('Danh mục'!$C$39:$C$78,MATCH(D279,'Danh mục'!$A$39:$A$78,0))&amp;"",""))</f>
      </c>
      <c r="H279" s="11"/>
      <c r="I279" s="20"/>
      <c r="J279" s="11"/>
      <c r="K279" s="11"/>
      <c r="L279" s="11"/>
    </row>
    <row r="280" spans="1:12" x14ac:dyDescent="0.3">
      <c r="A280" s="31"/>
      <c r="B280" s="32">
        <f>IF(A280="","",DATE(YEAR(A280),MONTH(A280),1))</f>
      </c>
      <c r="C280" s="11"/>
      <c r="D280" s="11"/>
      <c r="E280" s="16">
        <f>IF(OR(D280="",C280&lt;&gt;"Chi"),"",IFERROR(INDEX('Danh mục'!$B$39:$B$78,MATCH(D280,'Danh mục'!$A$39:$A$78,0))&amp;"","?"))</f>
      </c>
      <c r="F280" s="16">
        <f>IF(D280="","",IF(C280="Thu",IFERROR(INDEX('Danh mục'!$B$26:$B$35,MATCH(D280,'Danh mục'!$A$26:$A$35,0))&amp;"","?"),IFERROR(INDEX('Danh mục'!$D$39:$D$78,MATCH(D280,'Danh mục'!$A$39:$A$78,0))&amp;"","?")))</f>
      </c>
      <c r="G280" s="16">
        <f>IF(OR(D280="",C280&lt;&gt;"Chi"),"",IFERROR(INDEX('Danh mục'!$C$39:$C$78,MATCH(D280,'Danh mục'!$A$39:$A$78,0))&amp;"",""))</f>
      </c>
      <c r="H280" s="11"/>
      <c r="I280" s="20"/>
      <c r="J280" s="11"/>
      <c r="K280" s="11"/>
      <c r="L280" s="11"/>
    </row>
    <row r="281" spans="1:12" x14ac:dyDescent="0.3">
      <c r="A281" s="31"/>
      <c r="B281" s="32">
        <f>IF(A281="","",DATE(YEAR(A281),MONTH(A281),1))</f>
      </c>
      <c r="C281" s="11"/>
      <c r="D281" s="11"/>
      <c r="E281" s="16">
        <f>IF(OR(D281="",C281&lt;&gt;"Chi"),"",IFERROR(INDEX('Danh mục'!$B$39:$B$78,MATCH(D281,'Danh mục'!$A$39:$A$78,0))&amp;"","?"))</f>
      </c>
      <c r="F281" s="16">
        <f>IF(D281="","",IF(C281="Thu",IFERROR(INDEX('Danh mục'!$B$26:$B$35,MATCH(D281,'Danh mục'!$A$26:$A$35,0))&amp;"","?"),IFERROR(INDEX('Danh mục'!$D$39:$D$78,MATCH(D281,'Danh mục'!$A$39:$A$78,0))&amp;"","?")))</f>
      </c>
      <c r="G281" s="16">
        <f>IF(OR(D281="",C281&lt;&gt;"Chi"),"",IFERROR(INDEX('Danh mục'!$C$39:$C$78,MATCH(D281,'Danh mục'!$A$39:$A$78,0))&amp;"",""))</f>
      </c>
      <c r="H281" s="11"/>
      <c r="I281" s="20"/>
      <c r="J281" s="11"/>
      <c r="K281" s="11"/>
      <c r="L281" s="11"/>
    </row>
    <row r="282" spans="1:12" x14ac:dyDescent="0.3">
      <c r="A282" s="31"/>
      <c r="B282" s="32">
        <f>IF(A282="","",DATE(YEAR(A282),MONTH(A282),1))</f>
      </c>
      <c r="C282" s="11"/>
      <c r="D282" s="11"/>
      <c r="E282" s="16">
        <f>IF(OR(D282="",C282&lt;&gt;"Chi"),"",IFERROR(INDEX('Danh mục'!$B$39:$B$78,MATCH(D282,'Danh mục'!$A$39:$A$78,0))&amp;"","?"))</f>
      </c>
      <c r="F282" s="16">
        <f>IF(D282="","",IF(C282="Thu",IFERROR(INDEX('Danh mục'!$B$26:$B$35,MATCH(D282,'Danh mục'!$A$26:$A$35,0))&amp;"","?"),IFERROR(INDEX('Danh mục'!$D$39:$D$78,MATCH(D282,'Danh mục'!$A$39:$A$78,0))&amp;"","?")))</f>
      </c>
      <c r="G282" s="16">
        <f>IF(OR(D282="",C282&lt;&gt;"Chi"),"",IFERROR(INDEX('Danh mục'!$C$39:$C$78,MATCH(D282,'Danh mục'!$A$39:$A$78,0))&amp;"",""))</f>
      </c>
      <c r="H282" s="11"/>
      <c r="I282" s="20"/>
      <c r="J282" s="11"/>
      <c r="K282" s="11"/>
      <c r="L282" s="11"/>
    </row>
    <row r="283" spans="1:12" x14ac:dyDescent="0.3">
      <c r="A283" s="31"/>
      <c r="B283" s="32">
        <f>IF(A283="","",DATE(YEAR(A283),MONTH(A283),1))</f>
      </c>
      <c r="C283" s="11"/>
      <c r="D283" s="11"/>
      <c r="E283" s="16">
        <f>IF(OR(D283="",C283&lt;&gt;"Chi"),"",IFERROR(INDEX('Danh mục'!$B$39:$B$78,MATCH(D283,'Danh mục'!$A$39:$A$78,0))&amp;"","?"))</f>
      </c>
      <c r="F283" s="16">
        <f>IF(D283="","",IF(C283="Thu",IFERROR(INDEX('Danh mục'!$B$26:$B$35,MATCH(D283,'Danh mục'!$A$26:$A$35,0))&amp;"","?"),IFERROR(INDEX('Danh mục'!$D$39:$D$78,MATCH(D283,'Danh mục'!$A$39:$A$78,0))&amp;"","?")))</f>
      </c>
      <c r="G283" s="16">
        <f>IF(OR(D283="",C283&lt;&gt;"Chi"),"",IFERROR(INDEX('Danh mục'!$C$39:$C$78,MATCH(D283,'Danh mục'!$A$39:$A$78,0))&amp;"",""))</f>
      </c>
      <c r="H283" s="11"/>
      <c r="I283" s="20"/>
      <c r="J283" s="11"/>
      <c r="K283" s="11"/>
      <c r="L283" s="11"/>
    </row>
    <row r="284" spans="1:12" x14ac:dyDescent="0.3">
      <c r="A284" s="31"/>
      <c r="B284" s="32">
        <f>IF(A284="","",DATE(YEAR(A284),MONTH(A284),1))</f>
      </c>
      <c r="C284" s="11"/>
      <c r="D284" s="11"/>
      <c r="E284" s="16">
        <f>IF(OR(D284="",C284&lt;&gt;"Chi"),"",IFERROR(INDEX('Danh mục'!$B$39:$B$78,MATCH(D284,'Danh mục'!$A$39:$A$78,0))&amp;"","?"))</f>
      </c>
      <c r="F284" s="16">
        <f>IF(D284="","",IF(C284="Thu",IFERROR(INDEX('Danh mục'!$B$26:$B$35,MATCH(D284,'Danh mục'!$A$26:$A$35,0))&amp;"","?"),IFERROR(INDEX('Danh mục'!$D$39:$D$78,MATCH(D284,'Danh mục'!$A$39:$A$78,0))&amp;"","?")))</f>
      </c>
      <c r="G284" s="16">
        <f>IF(OR(D284="",C284&lt;&gt;"Chi"),"",IFERROR(INDEX('Danh mục'!$C$39:$C$78,MATCH(D284,'Danh mục'!$A$39:$A$78,0))&amp;"",""))</f>
      </c>
      <c r="H284" s="11"/>
      <c r="I284" s="20"/>
      <c r="J284" s="11"/>
      <c r="K284" s="11"/>
      <c r="L284" s="11"/>
    </row>
    <row r="285" spans="1:12" x14ac:dyDescent="0.3">
      <c r="A285" s="31"/>
      <c r="B285" s="32">
        <f>IF(A285="","",DATE(YEAR(A285),MONTH(A285),1))</f>
      </c>
      <c r="C285" s="11"/>
      <c r="D285" s="11"/>
      <c r="E285" s="16">
        <f>IF(OR(D285="",C285&lt;&gt;"Chi"),"",IFERROR(INDEX('Danh mục'!$B$39:$B$78,MATCH(D285,'Danh mục'!$A$39:$A$78,0))&amp;"","?"))</f>
      </c>
      <c r="F285" s="16">
        <f>IF(D285="","",IF(C285="Thu",IFERROR(INDEX('Danh mục'!$B$26:$B$35,MATCH(D285,'Danh mục'!$A$26:$A$35,0))&amp;"","?"),IFERROR(INDEX('Danh mục'!$D$39:$D$78,MATCH(D285,'Danh mục'!$A$39:$A$78,0))&amp;"","?")))</f>
      </c>
      <c r="G285" s="16">
        <f>IF(OR(D285="",C285&lt;&gt;"Chi"),"",IFERROR(INDEX('Danh mục'!$C$39:$C$78,MATCH(D285,'Danh mục'!$A$39:$A$78,0))&amp;"",""))</f>
      </c>
      <c r="H285" s="11"/>
      <c r="I285" s="20"/>
      <c r="J285" s="11"/>
      <c r="K285" s="11"/>
      <c r="L285" s="11"/>
    </row>
    <row r="286" spans="1:12" x14ac:dyDescent="0.3">
      <c r="A286" s="31"/>
      <c r="B286" s="32">
        <f>IF(A286="","",DATE(YEAR(A286),MONTH(A286),1))</f>
      </c>
      <c r="C286" s="11"/>
      <c r="D286" s="11"/>
      <c r="E286" s="16">
        <f>IF(OR(D286="",C286&lt;&gt;"Chi"),"",IFERROR(INDEX('Danh mục'!$B$39:$B$78,MATCH(D286,'Danh mục'!$A$39:$A$78,0))&amp;"","?"))</f>
      </c>
      <c r="F286" s="16">
        <f>IF(D286="","",IF(C286="Thu",IFERROR(INDEX('Danh mục'!$B$26:$B$35,MATCH(D286,'Danh mục'!$A$26:$A$35,0))&amp;"","?"),IFERROR(INDEX('Danh mục'!$D$39:$D$78,MATCH(D286,'Danh mục'!$A$39:$A$78,0))&amp;"","?")))</f>
      </c>
      <c r="G286" s="16">
        <f>IF(OR(D286="",C286&lt;&gt;"Chi"),"",IFERROR(INDEX('Danh mục'!$C$39:$C$78,MATCH(D286,'Danh mục'!$A$39:$A$78,0))&amp;"",""))</f>
      </c>
      <c r="H286" s="11"/>
      <c r="I286" s="20"/>
      <c r="J286" s="11"/>
      <c r="K286" s="11"/>
      <c r="L286" s="11"/>
    </row>
    <row r="287" spans="1:12" x14ac:dyDescent="0.3">
      <c r="A287" s="31"/>
      <c r="B287" s="32">
        <f>IF(A287="","",DATE(YEAR(A287),MONTH(A287),1))</f>
      </c>
      <c r="C287" s="11"/>
      <c r="D287" s="11"/>
      <c r="E287" s="16">
        <f>IF(OR(D287="",C287&lt;&gt;"Chi"),"",IFERROR(INDEX('Danh mục'!$B$39:$B$78,MATCH(D287,'Danh mục'!$A$39:$A$78,0))&amp;"","?"))</f>
      </c>
      <c r="F287" s="16">
        <f>IF(D287="","",IF(C287="Thu",IFERROR(INDEX('Danh mục'!$B$26:$B$35,MATCH(D287,'Danh mục'!$A$26:$A$35,0))&amp;"","?"),IFERROR(INDEX('Danh mục'!$D$39:$D$78,MATCH(D287,'Danh mục'!$A$39:$A$78,0))&amp;"","?")))</f>
      </c>
      <c r="G287" s="16">
        <f>IF(OR(D287="",C287&lt;&gt;"Chi"),"",IFERROR(INDEX('Danh mục'!$C$39:$C$78,MATCH(D287,'Danh mục'!$A$39:$A$78,0))&amp;"",""))</f>
      </c>
      <c r="H287" s="11"/>
      <c r="I287" s="20"/>
      <c r="J287" s="11"/>
      <c r="K287" s="11"/>
      <c r="L287" s="11"/>
    </row>
    <row r="288" spans="1:12" x14ac:dyDescent="0.3">
      <c r="A288" s="31"/>
      <c r="B288" s="32">
        <f>IF(A288="","",DATE(YEAR(A288),MONTH(A288),1))</f>
      </c>
      <c r="C288" s="11"/>
      <c r="D288" s="11"/>
      <c r="E288" s="16">
        <f>IF(OR(D288="",C288&lt;&gt;"Chi"),"",IFERROR(INDEX('Danh mục'!$B$39:$B$78,MATCH(D288,'Danh mục'!$A$39:$A$78,0))&amp;"","?"))</f>
      </c>
      <c r="F288" s="16">
        <f>IF(D288="","",IF(C288="Thu",IFERROR(INDEX('Danh mục'!$B$26:$B$35,MATCH(D288,'Danh mục'!$A$26:$A$35,0))&amp;"","?"),IFERROR(INDEX('Danh mục'!$D$39:$D$78,MATCH(D288,'Danh mục'!$A$39:$A$78,0))&amp;"","?")))</f>
      </c>
      <c r="G288" s="16">
        <f>IF(OR(D288="",C288&lt;&gt;"Chi"),"",IFERROR(INDEX('Danh mục'!$C$39:$C$78,MATCH(D288,'Danh mục'!$A$39:$A$78,0))&amp;"",""))</f>
      </c>
      <c r="H288" s="11"/>
      <c r="I288" s="20"/>
      <c r="J288" s="11"/>
      <c r="K288" s="11"/>
      <c r="L288" s="11"/>
    </row>
    <row r="289" spans="1:12" x14ac:dyDescent="0.3">
      <c r="A289" s="31"/>
      <c r="B289" s="32">
        <f>IF(A289="","",DATE(YEAR(A289),MONTH(A289),1))</f>
      </c>
      <c r="C289" s="11"/>
      <c r="D289" s="11"/>
      <c r="E289" s="16">
        <f>IF(OR(D289="",C289&lt;&gt;"Chi"),"",IFERROR(INDEX('Danh mục'!$B$39:$B$78,MATCH(D289,'Danh mục'!$A$39:$A$78,0))&amp;"","?"))</f>
      </c>
      <c r="F289" s="16">
        <f>IF(D289="","",IF(C289="Thu",IFERROR(INDEX('Danh mục'!$B$26:$B$35,MATCH(D289,'Danh mục'!$A$26:$A$35,0))&amp;"","?"),IFERROR(INDEX('Danh mục'!$D$39:$D$78,MATCH(D289,'Danh mục'!$A$39:$A$78,0))&amp;"","?")))</f>
      </c>
      <c r="G289" s="16">
        <f>IF(OR(D289="",C289&lt;&gt;"Chi"),"",IFERROR(INDEX('Danh mục'!$C$39:$C$78,MATCH(D289,'Danh mục'!$A$39:$A$78,0))&amp;"",""))</f>
      </c>
      <c r="H289" s="11"/>
      <c r="I289" s="20"/>
      <c r="J289" s="11"/>
      <c r="K289" s="11"/>
      <c r="L289" s="11"/>
    </row>
    <row r="290" spans="1:12" x14ac:dyDescent="0.3">
      <c r="A290" s="31"/>
      <c r="B290" s="32">
        <f>IF(A290="","",DATE(YEAR(A290),MONTH(A290),1))</f>
      </c>
      <c r="C290" s="11"/>
      <c r="D290" s="11"/>
      <c r="E290" s="16">
        <f>IF(OR(D290="",C290&lt;&gt;"Chi"),"",IFERROR(INDEX('Danh mục'!$B$39:$B$78,MATCH(D290,'Danh mục'!$A$39:$A$78,0))&amp;"","?"))</f>
      </c>
      <c r="F290" s="16">
        <f>IF(D290="","",IF(C290="Thu",IFERROR(INDEX('Danh mục'!$B$26:$B$35,MATCH(D290,'Danh mục'!$A$26:$A$35,0))&amp;"","?"),IFERROR(INDEX('Danh mục'!$D$39:$D$78,MATCH(D290,'Danh mục'!$A$39:$A$78,0))&amp;"","?")))</f>
      </c>
      <c r="G290" s="16">
        <f>IF(OR(D290="",C290&lt;&gt;"Chi"),"",IFERROR(INDEX('Danh mục'!$C$39:$C$78,MATCH(D290,'Danh mục'!$A$39:$A$78,0))&amp;"",""))</f>
      </c>
      <c r="H290" s="11"/>
      <c r="I290" s="20"/>
      <c r="J290" s="11"/>
      <c r="K290" s="11"/>
      <c r="L290" s="11"/>
    </row>
    <row r="291" spans="1:12" x14ac:dyDescent="0.3">
      <c r="A291" s="31"/>
      <c r="B291" s="32">
        <f>IF(A291="","",DATE(YEAR(A291),MONTH(A291),1))</f>
      </c>
      <c r="C291" s="11"/>
      <c r="D291" s="11"/>
      <c r="E291" s="16">
        <f>IF(OR(D291="",C291&lt;&gt;"Chi"),"",IFERROR(INDEX('Danh mục'!$B$39:$B$78,MATCH(D291,'Danh mục'!$A$39:$A$78,0))&amp;"","?"))</f>
      </c>
      <c r="F291" s="16">
        <f>IF(D291="","",IF(C291="Thu",IFERROR(INDEX('Danh mục'!$B$26:$B$35,MATCH(D291,'Danh mục'!$A$26:$A$35,0))&amp;"","?"),IFERROR(INDEX('Danh mục'!$D$39:$D$78,MATCH(D291,'Danh mục'!$A$39:$A$78,0))&amp;"","?")))</f>
      </c>
      <c r="G291" s="16">
        <f>IF(OR(D291="",C291&lt;&gt;"Chi"),"",IFERROR(INDEX('Danh mục'!$C$39:$C$78,MATCH(D291,'Danh mục'!$A$39:$A$78,0))&amp;"",""))</f>
      </c>
      <c r="H291" s="11"/>
      <c r="I291" s="20"/>
      <c r="J291" s="11"/>
      <c r="K291" s="11"/>
      <c r="L291" s="11"/>
    </row>
    <row r="292" spans="1:12" x14ac:dyDescent="0.3">
      <c r="A292" s="31"/>
      <c r="B292" s="32">
        <f>IF(A292="","",DATE(YEAR(A292),MONTH(A292),1))</f>
      </c>
      <c r="C292" s="11"/>
      <c r="D292" s="11"/>
      <c r="E292" s="16">
        <f>IF(OR(D292="",C292&lt;&gt;"Chi"),"",IFERROR(INDEX('Danh mục'!$B$39:$B$78,MATCH(D292,'Danh mục'!$A$39:$A$78,0))&amp;"","?"))</f>
      </c>
      <c r="F292" s="16">
        <f>IF(D292="","",IF(C292="Thu",IFERROR(INDEX('Danh mục'!$B$26:$B$35,MATCH(D292,'Danh mục'!$A$26:$A$35,0))&amp;"","?"),IFERROR(INDEX('Danh mục'!$D$39:$D$78,MATCH(D292,'Danh mục'!$A$39:$A$78,0))&amp;"","?")))</f>
      </c>
      <c r="G292" s="16">
        <f>IF(OR(D292="",C292&lt;&gt;"Chi"),"",IFERROR(INDEX('Danh mục'!$C$39:$C$78,MATCH(D292,'Danh mục'!$A$39:$A$78,0))&amp;"",""))</f>
      </c>
      <c r="H292" s="11"/>
      <c r="I292" s="20"/>
      <c r="J292" s="11"/>
      <c r="K292" s="11"/>
      <c r="L292" s="11"/>
    </row>
    <row r="293" spans="1:12" x14ac:dyDescent="0.3">
      <c r="A293" s="31"/>
      <c r="B293" s="32">
        <f>IF(A293="","",DATE(YEAR(A293),MONTH(A293),1))</f>
      </c>
      <c r="C293" s="11"/>
      <c r="D293" s="11"/>
      <c r="E293" s="16">
        <f>IF(OR(D293="",C293&lt;&gt;"Chi"),"",IFERROR(INDEX('Danh mục'!$B$39:$B$78,MATCH(D293,'Danh mục'!$A$39:$A$78,0))&amp;"","?"))</f>
      </c>
      <c r="F293" s="16">
        <f>IF(D293="","",IF(C293="Thu",IFERROR(INDEX('Danh mục'!$B$26:$B$35,MATCH(D293,'Danh mục'!$A$26:$A$35,0))&amp;"","?"),IFERROR(INDEX('Danh mục'!$D$39:$D$78,MATCH(D293,'Danh mục'!$A$39:$A$78,0))&amp;"","?")))</f>
      </c>
      <c r="G293" s="16">
        <f>IF(OR(D293="",C293&lt;&gt;"Chi"),"",IFERROR(INDEX('Danh mục'!$C$39:$C$78,MATCH(D293,'Danh mục'!$A$39:$A$78,0))&amp;"",""))</f>
      </c>
      <c r="H293" s="11"/>
      <c r="I293" s="20"/>
      <c r="J293" s="11"/>
      <c r="K293" s="11"/>
      <c r="L293" s="11"/>
    </row>
    <row r="294" spans="1:12" x14ac:dyDescent="0.3">
      <c r="A294" s="31"/>
      <c r="B294" s="32">
        <f>IF(A294="","",DATE(YEAR(A294),MONTH(A294),1))</f>
      </c>
      <c r="C294" s="11"/>
      <c r="D294" s="11"/>
      <c r="E294" s="16">
        <f>IF(OR(D294="",C294&lt;&gt;"Chi"),"",IFERROR(INDEX('Danh mục'!$B$39:$B$78,MATCH(D294,'Danh mục'!$A$39:$A$78,0))&amp;"","?"))</f>
      </c>
      <c r="F294" s="16">
        <f>IF(D294="","",IF(C294="Thu",IFERROR(INDEX('Danh mục'!$B$26:$B$35,MATCH(D294,'Danh mục'!$A$26:$A$35,0))&amp;"","?"),IFERROR(INDEX('Danh mục'!$D$39:$D$78,MATCH(D294,'Danh mục'!$A$39:$A$78,0))&amp;"","?")))</f>
      </c>
      <c r="G294" s="16">
        <f>IF(OR(D294="",C294&lt;&gt;"Chi"),"",IFERROR(INDEX('Danh mục'!$C$39:$C$78,MATCH(D294,'Danh mục'!$A$39:$A$78,0))&amp;"",""))</f>
      </c>
      <c r="H294" s="11"/>
      <c r="I294" s="20"/>
      <c r="J294" s="11"/>
      <c r="K294" s="11"/>
      <c r="L294" s="11"/>
    </row>
    <row r="295" spans="1:12" x14ac:dyDescent="0.3">
      <c r="A295" s="31"/>
      <c r="B295" s="32">
        <f>IF(A295="","",DATE(YEAR(A295),MONTH(A295),1))</f>
      </c>
      <c r="C295" s="11"/>
      <c r="D295" s="11"/>
      <c r="E295" s="16">
        <f>IF(OR(D295="",C295&lt;&gt;"Chi"),"",IFERROR(INDEX('Danh mục'!$B$39:$B$78,MATCH(D295,'Danh mục'!$A$39:$A$78,0))&amp;"","?"))</f>
      </c>
      <c r="F295" s="16">
        <f>IF(D295="","",IF(C295="Thu",IFERROR(INDEX('Danh mục'!$B$26:$B$35,MATCH(D295,'Danh mục'!$A$26:$A$35,0))&amp;"","?"),IFERROR(INDEX('Danh mục'!$D$39:$D$78,MATCH(D295,'Danh mục'!$A$39:$A$78,0))&amp;"","?")))</f>
      </c>
      <c r="G295" s="16">
        <f>IF(OR(D295="",C295&lt;&gt;"Chi"),"",IFERROR(INDEX('Danh mục'!$C$39:$C$78,MATCH(D295,'Danh mục'!$A$39:$A$78,0))&amp;"",""))</f>
      </c>
      <c r="H295" s="11"/>
      <c r="I295" s="20"/>
      <c r="J295" s="11"/>
      <c r="K295" s="11"/>
      <c r="L295" s="11"/>
    </row>
    <row r="296" spans="1:12" x14ac:dyDescent="0.3">
      <c r="A296" s="31"/>
      <c r="B296" s="32">
        <f>IF(A296="","",DATE(YEAR(A296),MONTH(A296),1))</f>
      </c>
      <c r="C296" s="11"/>
      <c r="D296" s="11"/>
      <c r="E296" s="16">
        <f>IF(OR(D296="",C296&lt;&gt;"Chi"),"",IFERROR(INDEX('Danh mục'!$B$39:$B$78,MATCH(D296,'Danh mục'!$A$39:$A$78,0))&amp;"","?"))</f>
      </c>
      <c r="F296" s="16">
        <f>IF(D296="","",IF(C296="Thu",IFERROR(INDEX('Danh mục'!$B$26:$B$35,MATCH(D296,'Danh mục'!$A$26:$A$35,0))&amp;"","?"),IFERROR(INDEX('Danh mục'!$D$39:$D$78,MATCH(D296,'Danh mục'!$A$39:$A$78,0))&amp;"","?")))</f>
      </c>
      <c r="G296" s="16">
        <f>IF(OR(D296="",C296&lt;&gt;"Chi"),"",IFERROR(INDEX('Danh mục'!$C$39:$C$78,MATCH(D296,'Danh mục'!$A$39:$A$78,0))&amp;"",""))</f>
      </c>
      <c r="H296" s="11"/>
      <c r="I296" s="20"/>
      <c r="J296" s="11"/>
      <c r="K296" s="11"/>
      <c r="L296" s="11"/>
    </row>
    <row r="297" spans="1:12" x14ac:dyDescent="0.3">
      <c r="A297" s="31"/>
      <c r="B297" s="32">
        <f>IF(A297="","",DATE(YEAR(A297),MONTH(A297),1))</f>
      </c>
      <c r="C297" s="11"/>
      <c r="D297" s="11"/>
      <c r="E297" s="16">
        <f>IF(OR(D297="",C297&lt;&gt;"Chi"),"",IFERROR(INDEX('Danh mục'!$B$39:$B$78,MATCH(D297,'Danh mục'!$A$39:$A$78,0))&amp;"","?"))</f>
      </c>
      <c r="F297" s="16">
        <f>IF(D297="","",IF(C297="Thu",IFERROR(INDEX('Danh mục'!$B$26:$B$35,MATCH(D297,'Danh mục'!$A$26:$A$35,0))&amp;"","?"),IFERROR(INDEX('Danh mục'!$D$39:$D$78,MATCH(D297,'Danh mục'!$A$39:$A$78,0))&amp;"","?")))</f>
      </c>
      <c r="G297" s="16">
        <f>IF(OR(D297="",C297&lt;&gt;"Chi"),"",IFERROR(INDEX('Danh mục'!$C$39:$C$78,MATCH(D297,'Danh mục'!$A$39:$A$78,0))&amp;"",""))</f>
      </c>
      <c r="H297" s="11"/>
      <c r="I297" s="20"/>
      <c r="J297" s="11"/>
      <c r="K297" s="11"/>
      <c r="L297" s="11"/>
    </row>
    <row r="298" spans="1:12" x14ac:dyDescent="0.3">
      <c r="A298" s="31"/>
      <c r="B298" s="32">
        <f>IF(A298="","",DATE(YEAR(A298),MONTH(A298),1))</f>
      </c>
      <c r="C298" s="11"/>
      <c r="D298" s="11"/>
      <c r="E298" s="16">
        <f>IF(OR(D298="",C298&lt;&gt;"Chi"),"",IFERROR(INDEX('Danh mục'!$B$39:$B$78,MATCH(D298,'Danh mục'!$A$39:$A$78,0))&amp;"","?"))</f>
      </c>
      <c r="F298" s="16">
        <f>IF(D298="","",IF(C298="Thu",IFERROR(INDEX('Danh mục'!$B$26:$B$35,MATCH(D298,'Danh mục'!$A$26:$A$35,0))&amp;"","?"),IFERROR(INDEX('Danh mục'!$D$39:$D$78,MATCH(D298,'Danh mục'!$A$39:$A$78,0))&amp;"","?")))</f>
      </c>
      <c r="G298" s="16">
        <f>IF(OR(D298="",C298&lt;&gt;"Chi"),"",IFERROR(INDEX('Danh mục'!$C$39:$C$78,MATCH(D298,'Danh mục'!$A$39:$A$78,0))&amp;"",""))</f>
      </c>
      <c r="H298" s="11"/>
      <c r="I298" s="20"/>
      <c r="J298" s="11"/>
      <c r="K298" s="11"/>
      <c r="L298" s="11"/>
    </row>
    <row r="299" spans="1:12" x14ac:dyDescent="0.3">
      <c r="A299" s="31"/>
      <c r="B299" s="32">
        <f>IF(A299="","",DATE(YEAR(A299),MONTH(A299),1))</f>
      </c>
      <c r="C299" s="11"/>
      <c r="D299" s="11"/>
      <c r="E299" s="16">
        <f>IF(OR(D299="",C299&lt;&gt;"Chi"),"",IFERROR(INDEX('Danh mục'!$B$39:$B$78,MATCH(D299,'Danh mục'!$A$39:$A$78,0))&amp;"","?"))</f>
      </c>
      <c r="F299" s="16">
        <f>IF(D299="","",IF(C299="Thu",IFERROR(INDEX('Danh mục'!$B$26:$B$35,MATCH(D299,'Danh mục'!$A$26:$A$35,0))&amp;"","?"),IFERROR(INDEX('Danh mục'!$D$39:$D$78,MATCH(D299,'Danh mục'!$A$39:$A$78,0))&amp;"","?")))</f>
      </c>
      <c r="G299" s="16">
        <f>IF(OR(D299="",C299&lt;&gt;"Chi"),"",IFERROR(INDEX('Danh mục'!$C$39:$C$78,MATCH(D299,'Danh mục'!$A$39:$A$78,0))&amp;"",""))</f>
      </c>
      <c r="H299" s="11"/>
      <c r="I299" s="20"/>
      <c r="J299" s="11"/>
      <c r="K299" s="11"/>
      <c r="L299" s="11"/>
    </row>
    <row r="300" spans="1:12" x14ac:dyDescent="0.3">
      <c r="A300" s="31"/>
      <c r="B300" s="32">
        <f>IF(A300="","",DATE(YEAR(A300),MONTH(A300),1))</f>
      </c>
      <c r="C300" s="11"/>
      <c r="D300" s="11"/>
      <c r="E300" s="16">
        <f>IF(OR(D300="",C300&lt;&gt;"Chi"),"",IFERROR(INDEX('Danh mục'!$B$39:$B$78,MATCH(D300,'Danh mục'!$A$39:$A$78,0))&amp;"","?"))</f>
      </c>
      <c r="F300" s="16">
        <f>IF(D300="","",IF(C300="Thu",IFERROR(INDEX('Danh mục'!$B$26:$B$35,MATCH(D300,'Danh mục'!$A$26:$A$35,0))&amp;"","?"),IFERROR(INDEX('Danh mục'!$D$39:$D$78,MATCH(D300,'Danh mục'!$A$39:$A$78,0))&amp;"","?")))</f>
      </c>
      <c r="G300" s="16">
        <f>IF(OR(D300="",C300&lt;&gt;"Chi"),"",IFERROR(INDEX('Danh mục'!$C$39:$C$78,MATCH(D300,'Danh mục'!$A$39:$A$78,0))&amp;"",""))</f>
      </c>
      <c r="H300" s="11"/>
      <c r="I300" s="20"/>
      <c r="J300" s="11"/>
      <c r="K300" s="11"/>
      <c r="L300" s="11"/>
    </row>
    <row r="301" spans="1:12" x14ac:dyDescent="0.3">
      <c r="A301" s="31"/>
      <c r="B301" s="32">
        <f>IF(A301="","",DATE(YEAR(A301),MONTH(A301),1))</f>
      </c>
      <c r="C301" s="11"/>
      <c r="D301" s="11"/>
      <c r="E301" s="16">
        <f>IF(OR(D301="",C301&lt;&gt;"Chi"),"",IFERROR(INDEX('Danh mục'!$B$39:$B$78,MATCH(D301,'Danh mục'!$A$39:$A$78,0))&amp;"","?"))</f>
      </c>
      <c r="F301" s="16">
        <f>IF(D301="","",IF(C301="Thu",IFERROR(INDEX('Danh mục'!$B$26:$B$35,MATCH(D301,'Danh mục'!$A$26:$A$35,0))&amp;"","?"),IFERROR(INDEX('Danh mục'!$D$39:$D$78,MATCH(D301,'Danh mục'!$A$39:$A$78,0))&amp;"","?")))</f>
      </c>
      <c r="G301" s="16">
        <f>IF(OR(D301="",C301&lt;&gt;"Chi"),"",IFERROR(INDEX('Danh mục'!$C$39:$C$78,MATCH(D301,'Danh mục'!$A$39:$A$78,0))&amp;"",""))</f>
      </c>
      <c r="H301" s="11"/>
      <c r="I301" s="20"/>
      <c r="J301" s="11"/>
      <c r="K301" s="11"/>
      <c r="L301" s="11"/>
    </row>
    <row r="302" spans="1:12" x14ac:dyDescent="0.3">
      <c r="A302" s="31"/>
      <c r="B302" s="32">
        <f>IF(A302="","",DATE(YEAR(A302),MONTH(A302),1))</f>
      </c>
      <c r="C302" s="11"/>
      <c r="D302" s="11"/>
      <c r="E302" s="16">
        <f>IF(OR(D302="",C302&lt;&gt;"Chi"),"",IFERROR(INDEX('Danh mục'!$B$39:$B$78,MATCH(D302,'Danh mục'!$A$39:$A$78,0))&amp;"","?"))</f>
      </c>
      <c r="F302" s="16">
        <f>IF(D302="","",IF(C302="Thu",IFERROR(INDEX('Danh mục'!$B$26:$B$35,MATCH(D302,'Danh mục'!$A$26:$A$35,0))&amp;"","?"),IFERROR(INDEX('Danh mục'!$D$39:$D$78,MATCH(D302,'Danh mục'!$A$39:$A$78,0))&amp;"","?")))</f>
      </c>
      <c r="G302" s="16">
        <f>IF(OR(D302="",C302&lt;&gt;"Chi"),"",IFERROR(INDEX('Danh mục'!$C$39:$C$78,MATCH(D302,'Danh mục'!$A$39:$A$78,0))&amp;"",""))</f>
      </c>
      <c r="H302" s="11"/>
      <c r="I302" s="20"/>
      <c r="J302" s="11"/>
      <c r="K302" s="11"/>
      <c r="L302" s="11"/>
    </row>
    <row r="303" spans="1:12" x14ac:dyDescent="0.3">
      <c r="A303" s="31"/>
      <c r="B303" s="32">
        <f>IF(A303="","",DATE(YEAR(A303),MONTH(A303),1))</f>
      </c>
      <c r="C303" s="11"/>
      <c r="D303" s="11"/>
      <c r="E303" s="16">
        <f>IF(OR(D303="",C303&lt;&gt;"Chi"),"",IFERROR(INDEX('Danh mục'!$B$39:$B$78,MATCH(D303,'Danh mục'!$A$39:$A$78,0))&amp;"","?"))</f>
      </c>
      <c r="F303" s="16">
        <f>IF(D303="","",IF(C303="Thu",IFERROR(INDEX('Danh mục'!$B$26:$B$35,MATCH(D303,'Danh mục'!$A$26:$A$35,0))&amp;"","?"),IFERROR(INDEX('Danh mục'!$D$39:$D$78,MATCH(D303,'Danh mục'!$A$39:$A$78,0))&amp;"","?")))</f>
      </c>
      <c r="G303" s="16">
        <f>IF(OR(D303="",C303&lt;&gt;"Chi"),"",IFERROR(INDEX('Danh mục'!$C$39:$C$78,MATCH(D303,'Danh mục'!$A$39:$A$78,0))&amp;"",""))</f>
      </c>
      <c r="H303" s="11"/>
      <c r="I303" s="20"/>
      <c r="J303" s="11"/>
      <c r="K303" s="11"/>
      <c r="L303" s="11"/>
    </row>
    <row r="304" spans="1:12" x14ac:dyDescent="0.3">
      <c r="A304" s="31"/>
      <c r="B304" s="32">
        <f>IF(A304="","",DATE(YEAR(A304),MONTH(A304),1))</f>
      </c>
      <c r="C304" s="11"/>
      <c r="D304" s="11"/>
      <c r="E304" s="16">
        <f>IF(OR(D304="",C304&lt;&gt;"Chi"),"",IFERROR(INDEX('Danh mục'!$B$39:$B$78,MATCH(D304,'Danh mục'!$A$39:$A$78,0))&amp;"","?"))</f>
      </c>
      <c r="F304" s="16">
        <f>IF(D304="","",IF(C304="Thu",IFERROR(INDEX('Danh mục'!$B$26:$B$35,MATCH(D304,'Danh mục'!$A$26:$A$35,0))&amp;"","?"),IFERROR(INDEX('Danh mục'!$D$39:$D$78,MATCH(D304,'Danh mục'!$A$39:$A$78,0))&amp;"","?")))</f>
      </c>
      <c r="G304" s="16">
        <f>IF(OR(D304="",C304&lt;&gt;"Chi"),"",IFERROR(INDEX('Danh mục'!$C$39:$C$78,MATCH(D304,'Danh mục'!$A$39:$A$78,0))&amp;"",""))</f>
      </c>
      <c r="H304" s="11"/>
      <c r="I304" s="20"/>
      <c r="J304" s="11"/>
      <c r="K304" s="11"/>
      <c r="L304" s="11"/>
    </row>
    <row r="305" spans="1:12" x14ac:dyDescent="0.3">
      <c r="A305" s="31"/>
      <c r="B305" s="32">
        <f>IF(A305="","",DATE(YEAR(A305),MONTH(A305),1))</f>
      </c>
      <c r="C305" s="11"/>
      <c r="D305" s="11"/>
      <c r="E305" s="16">
        <f>IF(OR(D305="",C305&lt;&gt;"Chi"),"",IFERROR(INDEX('Danh mục'!$B$39:$B$78,MATCH(D305,'Danh mục'!$A$39:$A$78,0))&amp;"","?"))</f>
      </c>
      <c r="F305" s="16">
        <f>IF(D305="","",IF(C305="Thu",IFERROR(INDEX('Danh mục'!$B$26:$B$35,MATCH(D305,'Danh mục'!$A$26:$A$35,0))&amp;"","?"),IFERROR(INDEX('Danh mục'!$D$39:$D$78,MATCH(D305,'Danh mục'!$A$39:$A$78,0))&amp;"","?")))</f>
      </c>
      <c r="G305" s="16">
        <f>IF(OR(D305="",C305&lt;&gt;"Chi"),"",IFERROR(INDEX('Danh mục'!$C$39:$C$78,MATCH(D305,'Danh mục'!$A$39:$A$78,0))&amp;"",""))</f>
      </c>
      <c r="H305" s="11"/>
      <c r="I305" s="20"/>
      <c r="J305" s="11"/>
      <c r="K305" s="11"/>
      <c r="L305" s="11"/>
    </row>
    <row r="306" spans="1:12" x14ac:dyDescent="0.3">
      <c r="A306" s="31"/>
      <c r="B306" s="32">
        <f>IF(A306="","",DATE(YEAR(A306),MONTH(A306),1))</f>
      </c>
      <c r="C306" s="11"/>
      <c r="D306" s="11"/>
      <c r="E306" s="16">
        <f>IF(OR(D306="",C306&lt;&gt;"Chi"),"",IFERROR(INDEX('Danh mục'!$B$39:$B$78,MATCH(D306,'Danh mục'!$A$39:$A$78,0))&amp;"","?"))</f>
      </c>
      <c r="F306" s="16">
        <f>IF(D306="","",IF(C306="Thu",IFERROR(INDEX('Danh mục'!$B$26:$B$35,MATCH(D306,'Danh mục'!$A$26:$A$35,0))&amp;"","?"),IFERROR(INDEX('Danh mục'!$D$39:$D$78,MATCH(D306,'Danh mục'!$A$39:$A$78,0))&amp;"","?")))</f>
      </c>
      <c r="G306" s="16">
        <f>IF(OR(D306="",C306&lt;&gt;"Chi"),"",IFERROR(INDEX('Danh mục'!$C$39:$C$78,MATCH(D306,'Danh mục'!$A$39:$A$78,0))&amp;"",""))</f>
      </c>
      <c r="H306" s="11"/>
      <c r="I306" s="20"/>
      <c r="J306" s="11"/>
      <c r="K306" s="11"/>
      <c r="L306" s="11"/>
    </row>
    <row r="307" spans="1:12" x14ac:dyDescent="0.3">
      <c r="A307" s="31"/>
      <c r="B307" s="32">
        <f>IF(A307="","",DATE(YEAR(A307),MONTH(A307),1))</f>
      </c>
      <c r="C307" s="11"/>
      <c r="D307" s="11"/>
      <c r="E307" s="16">
        <f>IF(OR(D307="",C307&lt;&gt;"Chi"),"",IFERROR(INDEX('Danh mục'!$B$39:$B$78,MATCH(D307,'Danh mục'!$A$39:$A$78,0))&amp;"","?"))</f>
      </c>
      <c r="F307" s="16">
        <f>IF(D307="","",IF(C307="Thu",IFERROR(INDEX('Danh mục'!$B$26:$B$35,MATCH(D307,'Danh mục'!$A$26:$A$35,0))&amp;"","?"),IFERROR(INDEX('Danh mục'!$D$39:$D$78,MATCH(D307,'Danh mục'!$A$39:$A$78,0))&amp;"","?")))</f>
      </c>
      <c r="G307" s="16">
        <f>IF(OR(D307="",C307&lt;&gt;"Chi"),"",IFERROR(INDEX('Danh mục'!$C$39:$C$78,MATCH(D307,'Danh mục'!$A$39:$A$78,0))&amp;"",""))</f>
      </c>
      <c r="H307" s="11"/>
      <c r="I307" s="20"/>
      <c r="J307" s="11"/>
      <c r="K307" s="11"/>
      <c r="L307" s="11"/>
    </row>
    <row r="308" spans="1:12" x14ac:dyDescent="0.3">
      <c r="A308" s="31"/>
      <c r="B308" s="32">
        <f>IF(A308="","",DATE(YEAR(A308),MONTH(A308),1))</f>
      </c>
      <c r="C308" s="11"/>
      <c r="D308" s="11"/>
      <c r="E308" s="16">
        <f>IF(OR(D308="",C308&lt;&gt;"Chi"),"",IFERROR(INDEX('Danh mục'!$B$39:$B$78,MATCH(D308,'Danh mục'!$A$39:$A$78,0))&amp;"","?"))</f>
      </c>
      <c r="F308" s="16">
        <f>IF(D308="","",IF(C308="Thu",IFERROR(INDEX('Danh mục'!$B$26:$B$35,MATCH(D308,'Danh mục'!$A$26:$A$35,0))&amp;"","?"),IFERROR(INDEX('Danh mục'!$D$39:$D$78,MATCH(D308,'Danh mục'!$A$39:$A$78,0))&amp;"","?")))</f>
      </c>
      <c r="G308" s="16">
        <f>IF(OR(D308="",C308&lt;&gt;"Chi"),"",IFERROR(INDEX('Danh mục'!$C$39:$C$78,MATCH(D308,'Danh mục'!$A$39:$A$78,0))&amp;"",""))</f>
      </c>
      <c r="H308" s="11"/>
      <c r="I308" s="20"/>
      <c r="J308" s="11"/>
      <c r="K308" s="11"/>
      <c r="L308" s="11"/>
    </row>
    <row r="309" spans="1:12" x14ac:dyDescent="0.3">
      <c r="A309" s="31"/>
      <c r="B309" s="32">
        <f>IF(A309="","",DATE(YEAR(A309),MONTH(A309),1))</f>
      </c>
      <c r="C309" s="11"/>
      <c r="D309" s="11"/>
      <c r="E309" s="16">
        <f>IF(OR(D309="",C309&lt;&gt;"Chi"),"",IFERROR(INDEX('Danh mục'!$B$39:$B$78,MATCH(D309,'Danh mục'!$A$39:$A$78,0))&amp;"","?"))</f>
      </c>
      <c r="F309" s="16">
        <f>IF(D309="","",IF(C309="Thu",IFERROR(INDEX('Danh mục'!$B$26:$B$35,MATCH(D309,'Danh mục'!$A$26:$A$35,0))&amp;"","?"),IFERROR(INDEX('Danh mục'!$D$39:$D$78,MATCH(D309,'Danh mục'!$A$39:$A$78,0))&amp;"","?")))</f>
      </c>
      <c r="G309" s="16">
        <f>IF(OR(D309="",C309&lt;&gt;"Chi"),"",IFERROR(INDEX('Danh mục'!$C$39:$C$78,MATCH(D309,'Danh mục'!$A$39:$A$78,0))&amp;"",""))</f>
      </c>
      <c r="H309" s="11"/>
      <c r="I309" s="20"/>
      <c r="J309" s="11"/>
      <c r="K309" s="11"/>
      <c r="L309" s="11"/>
    </row>
    <row r="310" spans="1:12" x14ac:dyDescent="0.3">
      <c r="A310" s="31"/>
      <c r="B310" s="32">
        <f>IF(A310="","",DATE(YEAR(A310),MONTH(A310),1))</f>
      </c>
      <c r="C310" s="11"/>
      <c r="D310" s="11"/>
      <c r="E310" s="16">
        <f>IF(OR(D310="",C310&lt;&gt;"Chi"),"",IFERROR(INDEX('Danh mục'!$B$39:$B$78,MATCH(D310,'Danh mục'!$A$39:$A$78,0))&amp;"","?"))</f>
      </c>
      <c r="F310" s="16">
        <f>IF(D310="","",IF(C310="Thu",IFERROR(INDEX('Danh mục'!$B$26:$B$35,MATCH(D310,'Danh mục'!$A$26:$A$35,0))&amp;"","?"),IFERROR(INDEX('Danh mục'!$D$39:$D$78,MATCH(D310,'Danh mục'!$A$39:$A$78,0))&amp;"","?")))</f>
      </c>
      <c r="G310" s="16">
        <f>IF(OR(D310="",C310&lt;&gt;"Chi"),"",IFERROR(INDEX('Danh mục'!$C$39:$C$78,MATCH(D310,'Danh mục'!$A$39:$A$78,0))&amp;"",""))</f>
      </c>
      <c r="H310" s="11"/>
      <c r="I310" s="20"/>
      <c r="J310" s="11"/>
      <c r="K310" s="11"/>
      <c r="L310" s="11"/>
    </row>
    <row r="311" spans="1:12" x14ac:dyDescent="0.3">
      <c r="A311" s="31"/>
      <c r="B311" s="32">
        <f>IF(A311="","",DATE(YEAR(A311),MONTH(A311),1))</f>
      </c>
      <c r="C311" s="11"/>
      <c r="D311" s="11"/>
      <c r="E311" s="16">
        <f>IF(OR(D311="",C311&lt;&gt;"Chi"),"",IFERROR(INDEX('Danh mục'!$B$39:$B$78,MATCH(D311,'Danh mục'!$A$39:$A$78,0))&amp;"","?"))</f>
      </c>
      <c r="F311" s="16">
        <f>IF(D311="","",IF(C311="Thu",IFERROR(INDEX('Danh mục'!$B$26:$B$35,MATCH(D311,'Danh mục'!$A$26:$A$35,0))&amp;"","?"),IFERROR(INDEX('Danh mục'!$D$39:$D$78,MATCH(D311,'Danh mục'!$A$39:$A$78,0))&amp;"","?")))</f>
      </c>
      <c r="G311" s="16">
        <f>IF(OR(D311="",C311&lt;&gt;"Chi"),"",IFERROR(INDEX('Danh mục'!$C$39:$C$78,MATCH(D311,'Danh mục'!$A$39:$A$78,0))&amp;"",""))</f>
      </c>
      <c r="H311" s="11"/>
      <c r="I311" s="20"/>
      <c r="J311" s="11"/>
      <c r="K311" s="11"/>
      <c r="L311" s="11"/>
    </row>
    <row r="312" spans="1:12" x14ac:dyDescent="0.3">
      <c r="A312" s="31"/>
      <c r="B312" s="32">
        <f>IF(A312="","",DATE(YEAR(A312),MONTH(A312),1))</f>
      </c>
      <c r="C312" s="11"/>
      <c r="D312" s="11"/>
      <c r="E312" s="16">
        <f>IF(OR(D312="",C312&lt;&gt;"Chi"),"",IFERROR(INDEX('Danh mục'!$B$39:$B$78,MATCH(D312,'Danh mục'!$A$39:$A$78,0))&amp;"","?"))</f>
      </c>
      <c r="F312" s="16">
        <f>IF(D312="","",IF(C312="Thu",IFERROR(INDEX('Danh mục'!$B$26:$B$35,MATCH(D312,'Danh mục'!$A$26:$A$35,0))&amp;"","?"),IFERROR(INDEX('Danh mục'!$D$39:$D$78,MATCH(D312,'Danh mục'!$A$39:$A$78,0))&amp;"","?")))</f>
      </c>
      <c r="G312" s="16">
        <f>IF(OR(D312="",C312&lt;&gt;"Chi"),"",IFERROR(INDEX('Danh mục'!$C$39:$C$78,MATCH(D312,'Danh mục'!$A$39:$A$78,0))&amp;"",""))</f>
      </c>
      <c r="H312" s="11"/>
      <c r="I312" s="20"/>
      <c r="J312" s="11"/>
      <c r="K312" s="11"/>
      <c r="L312" s="11"/>
    </row>
    <row r="313" spans="1:12" x14ac:dyDescent="0.3">
      <c r="A313" s="31"/>
      <c r="B313" s="32">
        <f>IF(A313="","",DATE(YEAR(A313),MONTH(A313),1))</f>
      </c>
      <c r="C313" s="11"/>
      <c r="D313" s="11"/>
      <c r="E313" s="16">
        <f>IF(OR(D313="",C313&lt;&gt;"Chi"),"",IFERROR(INDEX('Danh mục'!$B$39:$B$78,MATCH(D313,'Danh mục'!$A$39:$A$78,0))&amp;"","?"))</f>
      </c>
      <c r="F313" s="16">
        <f>IF(D313="","",IF(C313="Thu",IFERROR(INDEX('Danh mục'!$B$26:$B$35,MATCH(D313,'Danh mục'!$A$26:$A$35,0))&amp;"","?"),IFERROR(INDEX('Danh mục'!$D$39:$D$78,MATCH(D313,'Danh mục'!$A$39:$A$78,0))&amp;"","?")))</f>
      </c>
      <c r="G313" s="16">
        <f>IF(OR(D313="",C313&lt;&gt;"Chi"),"",IFERROR(INDEX('Danh mục'!$C$39:$C$78,MATCH(D313,'Danh mục'!$A$39:$A$78,0))&amp;"",""))</f>
      </c>
      <c r="H313" s="11"/>
      <c r="I313" s="20"/>
      <c r="J313" s="11"/>
      <c r="K313" s="11"/>
      <c r="L313" s="11"/>
    </row>
    <row r="314" spans="1:12" x14ac:dyDescent="0.3">
      <c r="A314" s="31"/>
      <c r="B314" s="32">
        <f>IF(A314="","",DATE(YEAR(A314),MONTH(A314),1))</f>
      </c>
      <c r="C314" s="11"/>
      <c r="D314" s="11"/>
      <c r="E314" s="16">
        <f>IF(OR(D314="",C314&lt;&gt;"Chi"),"",IFERROR(INDEX('Danh mục'!$B$39:$B$78,MATCH(D314,'Danh mục'!$A$39:$A$78,0))&amp;"","?"))</f>
      </c>
      <c r="F314" s="16">
        <f>IF(D314="","",IF(C314="Thu",IFERROR(INDEX('Danh mục'!$B$26:$B$35,MATCH(D314,'Danh mục'!$A$26:$A$35,0))&amp;"","?"),IFERROR(INDEX('Danh mục'!$D$39:$D$78,MATCH(D314,'Danh mục'!$A$39:$A$78,0))&amp;"","?")))</f>
      </c>
      <c r="G314" s="16">
        <f>IF(OR(D314="",C314&lt;&gt;"Chi"),"",IFERROR(INDEX('Danh mục'!$C$39:$C$78,MATCH(D314,'Danh mục'!$A$39:$A$78,0))&amp;"",""))</f>
      </c>
      <c r="H314" s="11"/>
      <c r="I314" s="20"/>
      <c r="J314" s="11"/>
      <c r="K314" s="11"/>
      <c r="L314" s="11"/>
    </row>
    <row r="315" spans="1:12" x14ac:dyDescent="0.3">
      <c r="A315" s="31"/>
      <c r="B315" s="32">
        <f>IF(A315="","",DATE(YEAR(A315),MONTH(A315),1))</f>
      </c>
      <c r="C315" s="11"/>
      <c r="D315" s="11"/>
      <c r="E315" s="16">
        <f>IF(OR(D315="",C315&lt;&gt;"Chi"),"",IFERROR(INDEX('Danh mục'!$B$39:$B$78,MATCH(D315,'Danh mục'!$A$39:$A$78,0))&amp;"","?"))</f>
      </c>
      <c r="F315" s="16">
        <f>IF(D315="","",IF(C315="Thu",IFERROR(INDEX('Danh mục'!$B$26:$B$35,MATCH(D315,'Danh mục'!$A$26:$A$35,0))&amp;"","?"),IFERROR(INDEX('Danh mục'!$D$39:$D$78,MATCH(D315,'Danh mục'!$A$39:$A$78,0))&amp;"","?")))</f>
      </c>
      <c r="G315" s="16">
        <f>IF(OR(D315="",C315&lt;&gt;"Chi"),"",IFERROR(INDEX('Danh mục'!$C$39:$C$78,MATCH(D315,'Danh mục'!$A$39:$A$78,0))&amp;"",""))</f>
      </c>
      <c r="H315" s="11"/>
      <c r="I315" s="20"/>
      <c r="J315" s="11"/>
      <c r="K315" s="11"/>
      <c r="L315" s="11"/>
    </row>
    <row r="316" spans="1:12" x14ac:dyDescent="0.3">
      <c r="A316" s="31"/>
      <c r="B316" s="32">
        <f>IF(A316="","",DATE(YEAR(A316),MONTH(A316),1))</f>
      </c>
      <c r="C316" s="11"/>
      <c r="D316" s="11"/>
      <c r="E316" s="16">
        <f>IF(OR(D316="",C316&lt;&gt;"Chi"),"",IFERROR(INDEX('Danh mục'!$B$39:$B$78,MATCH(D316,'Danh mục'!$A$39:$A$78,0))&amp;"","?"))</f>
      </c>
      <c r="F316" s="16">
        <f>IF(D316="","",IF(C316="Thu",IFERROR(INDEX('Danh mục'!$B$26:$B$35,MATCH(D316,'Danh mục'!$A$26:$A$35,0))&amp;"","?"),IFERROR(INDEX('Danh mục'!$D$39:$D$78,MATCH(D316,'Danh mục'!$A$39:$A$78,0))&amp;"","?")))</f>
      </c>
      <c r="G316" s="16">
        <f>IF(OR(D316="",C316&lt;&gt;"Chi"),"",IFERROR(INDEX('Danh mục'!$C$39:$C$78,MATCH(D316,'Danh mục'!$A$39:$A$78,0))&amp;"",""))</f>
      </c>
      <c r="H316" s="11"/>
      <c r="I316" s="20"/>
      <c r="J316" s="11"/>
      <c r="K316" s="11"/>
      <c r="L316" s="11"/>
    </row>
    <row r="317" spans="1:12" x14ac:dyDescent="0.3">
      <c r="A317" s="31"/>
      <c r="B317" s="32">
        <f>IF(A317="","",DATE(YEAR(A317),MONTH(A317),1))</f>
      </c>
      <c r="C317" s="11"/>
      <c r="D317" s="11"/>
      <c r="E317" s="16">
        <f>IF(OR(D317="",C317&lt;&gt;"Chi"),"",IFERROR(INDEX('Danh mục'!$B$39:$B$78,MATCH(D317,'Danh mục'!$A$39:$A$78,0))&amp;"","?"))</f>
      </c>
      <c r="F317" s="16">
        <f>IF(D317="","",IF(C317="Thu",IFERROR(INDEX('Danh mục'!$B$26:$B$35,MATCH(D317,'Danh mục'!$A$26:$A$35,0))&amp;"","?"),IFERROR(INDEX('Danh mục'!$D$39:$D$78,MATCH(D317,'Danh mục'!$A$39:$A$78,0))&amp;"","?")))</f>
      </c>
      <c r="G317" s="16">
        <f>IF(OR(D317="",C317&lt;&gt;"Chi"),"",IFERROR(INDEX('Danh mục'!$C$39:$C$78,MATCH(D317,'Danh mục'!$A$39:$A$78,0))&amp;"",""))</f>
      </c>
      <c r="H317" s="11"/>
      <c r="I317" s="20"/>
      <c r="J317" s="11"/>
      <c r="K317" s="11"/>
      <c r="L317" s="11"/>
    </row>
    <row r="318" spans="1:12" x14ac:dyDescent="0.3">
      <c r="A318" s="31"/>
      <c r="B318" s="32">
        <f>IF(A318="","",DATE(YEAR(A318),MONTH(A318),1))</f>
      </c>
      <c r="C318" s="11"/>
      <c r="D318" s="11"/>
      <c r="E318" s="16">
        <f>IF(OR(D318="",C318&lt;&gt;"Chi"),"",IFERROR(INDEX('Danh mục'!$B$39:$B$78,MATCH(D318,'Danh mục'!$A$39:$A$78,0))&amp;"","?"))</f>
      </c>
      <c r="F318" s="16">
        <f>IF(D318="","",IF(C318="Thu",IFERROR(INDEX('Danh mục'!$B$26:$B$35,MATCH(D318,'Danh mục'!$A$26:$A$35,0))&amp;"","?"),IFERROR(INDEX('Danh mục'!$D$39:$D$78,MATCH(D318,'Danh mục'!$A$39:$A$78,0))&amp;"","?")))</f>
      </c>
      <c r="G318" s="16">
        <f>IF(OR(D318="",C318&lt;&gt;"Chi"),"",IFERROR(INDEX('Danh mục'!$C$39:$C$78,MATCH(D318,'Danh mục'!$A$39:$A$78,0))&amp;"",""))</f>
      </c>
      <c r="H318" s="11"/>
      <c r="I318" s="20"/>
      <c r="J318" s="11"/>
      <c r="K318" s="11"/>
      <c r="L318" s="11"/>
    </row>
    <row r="319" spans="1:12" x14ac:dyDescent="0.3">
      <c r="A319" s="31"/>
      <c r="B319" s="32">
        <f>IF(A319="","",DATE(YEAR(A319),MONTH(A319),1))</f>
      </c>
      <c r="C319" s="11"/>
      <c r="D319" s="11"/>
      <c r="E319" s="16">
        <f>IF(OR(D319="",C319&lt;&gt;"Chi"),"",IFERROR(INDEX('Danh mục'!$B$39:$B$78,MATCH(D319,'Danh mục'!$A$39:$A$78,0))&amp;"","?"))</f>
      </c>
      <c r="F319" s="16">
        <f>IF(D319="","",IF(C319="Thu",IFERROR(INDEX('Danh mục'!$B$26:$B$35,MATCH(D319,'Danh mục'!$A$26:$A$35,0))&amp;"","?"),IFERROR(INDEX('Danh mục'!$D$39:$D$78,MATCH(D319,'Danh mục'!$A$39:$A$78,0))&amp;"","?")))</f>
      </c>
      <c r="G319" s="16">
        <f>IF(OR(D319="",C319&lt;&gt;"Chi"),"",IFERROR(INDEX('Danh mục'!$C$39:$C$78,MATCH(D319,'Danh mục'!$A$39:$A$78,0))&amp;"",""))</f>
      </c>
      <c r="H319" s="11"/>
      <c r="I319" s="20"/>
      <c r="J319" s="11"/>
      <c r="K319" s="11"/>
      <c r="L319" s="11"/>
    </row>
    <row r="320" spans="1:12" x14ac:dyDescent="0.3">
      <c r="A320" s="31"/>
      <c r="B320" s="32">
        <f>IF(A320="","",DATE(YEAR(A320),MONTH(A320),1))</f>
      </c>
      <c r="C320" s="11"/>
      <c r="D320" s="11"/>
      <c r="E320" s="16">
        <f>IF(OR(D320="",C320&lt;&gt;"Chi"),"",IFERROR(INDEX('Danh mục'!$B$39:$B$78,MATCH(D320,'Danh mục'!$A$39:$A$78,0))&amp;"","?"))</f>
      </c>
      <c r="F320" s="16">
        <f>IF(D320="","",IF(C320="Thu",IFERROR(INDEX('Danh mục'!$B$26:$B$35,MATCH(D320,'Danh mục'!$A$26:$A$35,0))&amp;"","?"),IFERROR(INDEX('Danh mục'!$D$39:$D$78,MATCH(D320,'Danh mục'!$A$39:$A$78,0))&amp;"","?")))</f>
      </c>
      <c r="G320" s="16">
        <f>IF(OR(D320="",C320&lt;&gt;"Chi"),"",IFERROR(INDEX('Danh mục'!$C$39:$C$78,MATCH(D320,'Danh mục'!$A$39:$A$78,0))&amp;"",""))</f>
      </c>
      <c r="H320" s="11"/>
      <c r="I320" s="20"/>
      <c r="J320" s="11"/>
      <c r="K320" s="11"/>
      <c r="L320" s="11"/>
    </row>
    <row r="321" spans="1:12" x14ac:dyDescent="0.3">
      <c r="A321" s="31"/>
      <c r="B321" s="32">
        <f>IF(A321="","",DATE(YEAR(A321),MONTH(A321),1))</f>
      </c>
      <c r="C321" s="11"/>
      <c r="D321" s="11"/>
      <c r="E321" s="16">
        <f>IF(OR(D321="",C321&lt;&gt;"Chi"),"",IFERROR(INDEX('Danh mục'!$B$39:$B$78,MATCH(D321,'Danh mục'!$A$39:$A$78,0))&amp;"","?"))</f>
      </c>
      <c r="F321" s="16">
        <f>IF(D321="","",IF(C321="Thu",IFERROR(INDEX('Danh mục'!$B$26:$B$35,MATCH(D321,'Danh mục'!$A$26:$A$35,0))&amp;"","?"),IFERROR(INDEX('Danh mục'!$D$39:$D$78,MATCH(D321,'Danh mục'!$A$39:$A$78,0))&amp;"","?")))</f>
      </c>
      <c r="G321" s="16">
        <f>IF(OR(D321="",C321&lt;&gt;"Chi"),"",IFERROR(INDEX('Danh mục'!$C$39:$C$78,MATCH(D321,'Danh mục'!$A$39:$A$78,0))&amp;"",""))</f>
      </c>
      <c r="H321" s="11"/>
      <c r="I321" s="20"/>
      <c r="J321" s="11"/>
      <c r="K321" s="11"/>
      <c r="L321" s="11"/>
    </row>
    <row r="322" spans="1:12" x14ac:dyDescent="0.3">
      <c r="A322" s="31"/>
      <c r="B322" s="32">
        <f>IF(A322="","",DATE(YEAR(A322),MONTH(A322),1))</f>
      </c>
      <c r="C322" s="11"/>
      <c r="D322" s="11"/>
      <c r="E322" s="16">
        <f>IF(OR(D322="",C322&lt;&gt;"Chi"),"",IFERROR(INDEX('Danh mục'!$B$39:$B$78,MATCH(D322,'Danh mục'!$A$39:$A$78,0))&amp;"","?"))</f>
      </c>
      <c r="F322" s="16">
        <f>IF(D322="","",IF(C322="Thu",IFERROR(INDEX('Danh mục'!$B$26:$B$35,MATCH(D322,'Danh mục'!$A$26:$A$35,0))&amp;"","?"),IFERROR(INDEX('Danh mục'!$D$39:$D$78,MATCH(D322,'Danh mục'!$A$39:$A$78,0))&amp;"","?")))</f>
      </c>
      <c r="G322" s="16">
        <f>IF(OR(D322="",C322&lt;&gt;"Chi"),"",IFERROR(INDEX('Danh mục'!$C$39:$C$78,MATCH(D322,'Danh mục'!$A$39:$A$78,0))&amp;"",""))</f>
      </c>
      <c r="H322" s="11"/>
      <c r="I322" s="20"/>
      <c r="J322" s="11"/>
      <c r="K322" s="11"/>
      <c r="L322" s="11"/>
    </row>
    <row r="323" spans="1:12" x14ac:dyDescent="0.3">
      <c r="A323" s="31"/>
      <c r="B323" s="32">
        <f>IF(A323="","",DATE(YEAR(A323),MONTH(A323),1))</f>
      </c>
      <c r="C323" s="11"/>
      <c r="D323" s="11"/>
      <c r="E323" s="16">
        <f>IF(OR(D323="",C323&lt;&gt;"Chi"),"",IFERROR(INDEX('Danh mục'!$B$39:$B$78,MATCH(D323,'Danh mục'!$A$39:$A$78,0))&amp;"","?"))</f>
      </c>
      <c r="F323" s="16">
        <f>IF(D323="","",IF(C323="Thu",IFERROR(INDEX('Danh mục'!$B$26:$B$35,MATCH(D323,'Danh mục'!$A$26:$A$35,0))&amp;"","?"),IFERROR(INDEX('Danh mục'!$D$39:$D$78,MATCH(D323,'Danh mục'!$A$39:$A$78,0))&amp;"","?")))</f>
      </c>
      <c r="G323" s="16">
        <f>IF(OR(D323="",C323&lt;&gt;"Chi"),"",IFERROR(INDEX('Danh mục'!$C$39:$C$78,MATCH(D323,'Danh mục'!$A$39:$A$78,0))&amp;"",""))</f>
      </c>
      <c r="H323" s="11"/>
      <c r="I323" s="20"/>
      <c r="J323" s="11"/>
      <c r="K323" s="11"/>
      <c r="L323" s="11"/>
    </row>
    <row r="324" spans="1:12" x14ac:dyDescent="0.3">
      <c r="A324" s="31"/>
      <c r="B324" s="32">
        <f>IF(A324="","",DATE(YEAR(A324),MONTH(A324),1))</f>
      </c>
      <c r="C324" s="11"/>
      <c r="D324" s="11"/>
      <c r="E324" s="16">
        <f>IF(OR(D324="",C324&lt;&gt;"Chi"),"",IFERROR(INDEX('Danh mục'!$B$39:$B$78,MATCH(D324,'Danh mục'!$A$39:$A$78,0))&amp;"","?"))</f>
      </c>
      <c r="F324" s="16">
        <f>IF(D324="","",IF(C324="Thu",IFERROR(INDEX('Danh mục'!$B$26:$B$35,MATCH(D324,'Danh mục'!$A$26:$A$35,0))&amp;"","?"),IFERROR(INDEX('Danh mục'!$D$39:$D$78,MATCH(D324,'Danh mục'!$A$39:$A$78,0))&amp;"","?")))</f>
      </c>
      <c r="G324" s="16">
        <f>IF(OR(D324="",C324&lt;&gt;"Chi"),"",IFERROR(INDEX('Danh mục'!$C$39:$C$78,MATCH(D324,'Danh mục'!$A$39:$A$78,0))&amp;"",""))</f>
      </c>
      <c r="H324" s="11"/>
      <c r="I324" s="20"/>
      <c r="J324" s="11"/>
      <c r="K324" s="11"/>
      <c r="L324" s="11"/>
    </row>
    <row r="325" spans="1:12" x14ac:dyDescent="0.3">
      <c r="A325" s="31"/>
      <c r="B325" s="32">
        <f>IF(A325="","",DATE(YEAR(A325),MONTH(A325),1))</f>
      </c>
      <c r="C325" s="11"/>
      <c r="D325" s="11"/>
      <c r="E325" s="16">
        <f>IF(OR(D325="",C325&lt;&gt;"Chi"),"",IFERROR(INDEX('Danh mục'!$B$39:$B$78,MATCH(D325,'Danh mục'!$A$39:$A$78,0))&amp;"","?"))</f>
      </c>
      <c r="F325" s="16">
        <f>IF(D325="","",IF(C325="Thu",IFERROR(INDEX('Danh mục'!$B$26:$B$35,MATCH(D325,'Danh mục'!$A$26:$A$35,0))&amp;"","?"),IFERROR(INDEX('Danh mục'!$D$39:$D$78,MATCH(D325,'Danh mục'!$A$39:$A$78,0))&amp;"","?")))</f>
      </c>
      <c r="G325" s="16">
        <f>IF(OR(D325="",C325&lt;&gt;"Chi"),"",IFERROR(INDEX('Danh mục'!$C$39:$C$78,MATCH(D325,'Danh mục'!$A$39:$A$78,0))&amp;"",""))</f>
      </c>
      <c r="H325" s="11"/>
      <c r="I325" s="20"/>
      <c r="J325" s="11"/>
      <c r="K325" s="11"/>
      <c r="L325" s="11"/>
    </row>
    <row r="326" spans="1:12" x14ac:dyDescent="0.3">
      <c r="A326" s="31"/>
      <c r="B326" s="32">
        <f>IF(A326="","",DATE(YEAR(A326),MONTH(A326),1))</f>
      </c>
      <c r="C326" s="11"/>
      <c r="D326" s="11"/>
      <c r="E326" s="16">
        <f>IF(OR(D326="",C326&lt;&gt;"Chi"),"",IFERROR(INDEX('Danh mục'!$B$39:$B$78,MATCH(D326,'Danh mục'!$A$39:$A$78,0))&amp;"","?"))</f>
      </c>
      <c r="F326" s="16">
        <f>IF(D326="","",IF(C326="Thu",IFERROR(INDEX('Danh mục'!$B$26:$B$35,MATCH(D326,'Danh mục'!$A$26:$A$35,0))&amp;"","?"),IFERROR(INDEX('Danh mục'!$D$39:$D$78,MATCH(D326,'Danh mục'!$A$39:$A$78,0))&amp;"","?")))</f>
      </c>
      <c r="G326" s="16">
        <f>IF(OR(D326="",C326&lt;&gt;"Chi"),"",IFERROR(INDEX('Danh mục'!$C$39:$C$78,MATCH(D326,'Danh mục'!$A$39:$A$78,0))&amp;"",""))</f>
      </c>
      <c r="H326" s="11"/>
      <c r="I326" s="20"/>
      <c r="J326" s="11"/>
      <c r="K326" s="11"/>
      <c r="L326" s="11"/>
    </row>
    <row r="327" spans="1:12" x14ac:dyDescent="0.3">
      <c r="A327" s="31"/>
      <c r="B327" s="32">
        <f>IF(A327="","",DATE(YEAR(A327),MONTH(A327),1))</f>
      </c>
      <c r="C327" s="11"/>
      <c r="D327" s="11"/>
      <c r="E327" s="16">
        <f>IF(OR(D327="",C327&lt;&gt;"Chi"),"",IFERROR(INDEX('Danh mục'!$B$39:$B$78,MATCH(D327,'Danh mục'!$A$39:$A$78,0))&amp;"","?"))</f>
      </c>
      <c r="F327" s="16">
        <f>IF(D327="","",IF(C327="Thu",IFERROR(INDEX('Danh mục'!$B$26:$B$35,MATCH(D327,'Danh mục'!$A$26:$A$35,0))&amp;"","?"),IFERROR(INDEX('Danh mục'!$D$39:$D$78,MATCH(D327,'Danh mục'!$A$39:$A$78,0))&amp;"","?")))</f>
      </c>
      <c r="G327" s="16">
        <f>IF(OR(D327="",C327&lt;&gt;"Chi"),"",IFERROR(INDEX('Danh mục'!$C$39:$C$78,MATCH(D327,'Danh mục'!$A$39:$A$78,0))&amp;"",""))</f>
      </c>
      <c r="H327" s="11"/>
      <c r="I327" s="20"/>
      <c r="J327" s="11"/>
      <c r="K327" s="11"/>
      <c r="L327" s="11"/>
    </row>
    <row r="328" spans="1:12" x14ac:dyDescent="0.3">
      <c r="A328" s="31"/>
      <c r="B328" s="32">
        <f>IF(A328="","",DATE(YEAR(A328),MONTH(A328),1))</f>
      </c>
      <c r="C328" s="11"/>
      <c r="D328" s="11"/>
      <c r="E328" s="16">
        <f>IF(OR(D328="",C328&lt;&gt;"Chi"),"",IFERROR(INDEX('Danh mục'!$B$39:$B$78,MATCH(D328,'Danh mục'!$A$39:$A$78,0))&amp;"","?"))</f>
      </c>
      <c r="F328" s="16">
        <f>IF(D328="","",IF(C328="Thu",IFERROR(INDEX('Danh mục'!$B$26:$B$35,MATCH(D328,'Danh mục'!$A$26:$A$35,0))&amp;"","?"),IFERROR(INDEX('Danh mục'!$D$39:$D$78,MATCH(D328,'Danh mục'!$A$39:$A$78,0))&amp;"","?")))</f>
      </c>
      <c r="G328" s="16">
        <f>IF(OR(D328="",C328&lt;&gt;"Chi"),"",IFERROR(INDEX('Danh mục'!$C$39:$C$78,MATCH(D328,'Danh mục'!$A$39:$A$78,0))&amp;"",""))</f>
      </c>
      <c r="H328" s="11"/>
      <c r="I328" s="20"/>
      <c r="J328" s="11"/>
      <c r="K328" s="11"/>
      <c r="L328" s="11"/>
    </row>
    <row r="329" spans="1:12" x14ac:dyDescent="0.3">
      <c r="A329" s="31"/>
      <c r="B329" s="32">
        <f>IF(A329="","",DATE(YEAR(A329),MONTH(A329),1))</f>
      </c>
      <c r="C329" s="11"/>
      <c r="D329" s="11"/>
      <c r="E329" s="16">
        <f>IF(OR(D329="",C329&lt;&gt;"Chi"),"",IFERROR(INDEX('Danh mục'!$B$39:$B$78,MATCH(D329,'Danh mục'!$A$39:$A$78,0))&amp;"","?"))</f>
      </c>
      <c r="F329" s="16">
        <f>IF(D329="","",IF(C329="Thu",IFERROR(INDEX('Danh mục'!$B$26:$B$35,MATCH(D329,'Danh mục'!$A$26:$A$35,0))&amp;"","?"),IFERROR(INDEX('Danh mục'!$D$39:$D$78,MATCH(D329,'Danh mục'!$A$39:$A$78,0))&amp;"","?")))</f>
      </c>
      <c r="G329" s="16">
        <f>IF(OR(D329="",C329&lt;&gt;"Chi"),"",IFERROR(INDEX('Danh mục'!$C$39:$C$78,MATCH(D329,'Danh mục'!$A$39:$A$78,0))&amp;"",""))</f>
      </c>
      <c r="H329" s="11"/>
      <c r="I329" s="20"/>
      <c r="J329" s="11"/>
      <c r="K329" s="11"/>
      <c r="L329" s="11"/>
    </row>
    <row r="330" spans="1:12" x14ac:dyDescent="0.3">
      <c r="A330" s="31"/>
      <c r="B330" s="32">
        <f>IF(A330="","",DATE(YEAR(A330),MONTH(A330),1))</f>
      </c>
      <c r="C330" s="11"/>
      <c r="D330" s="11"/>
      <c r="E330" s="16">
        <f>IF(OR(D330="",C330&lt;&gt;"Chi"),"",IFERROR(INDEX('Danh mục'!$B$39:$B$78,MATCH(D330,'Danh mục'!$A$39:$A$78,0))&amp;"","?"))</f>
      </c>
      <c r="F330" s="16">
        <f>IF(D330="","",IF(C330="Thu",IFERROR(INDEX('Danh mục'!$B$26:$B$35,MATCH(D330,'Danh mục'!$A$26:$A$35,0))&amp;"","?"),IFERROR(INDEX('Danh mục'!$D$39:$D$78,MATCH(D330,'Danh mục'!$A$39:$A$78,0))&amp;"","?")))</f>
      </c>
      <c r="G330" s="16">
        <f>IF(OR(D330="",C330&lt;&gt;"Chi"),"",IFERROR(INDEX('Danh mục'!$C$39:$C$78,MATCH(D330,'Danh mục'!$A$39:$A$78,0))&amp;"",""))</f>
      </c>
      <c r="H330" s="11"/>
      <c r="I330" s="20"/>
      <c r="J330" s="11"/>
      <c r="K330" s="11"/>
      <c r="L330" s="11"/>
    </row>
    <row r="331" spans="1:12" x14ac:dyDescent="0.3">
      <c r="A331" s="31"/>
      <c r="B331" s="32">
        <f>IF(A331="","",DATE(YEAR(A331),MONTH(A331),1))</f>
      </c>
      <c r="C331" s="11"/>
      <c r="D331" s="11"/>
      <c r="E331" s="16">
        <f>IF(OR(D331="",C331&lt;&gt;"Chi"),"",IFERROR(INDEX('Danh mục'!$B$39:$B$78,MATCH(D331,'Danh mục'!$A$39:$A$78,0))&amp;"","?"))</f>
      </c>
      <c r="F331" s="16">
        <f>IF(D331="","",IF(C331="Thu",IFERROR(INDEX('Danh mục'!$B$26:$B$35,MATCH(D331,'Danh mục'!$A$26:$A$35,0))&amp;"","?"),IFERROR(INDEX('Danh mục'!$D$39:$D$78,MATCH(D331,'Danh mục'!$A$39:$A$78,0))&amp;"","?")))</f>
      </c>
      <c r="G331" s="16">
        <f>IF(OR(D331="",C331&lt;&gt;"Chi"),"",IFERROR(INDEX('Danh mục'!$C$39:$C$78,MATCH(D331,'Danh mục'!$A$39:$A$78,0))&amp;"",""))</f>
      </c>
      <c r="H331" s="11"/>
      <c r="I331" s="20"/>
      <c r="J331" s="11"/>
      <c r="K331" s="11"/>
      <c r="L331" s="11"/>
    </row>
    <row r="332" spans="1:12" x14ac:dyDescent="0.3">
      <c r="A332" s="31"/>
      <c r="B332" s="32">
        <f>IF(A332="","",DATE(YEAR(A332),MONTH(A332),1))</f>
      </c>
      <c r="C332" s="11"/>
      <c r="D332" s="11"/>
      <c r="E332" s="16">
        <f>IF(OR(D332="",C332&lt;&gt;"Chi"),"",IFERROR(INDEX('Danh mục'!$B$39:$B$78,MATCH(D332,'Danh mục'!$A$39:$A$78,0))&amp;"","?"))</f>
      </c>
      <c r="F332" s="16">
        <f>IF(D332="","",IF(C332="Thu",IFERROR(INDEX('Danh mục'!$B$26:$B$35,MATCH(D332,'Danh mục'!$A$26:$A$35,0))&amp;"","?"),IFERROR(INDEX('Danh mục'!$D$39:$D$78,MATCH(D332,'Danh mục'!$A$39:$A$78,0))&amp;"","?")))</f>
      </c>
      <c r="G332" s="16">
        <f>IF(OR(D332="",C332&lt;&gt;"Chi"),"",IFERROR(INDEX('Danh mục'!$C$39:$C$78,MATCH(D332,'Danh mục'!$A$39:$A$78,0))&amp;"",""))</f>
      </c>
      <c r="H332" s="11"/>
      <c r="I332" s="20"/>
      <c r="J332" s="11"/>
      <c r="K332" s="11"/>
      <c r="L332" s="11"/>
    </row>
    <row r="333" spans="1:12" x14ac:dyDescent="0.3">
      <c r="A333" s="31"/>
      <c r="B333" s="32">
        <f>IF(A333="","",DATE(YEAR(A333),MONTH(A333),1))</f>
      </c>
      <c r="C333" s="11"/>
      <c r="D333" s="11"/>
      <c r="E333" s="16">
        <f>IF(OR(D333="",C333&lt;&gt;"Chi"),"",IFERROR(INDEX('Danh mục'!$B$39:$B$78,MATCH(D333,'Danh mục'!$A$39:$A$78,0))&amp;"","?"))</f>
      </c>
      <c r="F333" s="16">
        <f>IF(D333="","",IF(C333="Thu",IFERROR(INDEX('Danh mục'!$B$26:$B$35,MATCH(D333,'Danh mục'!$A$26:$A$35,0))&amp;"","?"),IFERROR(INDEX('Danh mục'!$D$39:$D$78,MATCH(D333,'Danh mục'!$A$39:$A$78,0))&amp;"","?")))</f>
      </c>
      <c r="G333" s="16">
        <f>IF(OR(D333="",C333&lt;&gt;"Chi"),"",IFERROR(INDEX('Danh mục'!$C$39:$C$78,MATCH(D333,'Danh mục'!$A$39:$A$78,0))&amp;"",""))</f>
      </c>
      <c r="H333" s="11"/>
      <c r="I333" s="20"/>
      <c r="J333" s="11"/>
      <c r="K333" s="11"/>
      <c r="L333" s="11"/>
    </row>
    <row r="334" spans="1:12" x14ac:dyDescent="0.3">
      <c r="A334" s="31"/>
      <c r="B334" s="32">
        <f>IF(A334="","",DATE(YEAR(A334),MONTH(A334),1))</f>
      </c>
      <c r="C334" s="11"/>
      <c r="D334" s="11"/>
      <c r="E334" s="16">
        <f>IF(OR(D334="",C334&lt;&gt;"Chi"),"",IFERROR(INDEX('Danh mục'!$B$39:$B$78,MATCH(D334,'Danh mục'!$A$39:$A$78,0))&amp;"","?"))</f>
      </c>
      <c r="F334" s="16">
        <f>IF(D334="","",IF(C334="Thu",IFERROR(INDEX('Danh mục'!$B$26:$B$35,MATCH(D334,'Danh mục'!$A$26:$A$35,0))&amp;"","?"),IFERROR(INDEX('Danh mục'!$D$39:$D$78,MATCH(D334,'Danh mục'!$A$39:$A$78,0))&amp;"","?")))</f>
      </c>
      <c r="G334" s="16">
        <f>IF(OR(D334="",C334&lt;&gt;"Chi"),"",IFERROR(INDEX('Danh mục'!$C$39:$C$78,MATCH(D334,'Danh mục'!$A$39:$A$78,0))&amp;"",""))</f>
      </c>
      <c r="H334" s="11"/>
      <c r="I334" s="20"/>
      <c r="J334" s="11"/>
      <c r="K334" s="11"/>
      <c r="L334" s="11"/>
    </row>
    <row r="335" spans="1:12" x14ac:dyDescent="0.3">
      <c r="A335" s="31"/>
      <c r="B335" s="32">
        <f>IF(A335="","",DATE(YEAR(A335),MONTH(A335),1))</f>
      </c>
      <c r="C335" s="11"/>
      <c r="D335" s="11"/>
      <c r="E335" s="16">
        <f>IF(OR(D335="",C335&lt;&gt;"Chi"),"",IFERROR(INDEX('Danh mục'!$B$39:$B$78,MATCH(D335,'Danh mục'!$A$39:$A$78,0))&amp;"","?"))</f>
      </c>
      <c r="F335" s="16">
        <f>IF(D335="","",IF(C335="Thu",IFERROR(INDEX('Danh mục'!$B$26:$B$35,MATCH(D335,'Danh mục'!$A$26:$A$35,0))&amp;"","?"),IFERROR(INDEX('Danh mục'!$D$39:$D$78,MATCH(D335,'Danh mục'!$A$39:$A$78,0))&amp;"","?")))</f>
      </c>
      <c r="G335" s="16">
        <f>IF(OR(D335="",C335&lt;&gt;"Chi"),"",IFERROR(INDEX('Danh mục'!$C$39:$C$78,MATCH(D335,'Danh mục'!$A$39:$A$78,0))&amp;"",""))</f>
      </c>
      <c r="H335" s="11"/>
      <c r="I335" s="20"/>
      <c r="J335" s="11"/>
      <c r="K335" s="11"/>
      <c r="L335" s="11"/>
    </row>
    <row r="336" spans="1:12" x14ac:dyDescent="0.3">
      <c r="A336" s="31"/>
      <c r="B336" s="32">
        <f>IF(A336="","",DATE(YEAR(A336),MONTH(A336),1))</f>
      </c>
      <c r="C336" s="11"/>
      <c r="D336" s="11"/>
      <c r="E336" s="16">
        <f>IF(OR(D336="",C336&lt;&gt;"Chi"),"",IFERROR(INDEX('Danh mục'!$B$39:$B$78,MATCH(D336,'Danh mục'!$A$39:$A$78,0))&amp;"","?"))</f>
      </c>
      <c r="F336" s="16">
        <f>IF(D336="","",IF(C336="Thu",IFERROR(INDEX('Danh mục'!$B$26:$B$35,MATCH(D336,'Danh mục'!$A$26:$A$35,0))&amp;"","?"),IFERROR(INDEX('Danh mục'!$D$39:$D$78,MATCH(D336,'Danh mục'!$A$39:$A$78,0))&amp;"","?")))</f>
      </c>
      <c r="G336" s="16">
        <f>IF(OR(D336="",C336&lt;&gt;"Chi"),"",IFERROR(INDEX('Danh mục'!$C$39:$C$78,MATCH(D336,'Danh mục'!$A$39:$A$78,0))&amp;"",""))</f>
      </c>
      <c r="H336" s="11"/>
      <c r="I336" s="20"/>
      <c r="J336" s="11"/>
      <c r="K336" s="11"/>
      <c r="L336" s="11"/>
    </row>
    <row r="337" spans="1:12" x14ac:dyDescent="0.3">
      <c r="A337" s="31"/>
      <c r="B337" s="32">
        <f>IF(A337="","",DATE(YEAR(A337),MONTH(A337),1))</f>
      </c>
      <c r="C337" s="11"/>
      <c r="D337" s="11"/>
      <c r="E337" s="16">
        <f>IF(OR(D337="",C337&lt;&gt;"Chi"),"",IFERROR(INDEX('Danh mục'!$B$39:$B$78,MATCH(D337,'Danh mục'!$A$39:$A$78,0))&amp;"","?"))</f>
      </c>
      <c r="F337" s="16">
        <f>IF(D337="","",IF(C337="Thu",IFERROR(INDEX('Danh mục'!$B$26:$B$35,MATCH(D337,'Danh mục'!$A$26:$A$35,0))&amp;"","?"),IFERROR(INDEX('Danh mục'!$D$39:$D$78,MATCH(D337,'Danh mục'!$A$39:$A$78,0))&amp;"","?")))</f>
      </c>
      <c r="G337" s="16">
        <f>IF(OR(D337="",C337&lt;&gt;"Chi"),"",IFERROR(INDEX('Danh mục'!$C$39:$C$78,MATCH(D337,'Danh mục'!$A$39:$A$78,0))&amp;"",""))</f>
      </c>
      <c r="H337" s="11"/>
      <c r="I337" s="20"/>
      <c r="J337" s="11"/>
      <c r="K337" s="11"/>
      <c r="L337" s="11"/>
    </row>
    <row r="338" spans="1:12" x14ac:dyDescent="0.3">
      <c r="A338" s="31"/>
      <c r="B338" s="32">
        <f>IF(A338="","",DATE(YEAR(A338),MONTH(A338),1))</f>
      </c>
      <c r="C338" s="11"/>
      <c r="D338" s="11"/>
      <c r="E338" s="16">
        <f>IF(OR(D338="",C338&lt;&gt;"Chi"),"",IFERROR(INDEX('Danh mục'!$B$39:$B$78,MATCH(D338,'Danh mục'!$A$39:$A$78,0))&amp;"","?"))</f>
      </c>
      <c r="F338" s="16">
        <f>IF(D338="","",IF(C338="Thu",IFERROR(INDEX('Danh mục'!$B$26:$B$35,MATCH(D338,'Danh mục'!$A$26:$A$35,0))&amp;"","?"),IFERROR(INDEX('Danh mục'!$D$39:$D$78,MATCH(D338,'Danh mục'!$A$39:$A$78,0))&amp;"","?")))</f>
      </c>
      <c r="G338" s="16">
        <f>IF(OR(D338="",C338&lt;&gt;"Chi"),"",IFERROR(INDEX('Danh mục'!$C$39:$C$78,MATCH(D338,'Danh mục'!$A$39:$A$78,0))&amp;"",""))</f>
      </c>
      <c r="H338" s="11"/>
      <c r="I338" s="20"/>
      <c r="J338" s="11"/>
      <c r="K338" s="11"/>
      <c r="L338" s="11"/>
    </row>
    <row r="339" spans="1:12" x14ac:dyDescent="0.3">
      <c r="A339" s="31"/>
      <c r="B339" s="32">
        <f>IF(A339="","",DATE(YEAR(A339),MONTH(A339),1))</f>
      </c>
      <c r="C339" s="11"/>
      <c r="D339" s="11"/>
      <c r="E339" s="16">
        <f>IF(OR(D339="",C339&lt;&gt;"Chi"),"",IFERROR(INDEX('Danh mục'!$B$39:$B$78,MATCH(D339,'Danh mục'!$A$39:$A$78,0))&amp;"","?"))</f>
      </c>
      <c r="F339" s="16">
        <f>IF(D339="","",IF(C339="Thu",IFERROR(INDEX('Danh mục'!$B$26:$B$35,MATCH(D339,'Danh mục'!$A$26:$A$35,0))&amp;"","?"),IFERROR(INDEX('Danh mục'!$D$39:$D$78,MATCH(D339,'Danh mục'!$A$39:$A$78,0))&amp;"","?")))</f>
      </c>
      <c r="G339" s="16">
        <f>IF(OR(D339="",C339&lt;&gt;"Chi"),"",IFERROR(INDEX('Danh mục'!$C$39:$C$78,MATCH(D339,'Danh mục'!$A$39:$A$78,0))&amp;"",""))</f>
      </c>
      <c r="H339" s="11"/>
      <c r="I339" s="20"/>
      <c r="J339" s="11"/>
      <c r="K339" s="11"/>
      <c r="L339" s="11"/>
    </row>
    <row r="340" spans="1:12" x14ac:dyDescent="0.3">
      <c r="A340" s="31"/>
      <c r="B340" s="32">
        <f>IF(A340="","",DATE(YEAR(A340),MONTH(A340),1))</f>
      </c>
      <c r="C340" s="11"/>
      <c r="D340" s="11"/>
      <c r="E340" s="16">
        <f>IF(OR(D340="",C340&lt;&gt;"Chi"),"",IFERROR(INDEX('Danh mục'!$B$39:$B$78,MATCH(D340,'Danh mục'!$A$39:$A$78,0))&amp;"","?"))</f>
      </c>
      <c r="F340" s="16">
        <f>IF(D340="","",IF(C340="Thu",IFERROR(INDEX('Danh mục'!$B$26:$B$35,MATCH(D340,'Danh mục'!$A$26:$A$35,0))&amp;"","?"),IFERROR(INDEX('Danh mục'!$D$39:$D$78,MATCH(D340,'Danh mục'!$A$39:$A$78,0))&amp;"","?")))</f>
      </c>
      <c r="G340" s="16">
        <f>IF(OR(D340="",C340&lt;&gt;"Chi"),"",IFERROR(INDEX('Danh mục'!$C$39:$C$78,MATCH(D340,'Danh mục'!$A$39:$A$78,0))&amp;"",""))</f>
      </c>
      <c r="H340" s="11"/>
      <c r="I340" s="20"/>
      <c r="J340" s="11"/>
      <c r="K340" s="11"/>
      <c r="L340" s="11"/>
    </row>
    <row r="341" spans="1:12" x14ac:dyDescent="0.3">
      <c r="A341" s="31"/>
      <c r="B341" s="32">
        <f>IF(A341="","",DATE(YEAR(A341),MONTH(A341),1))</f>
      </c>
      <c r="C341" s="11"/>
      <c r="D341" s="11"/>
      <c r="E341" s="16">
        <f>IF(OR(D341="",C341&lt;&gt;"Chi"),"",IFERROR(INDEX('Danh mục'!$B$39:$B$78,MATCH(D341,'Danh mục'!$A$39:$A$78,0))&amp;"","?"))</f>
      </c>
      <c r="F341" s="16">
        <f>IF(D341="","",IF(C341="Thu",IFERROR(INDEX('Danh mục'!$B$26:$B$35,MATCH(D341,'Danh mục'!$A$26:$A$35,0))&amp;"","?"),IFERROR(INDEX('Danh mục'!$D$39:$D$78,MATCH(D341,'Danh mục'!$A$39:$A$78,0))&amp;"","?")))</f>
      </c>
      <c r="G341" s="16">
        <f>IF(OR(D341="",C341&lt;&gt;"Chi"),"",IFERROR(INDEX('Danh mục'!$C$39:$C$78,MATCH(D341,'Danh mục'!$A$39:$A$78,0))&amp;"",""))</f>
      </c>
      <c r="H341" s="11"/>
      <c r="I341" s="20"/>
      <c r="J341" s="11"/>
      <c r="K341" s="11"/>
      <c r="L341" s="11"/>
    </row>
    <row r="342" spans="1:12" x14ac:dyDescent="0.3">
      <c r="A342" s="31"/>
      <c r="B342" s="32">
        <f>IF(A342="","",DATE(YEAR(A342),MONTH(A342),1))</f>
      </c>
      <c r="C342" s="11"/>
      <c r="D342" s="11"/>
      <c r="E342" s="16">
        <f>IF(OR(D342="",C342&lt;&gt;"Chi"),"",IFERROR(INDEX('Danh mục'!$B$39:$B$78,MATCH(D342,'Danh mục'!$A$39:$A$78,0))&amp;"","?"))</f>
      </c>
      <c r="F342" s="16">
        <f>IF(D342="","",IF(C342="Thu",IFERROR(INDEX('Danh mục'!$B$26:$B$35,MATCH(D342,'Danh mục'!$A$26:$A$35,0))&amp;"","?"),IFERROR(INDEX('Danh mục'!$D$39:$D$78,MATCH(D342,'Danh mục'!$A$39:$A$78,0))&amp;"","?")))</f>
      </c>
      <c r="G342" s="16">
        <f>IF(OR(D342="",C342&lt;&gt;"Chi"),"",IFERROR(INDEX('Danh mục'!$C$39:$C$78,MATCH(D342,'Danh mục'!$A$39:$A$78,0))&amp;"",""))</f>
      </c>
      <c r="H342" s="11"/>
      <c r="I342" s="20"/>
      <c r="J342" s="11"/>
      <c r="K342" s="11"/>
      <c r="L342" s="11"/>
    </row>
    <row r="343" spans="1:12" x14ac:dyDescent="0.3">
      <c r="A343" s="31"/>
      <c r="B343" s="32">
        <f>IF(A343="","",DATE(YEAR(A343),MONTH(A343),1))</f>
      </c>
      <c r="C343" s="11"/>
      <c r="D343" s="11"/>
      <c r="E343" s="16">
        <f>IF(OR(D343="",C343&lt;&gt;"Chi"),"",IFERROR(INDEX('Danh mục'!$B$39:$B$78,MATCH(D343,'Danh mục'!$A$39:$A$78,0))&amp;"","?"))</f>
      </c>
      <c r="F343" s="16">
        <f>IF(D343="","",IF(C343="Thu",IFERROR(INDEX('Danh mục'!$B$26:$B$35,MATCH(D343,'Danh mục'!$A$26:$A$35,0))&amp;"","?"),IFERROR(INDEX('Danh mục'!$D$39:$D$78,MATCH(D343,'Danh mục'!$A$39:$A$78,0))&amp;"","?")))</f>
      </c>
      <c r="G343" s="16">
        <f>IF(OR(D343="",C343&lt;&gt;"Chi"),"",IFERROR(INDEX('Danh mục'!$C$39:$C$78,MATCH(D343,'Danh mục'!$A$39:$A$78,0))&amp;"",""))</f>
      </c>
      <c r="H343" s="11"/>
      <c r="I343" s="20"/>
      <c r="J343" s="11"/>
      <c r="K343" s="11"/>
      <c r="L343" s="11"/>
    </row>
    <row r="344" spans="1:12" x14ac:dyDescent="0.3">
      <c r="A344" s="31"/>
      <c r="B344" s="32">
        <f>IF(A344="","",DATE(YEAR(A344),MONTH(A344),1))</f>
      </c>
      <c r="C344" s="11"/>
      <c r="D344" s="11"/>
      <c r="E344" s="16">
        <f>IF(OR(D344="",C344&lt;&gt;"Chi"),"",IFERROR(INDEX('Danh mục'!$B$39:$B$78,MATCH(D344,'Danh mục'!$A$39:$A$78,0))&amp;"","?"))</f>
      </c>
      <c r="F344" s="16">
        <f>IF(D344="","",IF(C344="Thu",IFERROR(INDEX('Danh mục'!$B$26:$B$35,MATCH(D344,'Danh mục'!$A$26:$A$35,0))&amp;"","?"),IFERROR(INDEX('Danh mục'!$D$39:$D$78,MATCH(D344,'Danh mục'!$A$39:$A$78,0))&amp;"","?")))</f>
      </c>
      <c r="G344" s="16">
        <f>IF(OR(D344="",C344&lt;&gt;"Chi"),"",IFERROR(INDEX('Danh mục'!$C$39:$C$78,MATCH(D344,'Danh mục'!$A$39:$A$78,0))&amp;"",""))</f>
      </c>
      <c r="H344" s="11"/>
      <c r="I344" s="20"/>
      <c r="J344" s="11"/>
      <c r="K344" s="11"/>
      <c r="L344" s="11"/>
    </row>
    <row r="345" spans="1:12" x14ac:dyDescent="0.3">
      <c r="A345" s="31"/>
      <c r="B345" s="32">
        <f>IF(A345="","",DATE(YEAR(A345),MONTH(A345),1))</f>
      </c>
      <c r="C345" s="11"/>
      <c r="D345" s="11"/>
      <c r="E345" s="16">
        <f>IF(OR(D345="",C345&lt;&gt;"Chi"),"",IFERROR(INDEX('Danh mục'!$B$39:$B$78,MATCH(D345,'Danh mục'!$A$39:$A$78,0))&amp;"","?"))</f>
      </c>
      <c r="F345" s="16">
        <f>IF(D345="","",IF(C345="Thu",IFERROR(INDEX('Danh mục'!$B$26:$B$35,MATCH(D345,'Danh mục'!$A$26:$A$35,0))&amp;"","?"),IFERROR(INDEX('Danh mục'!$D$39:$D$78,MATCH(D345,'Danh mục'!$A$39:$A$78,0))&amp;"","?")))</f>
      </c>
      <c r="G345" s="16">
        <f>IF(OR(D345="",C345&lt;&gt;"Chi"),"",IFERROR(INDEX('Danh mục'!$C$39:$C$78,MATCH(D345,'Danh mục'!$A$39:$A$78,0))&amp;"",""))</f>
      </c>
      <c r="H345" s="11"/>
      <c r="I345" s="20"/>
      <c r="J345" s="11"/>
      <c r="K345" s="11"/>
      <c r="L345" s="11"/>
    </row>
    <row r="346" spans="1:12" x14ac:dyDescent="0.3">
      <c r="A346" s="31"/>
      <c r="B346" s="32">
        <f>IF(A346="","",DATE(YEAR(A346),MONTH(A346),1))</f>
      </c>
      <c r="C346" s="11"/>
      <c r="D346" s="11"/>
      <c r="E346" s="16">
        <f>IF(OR(D346="",C346&lt;&gt;"Chi"),"",IFERROR(INDEX('Danh mục'!$B$39:$B$78,MATCH(D346,'Danh mục'!$A$39:$A$78,0))&amp;"","?"))</f>
      </c>
      <c r="F346" s="16">
        <f>IF(D346="","",IF(C346="Thu",IFERROR(INDEX('Danh mục'!$B$26:$B$35,MATCH(D346,'Danh mục'!$A$26:$A$35,0))&amp;"","?"),IFERROR(INDEX('Danh mục'!$D$39:$D$78,MATCH(D346,'Danh mục'!$A$39:$A$78,0))&amp;"","?")))</f>
      </c>
      <c r="G346" s="16">
        <f>IF(OR(D346="",C346&lt;&gt;"Chi"),"",IFERROR(INDEX('Danh mục'!$C$39:$C$78,MATCH(D346,'Danh mục'!$A$39:$A$78,0))&amp;"",""))</f>
      </c>
      <c r="H346" s="11"/>
      <c r="I346" s="20"/>
      <c r="J346" s="11"/>
      <c r="K346" s="11"/>
      <c r="L346" s="11"/>
    </row>
    <row r="347" spans="1:12" x14ac:dyDescent="0.3">
      <c r="A347" s="31"/>
      <c r="B347" s="32">
        <f>IF(A347="","",DATE(YEAR(A347),MONTH(A347),1))</f>
      </c>
      <c r="C347" s="11"/>
      <c r="D347" s="11"/>
      <c r="E347" s="16">
        <f>IF(OR(D347="",C347&lt;&gt;"Chi"),"",IFERROR(INDEX('Danh mục'!$B$39:$B$78,MATCH(D347,'Danh mục'!$A$39:$A$78,0))&amp;"","?"))</f>
      </c>
      <c r="F347" s="16">
        <f>IF(D347="","",IF(C347="Thu",IFERROR(INDEX('Danh mục'!$B$26:$B$35,MATCH(D347,'Danh mục'!$A$26:$A$35,0))&amp;"","?"),IFERROR(INDEX('Danh mục'!$D$39:$D$78,MATCH(D347,'Danh mục'!$A$39:$A$78,0))&amp;"","?")))</f>
      </c>
      <c r="G347" s="16">
        <f>IF(OR(D347="",C347&lt;&gt;"Chi"),"",IFERROR(INDEX('Danh mục'!$C$39:$C$78,MATCH(D347,'Danh mục'!$A$39:$A$78,0))&amp;"",""))</f>
      </c>
      <c r="H347" s="11"/>
      <c r="I347" s="20"/>
      <c r="J347" s="11"/>
      <c r="K347" s="11"/>
      <c r="L347" s="11"/>
    </row>
    <row r="348" spans="1:12" x14ac:dyDescent="0.3">
      <c r="A348" s="31"/>
      <c r="B348" s="32">
        <f>IF(A348="","",DATE(YEAR(A348),MONTH(A348),1))</f>
      </c>
      <c r="C348" s="11"/>
      <c r="D348" s="11"/>
      <c r="E348" s="16">
        <f>IF(OR(D348="",C348&lt;&gt;"Chi"),"",IFERROR(INDEX('Danh mục'!$B$39:$B$78,MATCH(D348,'Danh mục'!$A$39:$A$78,0))&amp;"","?"))</f>
      </c>
      <c r="F348" s="16">
        <f>IF(D348="","",IF(C348="Thu",IFERROR(INDEX('Danh mục'!$B$26:$B$35,MATCH(D348,'Danh mục'!$A$26:$A$35,0))&amp;"","?"),IFERROR(INDEX('Danh mục'!$D$39:$D$78,MATCH(D348,'Danh mục'!$A$39:$A$78,0))&amp;"","?")))</f>
      </c>
      <c r="G348" s="16">
        <f>IF(OR(D348="",C348&lt;&gt;"Chi"),"",IFERROR(INDEX('Danh mục'!$C$39:$C$78,MATCH(D348,'Danh mục'!$A$39:$A$78,0))&amp;"",""))</f>
      </c>
      <c r="H348" s="11"/>
      <c r="I348" s="20"/>
      <c r="J348" s="11"/>
      <c r="K348" s="11"/>
      <c r="L348" s="11"/>
    </row>
    <row r="349" spans="1:12" x14ac:dyDescent="0.3">
      <c r="A349" s="31"/>
      <c r="B349" s="32">
        <f>IF(A349="","",DATE(YEAR(A349),MONTH(A349),1))</f>
      </c>
      <c r="C349" s="11"/>
      <c r="D349" s="11"/>
      <c r="E349" s="16">
        <f>IF(OR(D349="",C349&lt;&gt;"Chi"),"",IFERROR(INDEX('Danh mục'!$B$39:$B$78,MATCH(D349,'Danh mục'!$A$39:$A$78,0))&amp;"","?"))</f>
      </c>
      <c r="F349" s="16">
        <f>IF(D349="","",IF(C349="Thu",IFERROR(INDEX('Danh mục'!$B$26:$B$35,MATCH(D349,'Danh mục'!$A$26:$A$35,0))&amp;"","?"),IFERROR(INDEX('Danh mục'!$D$39:$D$78,MATCH(D349,'Danh mục'!$A$39:$A$78,0))&amp;"","?")))</f>
      </c>
      <c r="G349" s="16">
        <f>IF(OR(D349="",C349&lt;&gt;"Chi"),"",IFERROR(INDEX('Danh mục'!$C$39:$C$78,MATCH(D349,'Danh mục'!$A$39:$A$78,0))&amp;"",""))</f>
      </c>
      <c r="H349" s="11"/>
      <c r="I349" s="20"/>
      <c r="J349" s="11"/>
      <c r="K349" s="11"/>
      <c r="L349" s="11"/>
    </row>
    <row r="350" spans="1:12" x14ac:dyDescent="0.3">
      <c r="A350" s="31"/>
      <c r="B350" s="32">
        <f>IF(A350="","",DATE(YEAR(A350),MONTH(A350),1))</f>
      </c>
      <c r="C350" s="11"/>
      <c r="D350" s="11"/>
      <c r="E350" s="16">
        <f>IF(OR(D350="",C350&lt;&gt;"Chi"),"",IFERROR(INDEX('Danh mục'!$B$39:$B$78,MATCH(D350,'Danh mục'!$A$39:$A$78,0))&amp;"","?"))</f>
      </c>
      <c r="F350" s="16">
        <f>IF(D350="","",IF(C350="Thu",IFERROR(INDEX('Danh mục'!$B$26:$B$35,MATCH(D350,'Danh mục'!$A$26:$A$35,0))&amp;"","?"),IFERROR(INDEX('Danh mục'!$D$39:$D$78,MATCH(D350,'Danh mục'!$A$39:$A$78,0))&amp;"","?")))</f>
      </c>
      <c r="G350" s="16">
        <f>IF(OR(D350="",C350&lt;&gt;"Chi"),"",IFERROR(INDEX('Danh mục'!$C$39:$C$78,MATCH(D350,'Danh mục'!$A$39:$A$78,0))&amp;"",""))</f>
      </c>
      <c r="H350" s="11"/>
      <c r="I350" s="20"/>
      <c r="J350" s="11"/>
      <c r="K350" s="11"/>
      <c r="L350" s="11"/>
    </row>
    <row r="351" spans="1:12" x14ac:dyDescent="0.3">
      <c r="A351" s="31"/>
      <c r="B351" s="32">
        <f>IF(A351="","",DATE(YEAR(A351),MONTH(A351),1))</f>
      </c>
      <c r="C351" s="11"/>
      <c r="D351" s="11"/>
      <c r="E351" s="16">
        <f>IF(OR(D351="",C351&lt;&gt;"Chi"),"",IFERROR(INDEX('Danh mục'!$B$39:$B$78,MATCH(D351,'Danh mục'!$A$39:$A$78,0))&amp;"","?"))</f>
      </c>
      <c r="F351" s="16">
        <f>IF(D351="","",IF(C351="Thu",IFERROR(INDEX('Danh mục'!$B$26:$B$35,MATCH(D351,'Danh mục'!$A$26:$A$35,0))&amp;"","?"),IFERROR(INDEX('Danh mục'!$D$39:$D$78,MATCH(D351,'Danh mục'!$A$39:$A$78,0))&amp;"","?")))</f>
      </c>
      <c r="G351" s="16">
        <f>IF(OR(D351="",C351&lt;&gt;"Chi"),"",IFERROR(INDEX('Danh mục'!$C$39:$C$78,MATCH(D351,'Danh mục'!$A$39:$A$78,0))&amp;"",""))</f>
      </c>
      <c r="H351" s="11"/>
      <c r="I351" s="20"/>
      <c r="J351" s="11"/>
      <c r="K351" s="11"/>
      <c r="L351" s="11"/>
    </row>
    <row r="352" spans="1:12" x14ac:dyDescent="0.3">
      <c r="A352" s="31"/>
      <c r="B352" s="32">
        <f>IF(A352="","",DATE(YEAR(A352),MONTH(A352),1))</f>
      </c>
      <c r="C352" s="11"/>
      <c r="D352" s="11"/>
      <c r="E352" s="16">
        <f>IF(OR(D352="",C352&lt;&gt;"Chi"),"",IFERROR(INDEX('Danh mục'!$B$39:$B$78,MATCH(D352,'Danh mục'!$A$39:$A$78,0))&amp;"","?"))</f>
      </c>
      <c r="F352" s="16">
        <f>IF(D352="","",IF(C352="Thu",IFERROR(INDEX('Danh mục'!$B$26:$B$35,MATCH(D352,'Danh mục'!$A$26:$A$35,0))&amp;"","?"),IFERROR(INDEX('Danh mục'!$D$39:$D$78,MATCH(D352,'Danh mục'!$A$39:$A$78,0))&amp;"","?")))</f>
      </c>
      <c r="G352" s="16">
        <f>IF(OR(D352="",C352&lt;&gt;"Chi"),"",IFERROR(INDEX('Danh mục'!$C$39:$C$78,MATCH(D352,'Danh mục'!$A$39:$A$78,0))&amp;"",""))</f>
      </c>
      <c r="H352" s="11"/>
      <c r="I352" s="20"/>
      <c r="J352" s="11"/>
      <c r="K352" s="11"/>
      <c r="L352" s="11"/>
    </row>
    <row r="353" spans="1:12" x14ac:dyDescent="0.3">
      <c r="A353" s="31"/>
      <c r="B353" s="32">
        <f>IF(A353="","",DATE(YEAR(A353),MONTH(A353),1))</f>
      </c>
      <c r="C353" s="11"/>
      <c r="D353" s="11"/>
      <c r="E353" s="16">
        <f>IF(OR(D353="",C353&lt;&gt;"Chi"),"",IFERROR(INDEX('Danh mục'!$B$39:$B$78,MATCH(D353,'Danh mục'!$A$39:$A$78,0))&amp;"","?"))</f>
      </c>
      <c r="F353" s="16">
        <f>IF(D353="","",IF(C353="Thu",IFERROR(INDEX('Danh mục'!$B$26:$B$35,MATCH(D353,'Danh mục'!$A$26:$A$35,0))&amp;"","?"),IFERROR(INDEX('Danh mục'!$D$39:$D$78,MATCH(D353,'Danh mục'!$A$39:$A$78,0))&amp;"","?")))</f>
      </c>
      <c r="G353" s="16">
        <f>IF(OR(D353="",C353&lt;&gt;"Chi"),"",IFERROR(INDEX('Danh mục'!$C$39:$C$78,MATCH(D353,'Danh mục'!$A$39:$A$78,0))&amp;"",""))</f>
      </c>
      <c r="H353" s="11"/>
      <c r="I353" s="20"/>
      <c r="J353" s="11"/>
      <c r="K353" s="11"/>
      <c r="L353" s="11"/>
    </row>
    <row r="354" spans="1:12" x14ac:dyDescent="0.3">
      <c r="A354" s="31"/>
      <c r="B354" s="32">
        <f>IF(A354="","",DATE(YEAR(A354),MONTH(A354),1))</f>
      </c>
      <c r="C354" s="11"/>
      <c r="D354" s="11"/>
      <c r="E354" s="16">
        <f>IF(OR(D354="",C354&lt;&gt;"Chi"),"",IFERROR(INDEX('Danh mục'!$B$39:$B$78,MATCH(D354,'Danh mục'!$A$39:$A$78,0))&amp;"","?"))</f>
      </c>
      <c r="F354" s="16">
        <f>IF(D354="","",IF(C354="Thu",IFERROR(INDEX('Danh mục'!$B$26:$B$35,MATCH(D354,'Danh mục'!$A$26:$A$35,0))&amp;"","?"),IFERROR(INDEX('Danh mục'!$D$39:$D$78,MATCH(D354,'Danh mục'!$A$39:$A$78,0))&amp;"","?")))</f>
      </c>
      <c r="G354" s="16">
        <f>IF(OR(D354="",C354&lt;&gt;"Chi"),"",IFERROR(INDEX('Danh mục'!$C$39:$C$78,MATCH(D354,'Danh mục'!$A$39:$A$78,0))&amp;"",""))</f>
      </c>
      <c r="H354" s="11"/>
      <c r="I354" s="20"/>
      <c r="J354" s="11"/>
      <c r="K354" s="11"/>
      <c r="L354" s="11"/>
    </row>
    <row r="355" spans="1:12" x14ac:dyDescent="0.3">
      <c r="A355" s="31"/>
      <c r="B355" s="32">
        <f>IF(A355="","",DATE(YEAR(A355),MONTH(A355),1))</f>
      </c>
      <c r="C355" s="11"/>
      <c r="D355" s="11"/>
      <c r="E355" s="16">
        <f>IF(OR(D355="",C355&lt;&gt;"Chi"),"",IFERROR(INDEX('Danh mục'!$B$39:$B$78,MATCH(D355,'Danh mục'!$A$39:$A$78,0))&amp;"","?"))</f>
      </c>
      <c r="F355" s="16">
        <f>IF(D355="","",IF(C355="Thu",IFERROR(INDEX('Danh mục'!$B$26:$B$35,MATCH(D355,'Danh mục'!$A$26:$A$35,0))&amp;"","?"),IFERROR(INDEX('Danh mục'!$D$39:$D$78,MATCH(D355,'Danh mục'!$A$39:$A$78,0))&amp;"","?")))</f>
      </c>
      <c r="G355" s="16">
        <f>IF(OR(D355="",C355&lt;&gt;"Chi"),"",IFERROR(INDEX('Danh mục'!$C$39:$C$78,MATCH(D355,'Danh mục'!$A$39:$A$78,0))&amp;"",""))</f>
      </c>
      <c r="H355" s="11"/>
      <c r="I355" s="20"/>
      <c r="J355" s="11"/>
      <c r="K355" s="11"/>
      <c r="L355" s="11"/>
    </row>
    <row r="356" spans="1:12" x14ac:dyDescent="0.3">
      <c r="A356" s="31"/>
      <c r="B356" s="32">
        <f>IF(A356="","",DATE(YEAR(A356),MONTH(A356),1))</f>
      </c>
      <c r="C356" s="11"/>
      <c r="D356" s="11"/>
      <c r="E356" s="16">
        <f>IF(OR(D356="",C356&lt;&gt;"Chi"),"",IFERROR(INDEX('Danh mục'!$B$39:$B$78,MATCH(D356,'Danh mục'!$A$39:$A$78,0))&amp;"","?"))</f>
      </c>
      <c r="F356" s="16">
        <f>IF(D356="","",IF(C356="Thu",IFERROR(INDEX('Danh mục'!$B$26:$B$35,MATCH(D356,'Danh mục'!$A$26:$A$35,0))&amp;"","?"),IFERROR(INDEX('Danh mục'!$D$39:$D$78,MATCH(D356,'Danh mục'!$A$39:$A$78,0))&amp;"","?")))</f>
      </c>
      <c r="G356" s="16">
        <f>IF(OR(D356="",C356&lt;&gt;"Chi"),"",IFERROR(INDEX('Danh mục'!$C$39:$C$78,MATCH(D356,'Danh mục'!$A$39:$A$78,0))&amp;"",""))</f>
      </c>
      <c r="H356" s="11"/>
      <c r="I356" s="20"/>
      <c r="J356" s="11"/>
      <c r="K356" s="11"/>
      <c r="L356" s="11"/>
    </row>
    <row r="357" spans="1:12" x14ac:dyDescent="0.3">
      <c r="A357" s="31"/>
      <c r="B357" s="32">
        <f>IF(A357="","",DATE(YEAR(A357),MONTH(A357),1))</f>
      </c>
      <c r="C357" s="11"/>
      <c r="D357" s="11"/>
      <c r="E357" s="16">
        <f>IF(OR(D357="",C357&lt;&gt;"Chi"),"",IFERROR(INDEX('Danh mục'!$B$39:$B$78,MATCH(D357,'Danh mục'!$A$39:$A$78,0))&amp;"","?"))</f>
      </c>
      <c r="F357" s="16">
        <f>IF(D357="","",IF(C357="Thu",IFERROR(INDEX('Danh mục'!$B$26:$B$35,MATCH(D357,'Danh mục'!$A$26:$A$35,0))&amp;"","?"),IFERROR(INDEX('Danh mục'!$D$39:$D$78,MATCH(D357,'Danh mục'!$A$39:$A$78,0))&amp;"","?")))</f>
      </c>
      <c r="G357" s="16">
        <f>IF(OR(D357="",C357&lt;&gt;"Chi"),"",IFERROR(INDEX('Danh mục'!$C$39:$C$78,MATCH(D357,'Danh mục'!$A$39:$A$78,0))&amp;"",""))</f>
      </c>
      <c r="H357" s="11"/>
      <c r="I357" s="20"/>
      <c r="J357" s="11"/>
      <c r="K357" s="11"/>
      <c r="L357" s="11"/>
    </row>
    <row r="358" spans="1:12" x14ac:dyDescent="0.3">
      <c r="A358" s="31"/>
      <c r="B358" s="32">
        <f>IF(A358="","",DATE(YEAR(A358),MONTH(A358),1))</f>
      </c>
      <c r="C358" s="11"/>
      <c r="D358" s="11"/>
      <c r="E358" s="16">
        <f>IF(OR(D358="",C358&lt;&gt;"Chi"),"",IFERROR(INDEX('Danh mục'!$B$39:$B$78,MATCH(D358,'Danh mục'!$A$39:$A$78,0))&amp;"","?"))</f>
      </c>
      <c r="F358" s="16">
        <f>IF(D358="","",IF(C358="Thu",IFERROR(INDEX('Danh mục'!$B$26:$B$35,MATCH(D358,'Danh mục'!$A$26:$A$35,0))&amp;"","?"),IFERROR(INDEX('Danh mục'!$D$39:$D$78,MATCH(D358,'Danh mục'!$A$39:$A$78,0))&amp;"","?")))</f>
      </c>
      <c r="G358" s="16">
        <f>IF(OR(D358="",C358&lt;&gt;"Chi"),"",IFERROR(INDEX('Danh mục'!$C$39:$C$78,MATCH(D358,'Danh mục'!$A$39:$A$78,0))&amp;"",""))</f>
      </c>
      <c r="H358" s="11"/>
      <c r="I358" s="20"/>
      <c r="J358" s="11"/>
      <c r="K358" s="11"/>
      <c r="L358" s="11"/>
    </row>
    <row r="359" spans="1:12" x14ac:dyDescent="0.3">
      <c r="A359" s="31"/>
      <c r="B359" s="32">
        <f>IF(A359="","",DATE(YEAR(A359),MONTH(A359),1))</f>
      </c>
      <c r="C359" s="11"/>
      <c r="D359" s="11"/>
      <c r="E359" s="16">
        <f>IF(OR(D359="",C359&lt;&gt;"Chi"),"",IFERROR(INDEX('Danh mục'!$B$39:$B$78,MATCH(D359,'Danh mục'!$A$39:$A$78,0))&amp;"","?"))</f>
      </c>
      <c r="F359" s="16">
        <f>IF(D359="","",IF(C359="Thu",IFERROR(INDEX('Danh mục'!$B$26:$B$35,MATCH(D359,'Danh mục'!$A$26:$A$35,0))&amp;"","?"),IFERROR(INDEX('Danh mục'!$D$39:$D$78,MATCH(D359,'Danh mục'!$A$39:$A$78,0))&amp;"","?")))</f>
      </c>
      <c r="G359" s="16">
        <f>IF(OR(D359="",C359&lt;&gt;"Chi"),"",IFERROR(INDEX('Danh mục'!$C$39:$C$78,MATCH(D359,'Danh mục'!$A$39:$A$78,0))&amp;"",""))</f>
      </c>
      <c r="H359" s="11"/>
      <c r="I359" s="20"/>
      <c r="J359" s="11"/>
      <c r="K359" s="11"/>
      <c r="L359" s="11"/>
    </row>
    <row r="360" spans="1:12" x14ac:dyDescent="0.3">
      <c r="A360" s="31"/>
      <c r="B360" s="32">
        <f>IF(A360="","",DATE(YEAR(A360),MONTH(A360),1))</f>
      </c>
      <c r="C360" s="11"/>
      <c r="D360" s="11"/>
      <c r="E360" s="16">
        <f>IF(OR(D360="",C360&lt;&gt;"Chi"),"",IFERROR(INDEX('Danh mục'!$B$39:$B$78,MATCH(D360,'Danh mục'!$A$39:$A$78,0))&amp;"","?"))</f>
      </c>
      <c r="F360" s="16">
        <f>IF(D360="","",IF(C360="Thu",IFERROR(INDEX('Danh mục'!$B$26:$B$35,MATCH(D360,'Danh mục'!$A$26:$A$35,0))&amp;"","?"),IFERROR(INDEX('Danh mục'!$D$39:$D$78,MATCH(D360,'Danh mục'!$A$39:$A$78,0))&amp;"","?")))</f>
      </c>
      <c r="G360" s="16">
        <f>IF(OR(D360="",C360&lt;&gt;"Chi"),"",IFERROR(INDEX('Danh mục'!$C$39:$C$78,MATCH(D360,'Danh mục'!$A$39:$A$78,0))&amp;"",""))</f>
      </c>
      <c r="H360" s="11"/>
      <c r="I360" s="20"/>
      <c r="J360" s="11"/>
      <c r="K360" s="11"/>
      <c r="L360" s="11"/>
    </row>
    <row r="361" spans="1:12" x14ac:dyDescent="0.3">
      <c r="A361" s="31"/>
      <c r="B361" s="32">
        <f>IF(A361="","",DATE(YEAR(A361),MONTH(A361),1))</f>
      </c>
      <c r="C361" s="11"/>
      <c r="D361" s="11"/>
      <c r="E361" s="16">
        <f>IF(OR(D361="",C361&lt;&gt;"Chi"),"",IFERROR(INDEX('Danh mục'!$B$39:$B$78,MATCH(D361,'Danh mục'!$A$39:$A$78,0))&amp;"","?"))</f>
      </c>
      <c r="F361" s="16">
        <f>IF(D361="","",IF(C361="Thu",IFERROR(INDEX('Danh mục'!$B$26:$B$35,MATCH(D361,'Danh mục'!$A$26:$A$35,0))&amp;"","?"),IFERROR(INDEX('Danh mục'!$D$39:$D$78,MATCH(D361,'Danh mục'!$A$39:$A$78,0))&amp;"","?")))</f>
      </c>
      <c r="G361" s="16">
        <f>IF(OR(D361="",C361&lt;&gt;"Chi"),"",IFERROR(INDEX('Danh mục'!$C$39:$C$78,MATCH(D361,'Danh mục'!$A$39:$A$78,0))&amp;"",""))</f>
      </c>
      <c r="H361" s="11"/>
      <c r="I361" s="20"/>
      <c r="J361" s="11"/>
      <c r="K361" s="11"/>
      <c r="L361" s="11"/>
    </row>
    <row r="362" spans="1:12" x14ac:dyDescent="0.3">
      <c r="A362" s="31"/>
      <c r="B362" s="32">
        <f>IF(A362="","",DATE(YEAR(A362),MONTH(A362),1))</f>
      </c>
      <c r="C362" s="11"/>
      <c r="D362" s="11"/>
      <c r="E362" s="16">
        <f>IF(OR(D362="",C362&lt;&gt;"Chi"),"",IFERROR(INDEX('Danh mục'!$B$39:$B$78,MATCH(D362,'Danh mục'!$A$39:$A$78,0))&amp;"","?"))</f>
      </c>
      <c r="F362" s="16">
        <f>IF(D362="","",IF(C362="Thu",IFERROR(INDEX('Danh mục'!$B$26:$B$35,MATCH(D362,'Danh mục'!$A$26:$A$35,0))&amp;"","?"),IFERROR(INDEX('Danh mục'!$D$39:$D$78,MATCH(D362,'Danh mục'!$A$39:$A$78,0))&amp;"","?")))</f>
      </c>
      <c r="G362" s="16">
        <f>IF(OR(D362="",C362&lt;&gt;"Chi"),"",IFERROR(INDEX('Danh mục'!$C$39:$C$78,MATCH(D362,'Danh mục'!$A$39:$A$78,0))&amp;"",""))</f>
      </c>
      <c r="H362" s="11"/>
      <c r="I362" s="20"/>
      <c r="J362" s="11"/>
      <c r="K362" s="11"/>
      <c r="L362" s="11"/>
    </row>
    <row r="363" spans="1:12" x14ac:dyDescent="0.3">
      <c r="A363" s="31"/>
      <c r="B363" s="32">
        <f>IF(A363="","",DATE(YEAR(A363),MONTH(A363),1))</f>
      </c>
      <c r="C363" s="11"/>
      <c r="D363" s="11"/>
      <c r="E363" s="16">
        <f>IF(OR(D363="",C363&lt;&gt;"Chi"),"",IFERROR(INDEX('Danh mục'!$B$39:$B$78,MATCH(D363,'Danh mục'!$A$39:$A$78,0))&amp;"","?"))</f>
      </c>
      <c r="F363" s="16">
        <f>IF(D363="","",IF(C363="Thu",IFERROR(INDEX('Danh mục'!$B$26:$B$35,MATCH(D363,'Danh mục'!$A$26:$A$35,0))&amp;"","?"),IFERROR(INDEX('Danh mục'!$D$39:$D$78,MATCH(D363,'Danh mục'!$A$39:$A$78,0))&amp;"","?")))</f>
      </c>
      <c r="G363" s="16">
        <f>IF(OR(D363="",C363&lt;&gt;"Chi"),"",IFERROR(INDEX('Danh mục'!$C$39:$C$78,MATCH(D363,'Danh mục'!$A$39:$A$78,0))&amp;"",""))</f>
      </c>
      <c r="H363" s="11"/>
      <c r="I363" s="20"/>
      <c r="J363" s="11"/>
      <c r="K363" s="11"/>
      <c r="L363" s="11"/>
    </row>
    <row r="364" spans="1:12" x14ac:dyDescent="0.3">
      <c r="A364" s="31"/>
      <c r="B364" s="32">
        <f>IF(A364="","",DATE(YEAR(A364),MONTH(A364),1))</f>
      </c>
      <c r="C364" s="11"/>
      <c r="D364" s="11"/>
      <c r="E364" s="16">
        <f>IF(OR(D364="",C364&lt;&gt;"Chi"),"",IFERROR(INDEX('Danh mục'!$B$39:$B$78,MATCH(D364,'Danh mục'!$A$39:$A$78,0))&amp;"","?"))</f>
      </c>
      <c r="F364" s="16">
        <f>IF(D364="","",IF(C364="Thu",IFERROR(INDEX('Danh mục'!$B$26:$B$35,MATCH(D364,'Danh mục'!$A$26:$A$35,0))&amp;"","?"),IFERROR(INDEX('Danh mục'!$D$39:$D$78,MATCH(D364,'Danh mục'!$A$39:$A$78,0))&amp;"","?")))</f>
      </c>
      <c r="G364" s="16">
        <f>IF(OR(D364="",C364&lt;&gt;"Chi"),"",IFERROR(INDEX('Danh mục'!$C$39:$C$78,MATCH(D364,'Danh mục'!$A$39:$A$78,0))&amp;"",""))</f>
      </c>
      <c r="H364" s="11"/>
      <c r="I364" s="20"/>
      <c r="J364" s="11"/>
      <c r="K364" s="11"/>
      <c r="L364" s="11"/>
    </row>
    <row r="365" spans="1:12" x14ac:dyDescent="0.3">
      <c r="A365" s="31"/>
      <c r="B365" s="32">
        <f>IF(A365="","",DATE(YEAR(A365),MONTH(A365),1))</f>
      </c>
      <c r="C365" s="11"/>
      <c r="D365" s="11"/>
      <c r="E365" s="16">
        <f>IF(OR(D365="",C365&lt;&gt;"Chi"),"",IFERROR(INDEX('Danh mục'!$B$39:$B$78,MATCH(D365,'Danh mục'!$A$39:$A$78,0))&amp;"","?"))</f>
      </c>
      <c r="F365" s="16">
        <f>IF(D365="","",IF(C365="Thu",IFERROR(INDEX('Danh mục'!$B$26:$B$35,MATCH(D365,'Danh mục'!$A$26:$A$35,0))&amp;"","?"),IFERROR(INDEX('Danh mục'!$D$39:$D$78,MATCH(D365,'Danh mục'!$A$39:$A$78,0))&amp;"","?")))</f>
      </c>
      <c r="G365" s="16">
        <f>IF(OR(D365="",C365&lt;&gt;"Chi"),"",IFERROR(INDEX('Danh mục'!$C$39:$C$78,MATCH(D365,'Danh mục'!$A$39:$A$78,0))&amp;"",""))</f>
      </c>
      <c r="H365" s="11"/>
      <c r="I365" s="20"/>
      <c r="J365" s="11"/>
      <c r="K365" s="11"/>
      <c r="L365" s="11"/>
    </row>
    <row r="366" spans="1:12" x14ac:dyDescent="0.3">
      <c r="A366" s="31"/>
      <c r="B366" s="32">
        <f>IF(A366="","",DATE(YEAR(A366),MONTH(A366),1))</f>
      </c>
      <c r="C366" s="11"/>
      <c r="D366" s="11"/>
      <c r="E366" s="16">
        <f>IF(OR(D366="",C366&lt;&gt;"Chi"),"",IFERROR(INDEX('Danh mục'!$B$39:$B$78,MATCH(D366,'Danh mục'!$A$39:$A$78,0))&amp;"","?"))</f>
      </c>
      <c r="F366" s="16">
        <f>IF(D366="","",IF(C366="Thu",IFERROR(INDEX('Danh mục'!$B$26:$B$35,MATCH(D366,'Danh mục'!$A$26:$A$35,0))&amp;"","?"),IFERROR(INDEX('Danh mục'!$D$39:$D$78,MATCH(D366,'Danh mục'!$A$39:$A$78,0))&amp;"","?")))</f>
      </c>
      <c r="G366" s="16">
        <f>IF(OR(D366="",C366&lt;&gt;"Chi"),"",IFERROR(INDEX('Danh mục'!$C$39:$C$78,MATCH(D366,'Danh mục'!$A$39:$A$78,0))&amp;"",""))</f>
      </c>
      <c r="H366" s="11"/>
      <c r="I366" s="20"/>
      <c r="J366" s="11"/>
      <c r="K366" s="11"/>
      <c r="L366" s="11"/>
    </row>
    <row r="367" spans="1:12" x14ac:dyDescent="0.3">
      <c r="A367" s="31"/>
      <c r="B367" s="32">
        <f>IF(A367="","",DATE(YEAR(A367),MONTH(A367),1))</f>
      </c>
      <c r="C367" s="11"/>
      <c r="D367" s="11"/>
      <c r="E367" s="16">
        <f>IF(OR(D367="",C367&lt;&gt;"Chi"),"",IFERROR(INDEX('Danh mục'!$B$39:$B$78,MATCH(D367,'Danh mục'!$A$39:$A$78,0))&amp;"","?"))</f>
      </c>
      <c r="F367" s="16">
        <f>IF(D367="","",IF(C367="Thu",IFERROR(INDEX('Danh mục'!$B$26:$B$35,MATCH(D367,'Danh mục'!$A$26:$A$35,0))&amp;"","?"),IFERROR(INDEX('Danh mục'!$D$39:$D$78,MATCH(D367,'Danh mục'!$A$39:$A$78,0))&amp;"","?")))</f>
      </c>
      <c r="G367" s="16">
        <f>IF(OR(D367="",C367&lt;&gt;"Chi"),"",IFERROR(INDEX('Danh mục'!$C$39:$C$78,MATCH(D367,'Danh mục'!$A$39:$A$78,0))&amp;"",""))</f>
      </c>
      <c r="H367" s="11"/>
      <c r="I367" s="20"/>
      <c r="J367" s="11"/>
      <c r="K367" s="11"/>
      <c r="L367" s="11"/>
    </row>
    <row r="368" spans="1:12" x14ac:dyDescent="0.3">
      <c r="A368" s="31"/>
      <c r="B368" s="32">
        <f>IF(A368="","",DATE(YEAR(A368),MONTH(A368),1))</f>
      </c>
      <c r="C368" s="11"/>
      <c r="D368" s="11"/>
      <c r="E368" s="16">
        <f>IF(OR(D368="",C368&lt;&gt;"Chi"),"",IFERROR(INDEX('Danh mục'!$B$39:$B$78,MATCH(D368,'Danh mục'!$A$39:$A$78,0))&amp;"","?"))</f>
      </c>
      <c r="F368" s="16">
        <f>IF(D368="","",IF(C368="Thu",IFERROR(INDEX('Danh mục'!$B$26:$B$35,MATCH(D368,'Danh mục'!$A$26:$A$35,0))&amp;"","?"),IFERROR(INDEX('Danh mục'!$D$39:$D$78,MATCH(D368,'Danh mục'!$A$39:$A$78,0))&amp;"","?")))</f>
      </c>
      <c r="G368" s="16">
        <f>IF(OR(D368="",C368&lt;&gt;"Chi"),"",IFERROR(INDEX('Danh mục'!$C$39:$C$78,MATCH(D368,'Danh mục'!$A$39:$A$78,0))&amp;"",""))</f>
      </c>
      <c r="H368" s="11"/>
      <c r="I368" s="20"/>
      <c r="J368" s="11"/>
      <c r="K368" s="11"/>
      <c r="L368" s="11"/>
    </row>
    <row r="369" spans="1:12" x14ac:dyDescent="0.3">
      <c r="A369" s="31"/>
      <c r="B369" s="32">
        <f>IF(A369="","",DATE(YEAR(A369),MONTH(A369),1))</f>
      </c>
      <c r="C369" s="11"/>
      <c r="D369" s="11"/>
      <c r="E369" s="16">
        <f>IF(OR(D369="",C369&lt;&gt;"Chi"),"",IFERROR(INDEX('Danh mục'!$B$39:$B$78,MATCH(D369,'Danh mục'!$A$39:$A$78,0))&amp;"","?"))</f>
      </c>
      <c r="F369" s="16">
        <f>IF(D369="","",IF(C369="Thu",IFERROR(INDEX('Danh mục'!$B$26:$B$35,MATCH(D369,'Danh mục'!$A$26:$A$35,0))&amp;"","?"),IFERROR(INDEX('Danh mục'!$D$39:$D$78,MATCH(D369,'Danh mục'!$A$39:$A$78,0))&amp;"","?")))</f>
      </c>
      <c r="G369" s="16">
        <f>IF(OR(D369="",C369&lt;&gt;"Chi"),"",IFERROR(INDEX('Danh mục'!$C$39:$C$78,MATCH(D369,'Danh mục'!$A$39:$A$78,0))&amp;"",""))</f>
      </c>
      <c r="H369" s="11"/>
      <c r="I369" s="20"/>
      <c r="J369" s="11"/>
      <c r="K369" s="11"/>
      <c r="L369" s="11"/>
    </row>
    <row r="370" spans="1:12" x14ac:dyDescent="0.3">
      <c r="A370" s="31"/>
      <c r="B370" s="32">
        <f>IF(A370="","",DATE(YEAR(A370),MONTH(A370),1))</f>
      </c>
      <c r="C370" s="11"/>
      <c r="D370" s="11"/>
      <c r="E370" s="16">
        <f>IF(OR(D370="",C370&lt;&gt;"Chi"),"",IFERROR(INDEX('Danh mục'!$B$39:$B$78,MATCH(D370,'Danh mục'!$A$39:$A$78,0))&amp;"","?"))</f>
      </c>
      <c r="F370" s="16">
        <f>IF(D370="","",IF(C370="Thu",IFERROR(INDEX('Danh mục'!$B$26:$B$35,MATCH(D370,'Danh mục'!$A$26:$A$35,0))&amp;"","?"),IFERROR(INDEX('Danh mục'!$D$39:$D$78,MATCH(D370,'Danh mục'!$A$39:$A$78,0))&amp;"","?")))</f>
      </c>
      <c r="G370" s="16">
        <f>IF(OR(D370="",C370&lt;&gt;"Chi"),"",IFERROR(INDEX('Danh mục'!$C$39:$C$78,MATCH(D370,'Danh mục'!$A$39:$A$78,0))&amp;"",""))</f>
      </c>
      <c r="H370" s="11"/>
      <c r="I370" s="20"/>
      <c r="J370" s="11"/>
      <c r="K370" s="11"/>
      <c r="L370" s="11"/>
    </row>
    <row r="371" spans="1:12" x14ac:dyDescent="0.3">
      <c r="A371" s="31"/>
      <c r="B371" s="32">
        <f>IF(A371="","",DATE(YEAR(A371),MONTH(A371),1))</f>
      </c>
      <c r="C371" s="11"/>
      <c r="D371" s="11"/>
      <c r="E371" s="16">
        <f>IF(OR(D371="",C371&lt;&gt;"Chi"),"",IFERROR(INDEX('Danh mục'!$B$39:$B$78,MATCH(D371,'Danh mục'!$A$39:$A$78,0))&amp;"","?"))</f>
      </c>
      <c r="F371" s="16">
        <f>IF(D371="","",IF(C371="Thu",IFERROR(INDEX('Danh mục'!$B$26:$B$35,MATCH(D371,'Danh mục'!$A$26:$A$35,0))&amp;"","?"),IFERROR(INDEX('Danh mục'!$D$39:$D$78,MATCH(D371,'Danh mục'!$A$39:$A$78,0))&amp;"","?")))</f>
      </c>
      <c r="G371" s="16">
        <f>IF(OR(D371="",C371&lt;&gt;"Chi"),"",IFERROR(INDEX('Danh mục'!$C$39:$C$78,MATCH(D371,'Danh mục'!$A$39:$A$78,0))&amp;"",""))</f>
      </c>
      <c r="H371" s="11"/>
      <c r="I371" s="20"/>
      <c r="J371" s="11"/>
      <c r="K371" s="11"/>
      <c r="L371" s="11"/>
    </row>
    <row r="372" spans="1:12" x14ac:dyDescent="0.3">
      <c r="A372" s="31"/>
      <c r="B372" s="32">
        <f>IF(A372="","",DATE(YEAR(A372),MONTH(A372),1))</f>
      </c>
      <c r="C372" s="11"/>
      <c r="D372" s="11"/>
      <c r="E372" s="16">
        <f>IF(OR(D372="",C372&lt;&gt;"Chi"),"",IFERROR(INDEX('Danh mục'!$B$39:$B$78,MATCH(D372,'Danh mục'!$A$39:$A$78,0))&amp;"","?"))</f>
      </c>
      <c r="F372" s="16">
        <f>IF(D372="","",IF(C372="Thu",IFERROR(INDEX('Danh mục'!$B$26:$B$35,MATCH(D372,'Danh mục'!$A$26:$A$35,0))&amp;"","?"),IFERROR(INDEX('Danh mục'!$D$39:$D$78,MATCH(D372,'Danh mục'!$A$39:$A$78,0))&amp;"","?")))</f>
      </c>
      <c r="G372" s="16">
        <f>IF(OR(D372="",C372&lt;&gt;"Chi"),"",IFERROR(INDEX('Danh mục'!$C$39:$C$78,MATCH(D372,'Danh mục'!$A$39:$A$78,0))&amp;"",""))</f>
      </c>
      <c r="H372" s="11"/>
      <c r="I372" s="20"/>
      <c r="J372" s="11"/>
      <c r="K372" s="11"/>
      <c r="L372" s="11"/>
    </row>
    <row r="373" spans="1:12" x14ac:dyDescent="0.3">
      <c r="A373" s="31"/>
      <c r="B373" s="32">
        <f>IF(A373="","",DATE(YEAR(A373),MONTH(A373),1))</f>
      </c>
      <c r="C373" s="11"/>
      <c r="D373" s="11"/>
      <c r="E373" s="16">
        <f>IF(OR(D373="",C373&lt;&gt;"Chi"),"",IFERROR(INDEX('Danh mục'!$B$39:$B$78,MATCH(D373,'Danh mục'!$A$39:$A$78,0))&amp;"","?"))</f>
      </c>
      <c r="F373" s="16">
        <f>IF(D373="","",IF(C373="Thu",IFERROR(INDEX('Danh mục'!$B$26:$B$35,MATCH(D373,'Danh mục'!$A$26:$A$35,0))&amp;"","?"),IFERROR(INDEX('Danh mục'!$D$39:$D$78,MATCH(D373,'Danh mục'!$A$39:$A$78,0))&amp;"","?")))</f>
      </c>
      <c r="G373" s="16">
        <f>IF(OR(D373="",C373&lt;&gt;"Chi"),"",IFERROR(INDEX('Danh mục'!$C$39:$C$78,MATCH(D373,'Danh mục'!$A$39:$A$78,0))&amp;"",""))</f>
      </c>
      <c r="H373" s="11"/>
      <c r="I373" s="20"/>
      <c r="J373" s="11"/>
      <c r="K373" s="11"/>
      <c r="L373" s="11"/>
    </row>
    <row r="374" spans="1:12" x14ac:dyDescent="0.3">
      <c r="A374" s="31"/>
      <c r="B374" s="32">
        <f>IF(A374="","",DATE(YEAR(A374),MONTH(A374),1))</f>
      </c>
      <c r="C374" s="11"/>
      <c r="D374" s="11"/>
      <c r="E374" s="16">
        <f>IF(OR(D374="",C374&lt;&gt;"Chi"),"",IFERROR(INDEX('Danh mục'!$B$39:$B$78,MATCH(D374,'Danh mục'!$A$39:$A$78,0))&amp;"","?"))</f>
      </c>
      <c r="F374" s="16">
        <f>IF(D374="","",IF(C374="Thu",IFERROR(INDEX('Danh mục'!$B$26:$B$35,MATCH(D374,'Danh mục'!$A$26:$A$35,0))&amp;"","?"),IFERROR(INDEX('Danh mục'!$D$39:$D$78,MATCH(D374,'Danh mục'!$A$39:$A$78,0))&amp;"","?")))</f>
      </c>
      <c r="G374" s="16">
        <f>IF(OR(D374="",C374&lt;&gt;"Chi"),"",IFERROR(INDEX('Danh mục'!$C$39:$C$78,MATCH(D374,'Danh mục'!$A$39:$A$78,0))&amp;"",""))</f>
      </c>
      <c r="H374" s="11"/>
      <c r="I374" s="20"/>
      <c r="J374" s="11"/>
      <c r="K374" s="11"/>
      <c r="L374" s="11"/>
    </row>
    <row r="375" spans="1:12" x14ac:dyDescent="0.3">
      <c r="A375" s="31"/>
      <c r="B375" s="32">
        <f>IF(A375="","",DATE(YEAR(A375),MONTH(A375),1))</f>
      </c>
      <c r="C375" s="11"/>
      <c r="D375" s="11"/>
      <c r="E375" s="16">
        <f>IF(OR(D375="",C375&lt;&gt;"Chi"),"",IFERROR(INDEX('Danh mục'!$B$39:$B$78,MATCH(D375,'Danh mục'!$A$39:$A$78,0))&amp;"","?"))</f>
      </c>
      <c r="F375" s="16">
        <f>IF(D375="","",IF(C375="Thu",IFERROR(INDEX('Danh mục'!$B$26:$B$35,MATCH(D375,'Danh mục'!$A$26:$A$35,0))&amp;"","?"),IFERROR(INDEX('Danh mục'!$D$39:$D$78,MATCH(D375,'Danh mục'!$A$39:$A$78,0))&amp;"","?")))</f>
      </c>
      <c r="G375" s="16">
        <f>IF(OR(D375="",C375&lt;&gt;"Chi"),"",IFERROR(INDEX('Danh mục'!$C$39:$C$78,MATCH(D375,'Danh mục'!$A$39:$A$78,0))&amp;"",""))</f>
      </c>
      <c r="H375" s="11"/>
      <c r="I375" s="20"/>
      <c r="J375" s="11"/>
      <c r="K375" s="11"/>
      <c r="L375" s="11"/>
    </row>
    <row r="376" spans="1:12" x14ac:dyDescent="0.3">
      <c r="A376" s="31"/>
      <c r="B376" s="32">
        <f>IF(A376="","",DATE(YEAR(A376),MONTH(A376),1))</f>
      </c>
      <c r="C376" s="11"/>
      <c r="D376" s="11"/>
      <c r="E376" s="16">
        <f>IF(OR(D376="",C376&lt;&gt;"Chi"),"",IFERROR(INDEX('Danh mục'!$B$39:$B$78,MATCH(D376,'Danh mục'!$A$39:$A$78,0))&amp;"","?"))</f>
      </c>
      <c r="F376" s="16">
        <f>IF(D376="","",IF(C376="Thu",IFERROR(INDEX('Danh mục'!$B$26:$B$35,MATCH(D376,'Danh mục'!$A$26:$A$35,0))&amp;"","?"),IFERROR(INDEX('Danh mục'!$D$39:$D$78,MATCH(D376,'Danh mục'!$A$39:$A$78,0))&amp;"","?")))</f>
      </c>
      <c r="G376" s="16">
        <f>IF(OR(D376="",C376&lt;&gt;"Chi"),"",IFERROR(INDEX('Danh mục'!$C$39:$C$78,MATCH(D376,'Danh mục'!$A$39:$A$78,0))&amp;"",""))</f>
      </c>
      <c r="H376" s="11"/>
      <c r="I376" s="20"/>
      <c r="J376" s="11"/>
      <c r="K376" s="11"/>
      <c r="L376" s="11"/>
    </row>
    <row r="377" spans="1:12" x14ac:dyDescent="0.3">
      <c r="A377" s="31"/>
      <c r="B377" s="32">
        <f>IF(A377="","",DATE(YEAR(A377),MONTH(A377),1))</f>
      </c>
      <c r="C377" s="11"/>
      <c r="D377" s="11"/>
      <c r="E377" s="16">
        <f>IF(OR(D377="",C377&lt;&gt;"Chi"),"",IFERROR(INDEX('Danh mục'!$B$39:$B$78,MATCH(D377,'Danh mục'!$A$39:$A$78,0))&amp;"","?"))</f>
      </c>
      <c r="F377" s="16">
        <f>IF(D377="","",IF(C377="Thu",IFERROR(INDEX('Danh mục'!$B$26:$B$35,MATCH(D377,'Danh mục'!$A$26:$A$35,0))&amp;"","?"),IFERROR(INDEX('Danh mục'!$D$39:$D$78,MATCH(D377,'Danh mục'!$A$39:$A$78,0))&amp;"","?")))</f>
      </c>
      <c r="G377" s="16">
        <f>IF(OR(D377="",C377&lt;&gt;"Chi"),"",IFERROR(INDEX('Danh mục'!$C$39:$C$78,MATCH(D377,'Danh mục'!$A$39:$A$78,0))&amp;"",""))</f>
      </c>
      <c r="H377" s="11"/>
      <c r="I377" s="20"/>
      <c r="J377" s="11"/>
      <c r="K377" s="11"/>
      <c r="L377" s="11"/>
    </row>
    <row r="378" spans="1:12" x14ac:dyDescent="0.3">
      <c r="A378" s="31"/>
      <c r="B378" s="32">
        <f>IF(A378="","",DATE(YEAR(A378),MONTH(A378),1))</f>
      </c>
      <c r="C378" s="11"/>
      <c r="D378" s="11"/>
      <c r="E378" s="16">
        <f>IF(OR(D378="",C378&lt;&gt;"Chi"),"",IFERROR(INDEX('Danh mục'!$B$39:$B$78,MATCH(D378,'Danh mục'!$A$39:$A$78,0))&amp;"","?"))</f>
      </c>
      <c r="F378" s="16">
        <f>IF(D378="","",IF(C378="Thu",IFERROR(INDEX('Danh mục'!$B$26:$B$35,MATCH(D378,'Danh mục'!$A$26:$A$35,0))&amp;"","?"),IFERROR(INDEX('Danh mục'!$D$39:$D$78,MATCH(D378,'Danh mục'!$A$39:$A$78,0))&amp;"","?")))</f>
      </c>
      <c r="G378" s="16">
        <f>IF(OR(D378="",C378&lt;&gt;"Chi"),"",IFERROR(INDEX('Danh mục'!$C$39:$C$78,MATCH(D378,'Danh mục'!$A$39:$A$78,0))&amp;"",""))</f>
      </c>
      <c r="H378" s="11"/>
      <c r="I378" s="20"/>
      <c r="J378" s="11"/>
      <c r="K378" s="11"/>
      <c r="L378" s="11"/>
    </row>
    <row r="379" spans="1:12" x14ac:dyDescent="0.3">
      <c r="A379" s="31"/>
      <c r="B379" s="32">
        <f>IF(A379="","",DATE(YEAR(A379),MONTH(A379),1))</f>
      </c>
      <c r="C379" s="11"/>
      <c r="D379" s="11"/>
      <c r="E379" s="16">
        <f>IF(OR(D379="",C379&lt;&gt;"Chi"),"",IFERROR(INDEX('Danh mục'!$B$39:$B$78,MATCH(D379,'Danh mục'!$A$39:$A$78,0))&amp;"","?"))</f>
      </c>
      <c r="F379" s="16">
        <f>IF(D379="","",IF(C379="Thu",IFERROR(INDEX('Danh mục'!$B$26:$B$35,MATCH(D379,'Danh mục'!$A$26:$A$35,0))&amp;"","?"),IFERROR(INDEX('Danh mục'!$D$39:$D$78,MATCH(D379,'Danh mục'!$A$39:$A$78,0))&amp;"","?")))</f>
      </c>
      <c r="G379" s="16">
        <f>IF(OR(D379="",C379&lt;&gt;"Chi"),"",IFERROR(INDEX('Danh mục'!$C$39:$C$78,MATCH(D379,'Danh mục'!$A$39:$A$78,0))&amp;"",""))</f>
      </c>
      <c r="H379" s="11"/>
      <c r="I379" s="20"/>
      <c r="J379" s="11"/>
      <c r="K379" s="11"/>
      <c r="L379" s="11"/>
    </row>
    <row r="380" spans="1:12" x14ac:dyDescent="0.3">
      <c r="A380" s="31"/>
      <c r="B380" s="32">
        <f>IF(A380="","",DATE(YEAR(A380),MONTH(A380),1))</f>
      </c>
      <c r="C380" s="11"/>
      <c r="D380" s="11"/>
      <c r="E380" s="16">
        <f>IF(OR(D380="",C380&lt;&gt;"Chi"),"",IFERROR(INDEX('Danh mục'!$B$39:$B$78,MATCH(D380,'Danh mục'!$A$39:$A$78,0))&amp;"","?"))</f>
      </c>
      <c r="F380" s="16">
        <f>IF(D380="","",IF(C380="Thu",IFERROR(INDEX('Danh mục'!$B$26:$B$35,MATCH(D380,'Danh mục'!$A$26:$A$35,0))&amp;"","?"),IFERROR(INDEX('Danh mục'!$D$39:$D$78,MATCH(D380,'Danh mục'!$A$39:$A$78,0))&amp;"","?")))</f>
      </c>
      <c r="G380" s="16">
        <f>IF(OR(D380="",C380&lt;&gt;"Chi"),"",IFERROR(INDEX('Danh mục'!$C$39:$C$78,MATCH(D380,'Danh mục'!$A$39:$A$78,0))&amp;"",""))</f>
      </c>
      <c r="H380" s="11"/>
      <c r="I380" s="20"/>
      <c r="J380" s="11"/>
      <c r="K380" s="11"/>
      <c r="L380" s="11"/>
    </row>
    <row r="381" spans="1:12" x14ac:dyDescent="0.3">
      <c r="A381" s="31"/>
      <c r="B381" s="32">
        <f>IF(A381="","",DATE(YEAR(A381),MONTH(A381),1))</f>
      </c>
      <c r="C381" s="11"/>
      <c r="D381" s="11"/>
      <c r="E381" s="16">
        <f>IF(OR(D381="",C381&lt;&gt;"Chi"),"",IFERROR(INDEX('Danh mục'!$B$39:$B$78,MATCH(D381,'Danh mục'!$A$39:$A$78,0))&amp;"","?"))</f>
      </c>
      <c r="F381" s="16">
        <f>IF(D381="","",IF(C381="Thu",IFERROR(INDEX('Danh mục'!$B$26:$B$35,MATCH(D381,'Danh mục'!$A$26:$A$35,0))&amp;"","?"),IFERROR(INDEX('Danh mục'!$D$39:$D$78,MATCH(D381,'Danh mục'!$A$39:$A$78,0))&amp;"","?")))</f>
      </c>
      <c r="G381" s="16">
        <f>IF(OR(D381="",C381&lt;&gt;"Chi"),"",IFERROR(INDEX('Danh mục'!$C$39:$C$78,MATCH(D381,'Danh mục'!$A$39:$A$78,0))&amp;"",""))</f>
      </c>
      <c r="H381" s="11"/>
      <c r="I381" s="20"/>
      <c r="J381" s="11"/>
      <c r="K381" s="11"/>
      <c r="L381" s="11"/>
    </row>
    <row r="382" spans="1:12" x14ac:dyDescent="0.3">
      <c r="A382" s="31"/>
      <c r="B382" s="32">
        <f>IF(A382="","",DATE(YEAR(A382),MONTH(A382),1))</f>
      </c>
      <c r="C382" s="11"/>
      <c r="D382" s="11"/>
      <c r="E382" s="16">
        <f>IF(OR(D382="",C382&lt;&gt;"Chi"),"",IFERROR(INDEX('Danh mục'!$B$39:$B$78,MATCH(D382,'Danh mục'!$A$39:$A$78,0))&amp;"","?"))</f>
      </c>
      <c r="F382" s="16">
        <f>IF(D382="","",IF(C382="Thu",IFERROR(INDEX('Danh mục'!$B$26:$B$35,MATCH(D382,'Danh mục'!$A$26:$A$35,0))&amp;"","?"),IFERROR(INDEX('Danh mục'!$D$39:$D$78,MATCH(D382,'Danh mục'!$A$39:$A$78,0))&amp;"","?")))</f>
      </c>
      <c r="G382" s="16">
        <f>IF(OR(D382="",C382&lt;&gt;"Chi"),"",IFERROR(INDEX('Danh mục'!$C$39:$C$78,MATCH(D382,'Danh mục'!$A$39:$A$78,0))&amp;"",""))</f>
      </c>
      <c r="H382" s="11"/>
      <c r="I382" s="20"/>
      <c r="J382" s="11"/>
      <c r="K382" s="11"/>
      <c r="L382" s="11"/>
    </row>
    <row r="383" spans="1:12" x14ac:dyDescent="0.3">
      <c r="A383" s="31"/>
      <c r="B383" s="32">
        <f>IF(A383="","",DATE(YEAR(A383),MONTH(A383),1))</f>
      </c>
      <c r="C383" s="11"/>
      <c r="D383" s="11"/>
      <c r="E383" s="16">
        <f>IF(OR(D383="",C383&lt;&gt;"Chi"),"",IFERROR(INDEX('Danh mục'!$B$39:$B$78,MATCH(D383,'Danh mục'!$A$39:$A$78,0))&amp;"","?"))</f>
      </c>
      <c r="F383" s="16">
        <f>IF(D383="","",IF(C383="Thu",IFERROR(INDEX('Danh mục'!$B$26:$B$35,MATCH(D383,'Danh mục'!$A$26:$A$35,0))&amp;"","?"),IFERROR(INDEX('Danh mục'!$D$39:$D$78,MATCH(D383,'Danh mục'!$A$39:$A$78,0))&amp;"","?")))</f>
      </c>
      <c r="G383" s="16">
        <f>IF(OR(D383="",C383&lt;&gt;"Chi"),"",IFERROR(INDEX('Danh mục'!$C$39:$C$78,MATCH(D383,'Danh mục'!$A$39:$A$78,0))&amp;"",""))</f>
      </c>
      <c r="H383" s="11"/>
      <c r="I383" s="20"/>
      <c r="J383" s="11"/>
      <c r="K383" s="11"/>
      <c r="L383" s="11"/>
    </row>
    <row r="384" spans="1:12" x14ac:dyDescent="0.3">
      <c r="A384" s="31"/>
      <c r="B384" s="32">
        <f>IF(A384="","",DATE(YEAR(A384),MONTH(A384),1))</f>
      </c>
      <c r="C384" s="11"/>
      <c r="D384" s="11"/>
      <c r="E384" s="16">
        <f>IF(OR(D384="",C384&lt;&gt;"Chi"),"",IFERROR(INDEX('Danh mục'!$B$39:$B$78,MATCH(D384,'Danh mục'!$A$39:$A$78,0))&amp;"","?"))</f>
      </c>
      <c r="F384" s="16">
        <f>IF(D384="","",IF(C384="Thu",IFERROR(INDEX('Danh mục'!$B$26:$B$35,MATCH(D384,'Danh mục'!$A$26:$A$35,0))&amp;"","?"),IFERROR(INDEX('Danh mục'!$D$39:$D$78,MATCH(D384,'Danh mục'!$A$39:$A$78,0))&amp;"","?")))</f>
      </c>
      <c r="G384" s="16">
        <f>IF(OR(D384="",C384&lt;&gt;"Chi"),"",IFERROR(INDEX('Danh mục'!$C$39:$C$78,MATCH(D384,'Danh mục'!$A$39:$A$78,0))&amp;"",""))</f>
      </c>
      <c r="H384" s="11"/>
      <c r="I384" s="20"/>
      <c r="J384" s="11"/>
      <c r="K384" s="11"/>
      <c r="L384" s="11"/>
    </row>
    <row r="385" spans="1:12" x14ac:dyDescent="0.3">
      <c r="A385" s="31"/>
      <c r="B385" s="32">
        <f>IF(A385="","",DATE(YEAR(A385),MONTH(A385),1))</f>
      </c>
      <c r="C385" s="11"/>
      <c r="D385" s="11"/>
      <c r="E385" s="16">
        <f>IF(OR(D385="",C385&lt;&gt;"Chi"),"",IFERROR(INDEX('Danh mục'!$B$39:$B$78,MATCH(D385,'Danh mục'!$A$39:$A$78,0))&amp;"","?"))</f>
      </c>
      <c r="F385" s="16">
        <f>IF(D385="","",IF(C385="Thu",IFERROR(INDEX('Danh mục'!$B$26:$B$35,MATCH(D385,'Danh mục'!$A$26:$A$35,0))&amp;"","?"),IFERROR(INDEX('Danh mục'!$D$39:$D$78,MATCH(D385,'Danh mục'!$A$39:$A$78,0))&amp;"","?")))</f>
      </c>
      <c r="G385" s="16">
        <f>IF(OR(D385="",C385&lt;&gt;"Chi"),"",IFERROR(INDEX('Danh mục'!$C$39:$C$78,MATCH(D385,'Danh mục'!$A$39:$A$78,0))&amp;"",""))</f>
      </c>
      <c r="H385" s="11"/>
      <c r="I385" s="20"/>
      <c r="J385" s="11"/>
      <c r="K385" s="11"/>
      <c r="L385" s="11"/>
    </row>
    <row r="386" spans="1:12" x14ac:dyDescent="0.3">
      <c r="A386" s="31"/>
      <c r="B386" s="32">
        <f>IF(A386="","",DATE(YEAR(A386),MONTH(A386),1))</f>
      </c>
      <c r="C386" s="11"/>
      <c r="D386" s="11"/>
      <c r="E386" s="16">
        <f>IF(OR(D386="",C386&lt;&gt;"Chi"),"",IFERROR(INDEX('Danh mục'!$B$39:$B$78,MATCH(D386,'Danh mục'!$A$39:$A$78,0))&amp;"","?"))</f>
      </c>
      <c r="F386" s="16">
        <f>IF(D386="","",IF(C386="Thu",IFERROR(INDEX('Danh mục'!$B$26:$B$35,MATCH(D386,'Danh mục'!$A$26:$A$35,0))&amp;"","?"),IFERROR(INDEX('Danh mục'!$D$39:$D$78,MATCH(D386,'Danh mục'!$A$39:$A$78,0))&amp;"","?")))</f>
      </c>
      <c r="G386" s="16">
        <f>IF(OR(D386="",C386&lt;&gt;"Chi"),"",IFERROR(INDEX('Danh mục'!$C$39:$C$78,MATCH(D386,'Danh mục'!$A$39:$A$78,0))&amp;"",""))</f>
      </c>
      <c r="H386" s="11"/>
      <c r="I386" s="20"/>
      <c r="J386" s="11"/>
      <c r="K386" s="11"/>
      <c r="L386" s="11"/>
    </row>
    <row r="387" spans="1:12" x14ac:dyDescent="0.3">
      <c r="A387" s="31"/>
      <c r="B387" s="32">
        <f>IF(A387="","",DATE(YEAR(A387),MONTH(A387),1))</f>
      </c>
      <c r="C387" s="11"/>
      <c r="D387" s="11"/>
      <c r="E387" s="16">
        <f>IF(OR(D387="",C387&lt;&gt;"Chi"),"",IFERROR(INDEX('Danh mục'!$B$39:$B$78,MATCH(D387,'Danh mục'!$A$39:$A$78,0))&amp;"","?"))</f>
      </c>
      <c r="F387" s="16">
        <f>IF(D387="","",IF(C387="Thu",IFERROR(INDEX('Danh mục'!$B$26:$B$35,MATCH(D387,'Danh mục'!$A$26:$A$35,0))&amp;"","?"),IFERROR(INDEX('Danh mục'!$D$39:$D$78,MATCH(D387,'Danh mục'!$A$39:$A$78,0))&amp;"","?")))</f>
      </c>
      <c r="G387" s="16">
        <f>IF(OR(D387="",C387&lt;&gt;"Chi"),"",IFERROR(INDEX('Danh mục'!$C$39:$C$78,MATCH(D387,'Danh mục'!$A$39:$A$78,0))&amp;"",""))</f>
      </c>
      <c r="H387" s="11"/>
      <c r="I387" s="20"/>
      <c r="J387" s="11"/>
      <c r="K387" s="11"/>
      <c r="L387" s="11"/>
    </row>
    <row r="388" spans="1:12" x14ac:dyDescent="0.3">
      <c r="A388" s="31"/>
      <c r="B388" s="32">
        <f>IF(A388="","",DATE(YEAR(A388),MONTH(A388),1))</f>
      </c>
      <c r="C388" s="11"/>
      <c r="D388" s="11"/>
      <c r="E388" s="16">
        <f>IF(OR(D388="",C388&lt;&gt;"Chi"),"",IFERROR(INDEX('Danh mục'!$B$39:$B$78,MATCH(D388,'Danh mục'!$A$39:$A$78,0))&amp;"","?"))</f>
      </c>
      <c r="F388" s="16">
        <f>IF(D388="","",IF(C388="Thu",IFERROR(INDEX('Danh mục'!$B$26:$B$35,MATCH(D388,'Danh mục'!$A$26:$A$35,0))&amp;"","?"),IFERROR(INDEX('Danh mục'!$D$39:$D$78,MATCH(D388,'Danh mục'!$A$39:$A$78,0))&amp;"","?")))</f>
      </c>
      <c r="G388" s="16">
        <f>IF(OR(D388="",C388&lt;&gt;"Chi"),"",IFERROR(INDEX('Danh mục'!$C$39:$C$78,MATCH(D388,'Danh mục'!$A$39:$A$78,0))&amp;"",""))</f>
      </c>
      <c r="H388" s="11"/>
      <c r="I388" s="20"/>
      <c r="J388" s="11"/>
      <c r="K388" s="11"/>
      <c r="L388" s="11"/>
    </row>
    <row r="389" spans="1:12" x14ac:dyDescent="0.3">
      <c r="A389" s="31"/>
      <c r="B389" s="32">
        <f>IF(A389="","",DATE(YEAR(A389),MONTH(A389),1))</f>
      </c>
      <c r="C389" s="11"/>
      <c r="D389" s="11"/>
      <c r="E389" s="16">
        <f>IF(OR(D389="",C389&lt;&gt;"Chi"),"",IFERROR(INDEX('Danh mục'!$B$39:$B$78,MATCH(D389,'Danh mục'!$A$39:$A$78,0))&amp;"","?"))</f>
      </c>
      <c r="F389" s="16">
        <f>IF(D389="","",IF(C389="Thu",IFERROR(INDEX('Danh mục'!$B$26:$B$35,MATCH(D389,'Danh mục'!$A$26:$A$35,0))&amp;"","?"),IFERROR(INDEX('Danh mục'!$D$39:$D$78,MATCH(D389,'Danh mục'!$A$39:$A$78,0))&amp;"","?")))</f>
      </c>
      <c r="G389" s="16">
        <f>IF(OR(D389="",C389&lt;&gt;"Chi"),"",IFERROR(INDEX('Danh mục'!$C$39:$C$78,MATCH(D389,'Danh mục'!$A$39:$A$78,0))&amp;"",""))</f>
      </c>
      <c r="H389" s="11"/>
      <c r="I389" s="20"/>
      <c r="J389" s="11"/>
      <c r="K389" s="11"/>
      <c r="L389" s="11"/>
    </row>
    <row r="390" spans="1:12" x14ac:dyDescent="0.3">
      <c r="A390" s="31"/>
      <c r="B390" s="32">
        <f>IF(A390="","",DATE(YEAR(A390),MONTH(A390),1))</f>
      </c>
      <c r="C390" s="11"/>
      <c r="D390" s="11"/>
      <c r="E390" s="16">
        <f>IF(OR(D390="",C390&lt;&gt;"Chi"),"",IFERROR(INDEX('Danh mục'!$B$39:$B$78,MATCH(D390,'Danh mục'!$A$39:$A$78,0))&amp;"","?"))</f>
      </c>
      <c r="F390" s="16">
        <f>IF(D390="","",IF(C390="Thu",IFERROR(INDEX('Danh mục'!$B$26:$B$35,MATCH(D390,'Danh mục'!$A$26:$A$35,0))&amp;"","?"),IFERROR(INDEX('Danh mục'!$D$39:$D$78,MATCH(D390,'Danh mục'!$A$39:$A$78,0))&amp;"","?")))</f>
      </c>
      <c r="G390" s="16">
        <f>IF(OR(D390="",C390&lt;&gt;"Chi"),"",IFERROR(INDEX('Danh mục'!$C$39:$C$78,MATCH(D390,'Danh mục'!$A$39:$A$78,0))&amp;"",""))</f>
      </c>
      <c r="H390" s="11"/>
      <c r="I390" s="20"/>
      <c r="J390" s="11"/>
      <c r="K390" s="11"/>
      <c r="L390" s="11"/>
    </row>
    <row r="391" spans="1:12" x14ac:dyDescent="0.3">
      <c r="A391" s="31"/>
      <c r="B391" s="32">
        <f>IF(A391="","",DATE(YEAR(A391),MONTH(A391),1))</f>
      </c>
      <c r="C391" s="11"/>
      <c r="D391" s="11"/>
      <c r="E391" s="16">
        <f>IF(OR(D391="",C391&lt;&gt;"Chi"),"",IFERROR(INDEX('Danh mục'!$B$39:$B$78,MATCH(D391,'Danh mục'!$A$39:$A$78,0))&amp;"","?"))</f>
      </c>
      <c r="F391" s="16">
        <f>IF(D391="","",IF(C391="Thu",IFERROR(INDEX('Danh mục'!$B$26:$B$35,MATCH(D391,'Danh mục'!$A$26:$A$35,0))&amp;"","?"),IFERROR(INDEX('Danh mục'!$D$39:$D$78,MATCH(D391,'Danh mục'!$A$39:$A$78,0))&amp;"","?")))</f>
      </c>
      <c r="G391" s="16">
        <f>IF(OR(D391="",C391&lt;&gt;"Chi"),"",IFERROR(INDEX('Danh mục'!$C$39:$C$78,MATCH(D391,'Danh mục'!$A$39:$A$78,0))&amp;"",""))</f>
      </c>
      <c r="H391" s="11"/>
      <c r="I391" s="20"/>
      <c r="J391" s="11"/>
      <c r="K391" s="11"/>
      <c r="L391" s="11"/>
    </row>
    <row r="392" spans="1:12" x14ac:dyDescent="0.3">
      <c r="A392" s="31"/>
      <c r="B392" s="32">
        <f>IF(A392="","",DATE(YEAR(A392),MONTH(A392),1))</f>
      </c>
      <c r="C392" s="11"/>
      <c r="D392" s="11"/>
      <c r="E392" s="16">
        <f>IF(OR(D392="",C392&lt;&gt;"Chi"),"",IFERROR(INDEX('Danh mục'!$B$39:$B$78,MATCH(D392,'Danh mục'!$A$39:$A$78,0))&amp;"","?"))</f>
      </c>
      <c r="F392" s="16">
        <f>IF(D392="","",IF(C392="Thu",IFERROR(INDEX('Danh mục'!$B$26:$B$35,MATCH(D392,'Danh mục'!$A$26:$A$35,0))&amp;"","?"),IFERROR(INDEX('Danh mục'!$D$39:$D$78,MATCH(D392,'Danh mục'!$A$39:$A$78,0))&amp;"","?")))</f>
      </c>
      <c r="G392" s="16">
        <f>IF(OR(D392="",C392&lt;&gt;"Chi"),"",IFERROR(INDEX('Danh mục'!$C$39:$C$78,MATCH(D392,'Danh mục'!$A$39:$A$78,0))&amp;"",""))</f>
      </c>
      <c r="H392" s="11"/>
      <c r="I392" s="20"/>
      <c r="J392" s="11"/>
      <c r="K392" s="11"/>
      <c r="L392" s="11"/>
    </row>
    <row r="393" spans="1:12" x14ac:dyDescent="0.3">
      <c r="A393" s="31"/>
      <c r="B393" s="32">
        <f>IF(A393="","",DATE(YEAR(A393),MONTH(A393),1))</f>
      </c>
      <c r="C393" s="11"/>
      <c r="D393" s="11"/>
      <c r="E393" s="16">
        <f>IF(OR(D393="",C393&lt;&gt;"Chi"),"",IFERROR(INDEX('Danh mục'!$B$39:$B$78,MATCH(D393,'Danh mục'!$A$39:$A$78,0))&amp;"","?"))</f>
      </c>
      <c r="F393" s="16">
        <f>IF(D393="","",IF(C393="Thu",IFERROR(INDEX('Danh mục'!$B$26:$B$35,MATCH(D393,'Danh mục'!$A$26:$A$35,0))&amp;"","?"),IFERROR(INDEX('Danh mục'!$D$39:$D$78,MATCH(D393,'Danh mục'!$A$39:$A$78,0))&amp;"","?")))</f>
      </c>
      <c r="G393" s="16">
        <f>IF(OR(D393="",C393&lt;&gt;"Chi"),"",IFERROR(INDEX('Danh mục'!$C$39:$C$78,MATCH(D393,'Danh mục'!$A$39:$A$78,0))&amp;"",""))</f>
      </c>
      <c r="H393" s="11"/>
      <c r="I393" s="20"/>
      <c r="J393" s="11"/>
      <c r="K393" s="11"/>
      <c r="L393" s="11"/>
    </row>
    <row r="394" spans="1:12" x14ac:dyDescent="0.3">
      <c r="A394" s="31"/>
      <c r="B394" s="32">
        <f>IF(A394="","",DATE(YEAR(A394),MONTH(A394),1))</f>
      </c>
      <c r="C394" s="11"/>
      <c r="D394" s="11"/>
      <c r="E394" s="16">
        <f>IF(OR(D394="",C394&lt;&gt;"Chi"),"",IFERROR(INDEX('Danh mục'!$B$39:$B$78,MATCH(D394,'Danh mục'!$A$39:$A$78,0))&amp;"","?"))</f>
      </c>
      <c r="F394" s="16">
        <f>IF(D394="","",IF(C394="Thu",IFERROR(INDEX('Danh mục'!$B$26:$B$35,MATCH(D394,'Danh mục'!$A$26:$A$35,0))&amp;"","?"),IFERROR(INDEX('Danh mục'!$D$39:$D$78,MATCH(D394,'Danh mục'!$A$39:$A$78,0))&amp;"","?")))</f>
      </c>
      <c r="G394" s="16">
        <f>IF(OR(D394="",C394&lt;&gt;"Chi"),"",IFERROR(INDEX('Danh mục'!$C$39:$C$78,MATCH(D394,'Danh mục'!$A$39:$A$78,0))&amp;"",""))</f>
      </c>
      <c r="H394" s="11"/>
      <c r="I394" s="20"/>
      <c r="J394" s="11"/>
      <c r="K394" s="11"/>
      <c r="L394" s="11"/>
    </row>
    <row r="395" spans="1:12" x14ac:dyDescent="0.3">
      <c r="A395" s="31"/>
      <c r="B395" s="32">
        <f>IF(A395="","",DATE(YEAR(A395),MONTH(A395),1))</f>
      </c>
      <c r="C395" s="11"/>
      <c r="D395" s="11"/>
      <c r="E395" s="16">
        <f>IF(OR(D395="",C395&lt;&gt;"Chi"),"",IFERROR(INDEX('Danh mục'!$B$39:$B$78,MATCH(D395,'Danh mục'!$A$39:$A$78,0))&amp;"","?"))</f>
      </c>
      <c r="F395" s="16">
        <f>IF(D395="","",IF(C395="Thu",IFERROR(INDEX('Danh mục'!$B$26:$B$35,MATCH(D395,'Danh mục'!$A$26:$A$35,0))&amp;"","?"),IFERROR(INDEX('Danh mục'!$D$39:$D$78,MATCH(D395,'Danh mục'!$A$39:$A$78,0))&amp;"","?")))</f>
      </c>
      <c r="G395" s="16">
        <f>IF(OR(D395="",C395&lt;&gt;"Chi"),"",IFERROR(INDEX('Danh mục'!$C$39:$C$78,MATCH(D395,'Danh mục'!$A$39:$A$78,0))&amp;"",""))</f>
      </c>
      <c r="H395" s="11"/>
      <c r="I395" s="20"/>
      <c r="J395" s="11"/>
      <c r="K395" s="11"/>
      <c r="L395" s="11"/>
    </row>
    <row r="396" spans="1:12" x14ac:dyDescent="0.3">
      <c r="A396" s="31"/>
      <c r="B396" s="32">
        <f>IF(A396="","",DATE(YEAR(A396),MONTH(A396),1))</f>
      </c>
      <c r="C396" s="11"/>
      <c r="D396" s="11"/>
      <c r="E396" s="16">
        <f>IF(OR(D396="",C396&lt;&gt;"Chi"),"",IFERROR(INDEX('Danh mục'!$B$39:$B$78,MATCH(D396,'Danh mục'!$A$39:$A$78,0))&amp;"","?"))</f>
      </c>
      <c r="F396" s="16">
        <f>IF(D396="","",IF(C396="Thu",IFERROR(INDEX('Danh mục'!$B$26:$B$35,MATCH(D396,'Danh mục'!$A$26:$A$35,0))&amp;"","?"),IFERROR(INDEX('Danh mục'!$D$39:$D$78,MATCH(D396,'Danh mục'!$A$39:$A$78,0))&amp;"","?")))</f>
      </c>
      <c r="G396" s="16">
        <f>IF(OR(D396="",C396&lt;&gt;"Chi"),"",IFERROR(INDEX('Danh mục'!$C$39:$C$78,MATCH(D396,'Danh mục'!$A$39:$A$78,0))&amp;"",""))</f>
      </c>
      <c r="H396" s="11"/>
      <c r="I396" s="20"/>
      <c r="J396" s="11"/>
      <c r="K396" s="11"/>
      <c r="L396" s="11"/>
    </row>
    <row r="397" spans="1:12" x14ac:dyDescent="0.3">
      <c r="A397" s="31"/>
      <c r="B397" s="32">
        <f>IF(A397="","",DATE(YEAR(A397),MONTH(A397),1))</f>
      </c>
      <c r="C397" s="11"/>
      <c r="D397" s="11"/>
      <c r="E397" s="16">
        <f>IF(OR(D397="",C397&lt;&gt;"Chi"),"",IFERROR(INDEX('Danh mục'!$B$39:$B$78,MATCH(D397,'Danh mục'!$A$39:$A$78,0))&amp;"","?"))</f>
      </c>
      <c r="F397" s="16">
        <f>IF(D397="","",IF(C397="Thu",IFERROR(INDEX('Danh mục'!$B$26:$B$35,MATCH(D397,'Danh mục'!$A$26:$A$35,0))&amp;"","?"),IFERROR(INDEX('Danh mục'!$D$39:$D$78,MATCH(D397,'Danh mục'!$A$39:$A$78,0))&amp;"","?")))</f>
      </c>
      <c r="G397" s="16">
        <f>IF(OR(D397="",C397&lt;&gt;"Chi"),"",IFERROR(INDEX('Danh mục'!$C$39:$C$78,MATCH(D397,'Danh mục'!$A$39:$A$78,0))&amp;"",""))</f>
      </c>
      <c r="H397" s="11"/>
      <c r="I397" s="20"/>
      <c r="J397" s="11"/>
      <c r="K397" s="11"/>
      <c r="L397" s="11"/>
    </row>
    <row r="398" spans="1:12" x14ac:dyDescent="0.3">
      <c r="A398" s="31"/>
      <c r="B398" s="32">
        <f>IF(A398="","",DATE(YEAR(A398),MONTH(A398),1))</f>
      </c>
      <c r="C398" s="11"/>
      <c r="D398" s="11"/>
      <c r="E398" s="16">
        <f>IF(OR(D398="",C398&lt;&gt;"Chi"),"",IFERROR(INDEX('Danh mục'!$B$39:$B$78,MATCH(D398,'Danh mục'!$A$39:$A$78,0))&amp;"","?"))</f>
      </c>
      <c r="F398" s="16">
        <f>IF(D398="","",IF(C398="Thu",IFERROR(INDEX('Danh mục'!$B$26:$B$35,MATCH(D398,'Danh mục'!$A$26:$A$35,0))&amp;"","?"),IFERROR(INDEX('Danh mục'!$D$39:$D$78,MATCH(D398,'Danh mục'!$A$39:$A$78,0))&amp;"","?")))</f>
      </c>
      <c r="G398" s="16">
        <f>IF(OR(D398="",C398&lt;&gt;"Chi"),"",IFERROR(INDEX('Danh mục'!$C$39:$C$78,MATCH(D398,'Danh mục'!$A$39:$A$78,0))&amp;"",""))</f>
      </c>
      <c r="H398" s="11"/>
      <c r="I398" s="20"/>
      <c r="J398" s="11"/>
      <c r="K398" s="11"/>
      <c r="L398" s="11"/>
    </row>
    <row r="399" spans="1:12" x14ac:dyDescent="0.3">
      <c r="A399" s="31"/>
      <c r="B399" s="32">
        <f>IF(A399="","",DATE(YEAR(A399),MONTH(A399),1))</f>
      </c>
      <c r="C399" s="11"/>
      <c r="D399" s="11"/>
      <c r="E399" s="16">
        <f>IF(OR(D399="",C399&lt;&gt;"Chi"),"",IFERROR(INDEX('Danh mục'!$B$39:$B$78,MATCH(D399,'Danh mục'!$A$39:$A$78,0))&amp;"","?"))</f>
      </c>
      <c r="F399" s="16">
        <f>IF(D399="","",IF(C399="Thu",IFERROR(INDEX('Danh mục'!$B$26:$B$35,MATCH(D399,'Danh mục'!$A$26:$A$35,0))&amp;"","?"),IFERROR(INDEX('Danh mục'!$D$39:$D$78,MATCH(D399,'Danh mục'!$A$39:$A$78,0))&amp;"","?")))</f>
      </c>
      <c r="G399" s="16">
        <f>IF(OR(D399="",C399&lt;&gt;"Chi"),"",IFERROR(INDEX('Danh mục'!$C$39:$C$78,MATCH(D399,'Danh mục'!$A$39:$A$78,0))&amp;"",""))</f>
      </c>
      <c r="H399" s="11"/>
      <c r="I399" s="20"/>
      <c r="J399" s="11"/>
      <c r="K399" s="11"/>
      <c r="L399" s="11"/>
    </row>
    <row r="400" spans="1:12" x14ac:dyDescent="0.3">
      <c r="A400" s="31"/>
      <c r="B400" s="32">
        <f>IF(A400="","",DATE(YEAR(A400),MONTH(A400),1))</f>
      </c>
      <c r="C400" s="11"/>
      <c r="D400" s="11"/>
      <c r="E400" s="16">
        <f>IF(OR(D400="",C400&lt;&gt;"Chi"),"",IFERROR(INDEX('Danh mục'!$B$39:$B$78,MATCH(D400,'Danh mục'!$A$39:$A$78,0))&amp;"","?"))</f>
      </c>
      <c r="F400" s="16">
        <f>IF(D400="","",IF(C400="Thu",IFERROR(INDEX('Danh mục'!$B$26:$B$35,MATCH(D400,'Danh mục'!$A$26:$A$35,0))&amp;"","?"),IFERROR(INDEX('Danh mục'!$D$39:$D$78,MATCH(D400,'Danh mục'!$A$39:$A$78,0))&amp;"","?")))</f>
      </c>
      <c r="G400" s="16">
        <f>IF(OR(D400="",C400&lt;&gt;"Chi"),"",IFERROR(INDEX('Danh mục'!$C$39:$C$78,MATCH(D400,'Danh mục'!$A$39:$A$78,0))&amp;"",""))</f>
      </c>
      <c r="H400" s="11"/>
      <c r="I400" s="20"/>
      <c r="J400" s="11"/>
      <c r="K400" s="11"/>
      <c r="L400" s="11"/>
    </row>
    <row r="401" spans="1:12" x14ac:dyDescent="0.3">
      <c r="A401" s="31"/>
      <c r="B401" s="32">
        <f>IF(A401="","",DATE(YEAR(A401),MONTH(A401),1))</f>
      </c>
      <c r="C401" s="11"/>
      <c r="D401" s="11"/>
      <c r="E401" s="16">
        <f>IF(OR(D401="",C401&lt;&gt;"Chi"),"",IFERROR(INDEX('Danh mục'!$B$39:$B$78,MATCH(D401,'Danh mục'!$A$39:$A$78,0))&amp;"","?"))</f>
      </c>
      <c r="F401" s="16">
        <f>IF(D401="","",IF(C401="Thu",IFERROR(INDEX('Danh mục'!$B$26:$B$35,MATCH(D401,'Danh mục'!$A$26:$A$35,0))&amp;"","?"),IFERROR(INDEX('Danh mục'!$D$39:$D$78,MATCH(D401,'Danh mục'!$A$39:$A$78,0))&amp;"","?")))</f>
      </c>
      <c r="G401" s="16">
        <f>IF(OR(D401="",C401&lt;&gt;"Chi"),"",IFERROR(INDEX('Danh mục'!$C$39:$C$78,MATCH(D401,'Danh mục'!$A$39:$A$78,0))&amp;"",""))</f>
      </c>
      <c r="H401" s="11"/>
      <c r="I401" s="20"/>
      <c r="J401" s="11"/>
      <c r="K401" s="11"/>
      <c r="L401" s="11"/>
    </row>
    <row r="402" spans="1:12" x14ac:dyDescent="0.3">
      <c r="A402" s="31"/>
      <c r="B402" s="32">
        <f>IF(A402="","",DATE(YEAR(A402),MONTH(A402),1))</f>
      </c>
      <c r="C402" s="11"/>
      <c r="D402" s="11"/>
      <c r="E402" s="16">
        <f>IF(OR(D402="",C402&lt;&gt;"Chi"),"",IFERROR(INDEX('Danh mục'!$B$39:$B$78,MATCH(D402,'Danh mục'!$A$39:$A$78,0))&amp;"","?"))</f>
      </c>
      <c r="F402" s="16">
        <f>IF(D402="","",IF(C402="Thu",IFERROR(INDEX('Danh mục'!$B$26:$B$35,MATCH(D402,'Danh mục'!$A$26:$A$35,0))&amp;"","?"),IFERROR(INDEX('Danh mục'!$D$39:$D$78,MATCH(D402,'Danh mục'!$A$39:$A$78,0))&amp;"","?")))</f>
      </c>
      <c r="G402" s="16">
        <f>IF(OR(D402="",C402&lt;&gt;"Chi"),"",IFERROR(INDEX('Danh mục'!$C$39:$C$78,MATCH(D402,'Danh mục'!$A$39:$A$78,0))&amp;"",""))</f>
      </c>
      <c r="H402" s="11"/>
      <c r="I402" s="20"/>
      <c r="J402" s="11"/>
      <c r="K402" s="11"/>
      <c r="L402" s="11"/>
    </row>
    <row r="403" spans="1:12" x14ac:dyDescent="0.3">
      <c r="A403" s="31"/>
      <c r="B403" s="32">
        <f>IF(A403="","",DATE(YEAR(A403),MONTH(A403),1))</f>
      </c>
      <c r="C403" s="11"/>
      <c r="D403" s="11"/>
      <c r="E403" s="16">
        <f>IF(OR(D403="",C403&lt;&gt;"Chi"),"",IFERROR(INDEX('Danh mục'!$B$39:$B$78,MATCH(D403,'Danh mục'!$A$39:$A$78,0))&amp;"","?"))</f>
      </c>
      <c r="F403" s="16">
        <f>IF(D403="","",IF(C403="Thu",IFERROR(INDEX('Danh mục'!$B$26:$B$35,MATCH(D403,'Danh mục'!$A$26:$A$35,0))&amp;"","?"),IFERROR(INDEX('Danh mục'!$D$39:$D$78,MATCH(D403,'Danh mục'!$A$39:$A$78,0))&amp;"","?")))</f>
      </c>
      <c r="G403" s="16">
        <f>IF(OR(D403="",C403&lt;&gt;"Chi"),"",IFERROR(INDEX('Danh mục'!$C$39:$C$78,MATCH(D403,'Danh mục'!$A$39:$A$78,0))&amp;"",""))</f>
      </c>
      <c r="H403" s="11"/>
      <c r="I403" s="20"/>
      <c r="J403" s="11"/>
      <c r="K403" s="11"/>
      <c r="L403" s="11"/>
    </row>
    <row r="404" spans="1:12" x14ac:dyDescent="0.3">
      <c r="A404" s="31"/>
      <c r="B404" s="32">
        <f>IF(A404="","",DATE(YEAR(A404),MONTH(A404),1))</f>
      </c>
      <c r="C404" s="11"/>
      <c r="D404" s="11"/>
      <c r="E404" s="16">
        <f>IF(OR(D404="",C404&lt;&gt;"Chi"),"",IFERROR(INDEX('Danh mục'!$B$39:$B$78,MATCH(D404,'Danh mục'!$A$39:$A$78,0))&amp;"","?"))</f>
      </c>
      <c r="F404" s="16">
        <f>IF(D404="","",IF(C404="Thu",IFERROR(INDEX('Danh mục'!$B$26:$B$35,MATCH(D404,'Danh mục'!$A$26:$A$35,0))&amp;"","?"),IFERROR(INDEX('Danh mục'!$D$39:$D$78,MATCH(D404,'Danh mục'!$A$39:$A$78,0))&amp;"","?")))</f>
      </c>
      <c r="G404" s="16">
        <f>IF(OR(D404="",C404&lt;&gt;"Chi"),"",IFERROR(INDEX('Danh mục'!$C$39:$C$78,MATCH(D404,'Danh mục'!$A$39:$A$78,0))&amp;"",""))</f>
      </c>
      <c r="H404" s="11"/>
      <c r="I404" s="20"/>
      <c r="J404" s="11"/>
      <c r="K404" s="11"/>
      <c r="L404" s="11"/>
    </row>
    <row r="405" spans="1:12" x14ac:dyDescent="0.3">
      <c r="A405" s="31"/>
      <c r="B405" s="32">
        <f>IF(A405="","",DATE(YEAR(A405),MONTH(A405),1))</f>
      </c>
      <c r="C405" s="11"/>
      <c r="D405" s="11"/>
      <c r="E405" s="16">
        <f>IF(OR(D405="",C405&lt;&gt;"Chi"),"",IFERROR(INDEX('Danh mục'!$B$39:$B$78,MATCH(D405,'Danh mục'!$A$39:$A$78,0))&amp;"","?"))</f>
      </c>
      <c r="F405" s="16">
        <f>IF(D405="","",IF(C405="Thu",IFERROR(INDEX('Danh mục'!$B$26:$B$35,MATCH(D405,'Danh mục'!$A$26:$A$35,0))&amp;"","?"),IFERROR(INDEX('Danh mục'!$D$39:$D$78,MATCH(D405,'Danh mục'!$A$39:$A$78,0))&amp;"","?")))</f>
      </c>
      <c r="G405" s="16">
        <f>IF(OR(D405="",C405&lt;&gt;"Chi"),"",IFERROR(INDEX('Danh mục'!$C$39:$C$78,MATCH(D405,'Danh mục'!$A$39:$A$78,0))&amp;"",""))</f>
      </c>
      <c r="H405" s="11"/>
      <c r="I405" s="20"/>
      <c r="J405" s="11"/>
      <c r="K405" s="11"/>
      <c r="L405" s="11"/>
    </row>
    <row r="406" spans="1:12" x14ac:dyDescent="0.3">
      <c r="A406" s="31"/>
      <c r="B406" s="32">
        <f>IF(A406="","",DATE(YEAR(A406),MONTH(A406),1))</f>
      </c>
      <c r="C406" s="11"/>
      <c r="D406" s="11"/>
      <c r="E406" s="16">
        <f>IF(OR(D406="",C406&lt;&gt;"Chi"),"",IFERROR(INDEX('Danh mục'!$B$39:$B$78,MATCH(D406,'Danh mục'!$A$39:$A$78,0))&amp;"","?"))</f>
      </c>
      <c r="F406" s="16">
        <f>IF(D406="","",IF(C406="Thu",IFERROR(INDEX('Danh mục'!$B$26:$B$35,MATCH(D406,'Danh mục'!$A$26:$A$35,0))&amp;"","?"),IFERROR(INDEX('Danh mục'!$D$39:$D$78,MATCH(D406,'Danh mục'!$A$39:$A$78,0))&amp;"","?")))</f>
      </c>
      <c r="G406" s="16">
        <f>IF(OR(D406="",C406&lt;&gt;"Chi"),"",IFERROR(INDEX('Danh mục'!$C$39:$C$78,MATCH(D406,'Danh mục'!$A$39:$A$78,0))&amp;"",""))</f>
      </c>
      <c r="H406" s="11"/>
      <c r="I406" s="20"/>
      <c r="J406" s="11"/>
      <c r="K406" s="11"/>
      <c r="L406" s="11"/>
    </row>
    <row r="407" spans="1:12" x14ac:dyDescent="0.3">
      <c r="A407" s="31"/>
      <c r="B407" s="32">
        <f>IF(A407="","",DATE(YEAR(A407),MONTH(A407),1))</f>
      </c>
      <c r="C407" s="11"/>
      <c r="D407" s="11"/>
      <c r="E407" s="16">
        <f>IF(OR(D407="",C407&lt;&gt;"Chi"),"",IFERROR(INDEX('Danh mục'!$B$39:$B$78,MATCH(D407,'Danh mục'!$A$39:$A$78,0))&amp;"","?"))</f>
      </c>
      <c r="F407" s="16">
        <f>IF(D407="","",IF(C407="Thu",IFERROR(INDEX('Danh mục'!$B$26:$B$35,MATCH(D407,'Danh mục'!$A$26:$A$35,0))&amp;"","?"),IFERROR(INDEX('Danh mục'!$D$39:$D$78,MATCH(D407,'Danh mục'!$A$39:$A$78,0))&amp;"","?")))</f>
      </c>
      <c r="G407" s="16">
        <f>IF(OR(D407="",C407&lt;&gt;"Chi"),"",IFERROR(INDEX('Danh mục'!$C$39:$C$78,MATCH(D407,'Danh mục'!$A$39:$A$78,0))&amp;"",""))</f>
      </c>
      <c r="H407" s="11"/>
      <c r="I407" s="20"/>
      <c r="J407" s="11"/>
      <c r="K407" s="11"/>
      <c r="L407" s="11"/>
    </row>
    <row r="408" spans="1:12" x14ac:dyDescent="0.3">
      <c r="A408" s="31"/>
      <c r="B408" s="32">
        <f>IF(A408="","",DATE(YEAR(A408),MONTH(A408),1))</f>
      </c>
      <c r="C408" s="11"/>
      <c r="D408" s="11"/>
      <c r="E408" s="16">
        <f>IF(OR(D408="",C408&lt;&gt;"Chi"),"",IFERROR(INDEX('Danh mục'!$B$39:$B$78,MATCH(D408,'Danh mục'!$A$39:$A$78,0))&amp;"","?"))</f>
      </c>
      <c r="F408" s="16">
        <f>IF(D408="","",IF(C408="Thu",IFERROR(INDEX('Danh mục'!$B$26:$B$35,MATCH(D408,'Danh mục'!$A$26:$A$35,0))&amp;"","?"),IFERROR(INDEX('Danh mục'!$D$39:$D$78,MATCH(D408,'Danh mục'!$A$39:$A$78,0))&amp;"","?")))</f>
      </c>
      <c r="G408" s="16">
        <f>IF(OR(D408="",C408&lt;&gt;"Chi"),"",IFERROR(INDEX('Danh mục'!$C$39:$C$78,MATCH(D408,'Danh mục'!$A$39:$A$78,0))&amp;"",""))</f>
      </c>
      <c r="H408" s="11"/>
      <c r="I408" s="20"/>
      <c r="J408" s="11"/>
      <c r="K408" s="11"/>
      <c r="L408" s="11"/>
    </row>
    <row r="409" spans="1:12" x14ac:dyDescent="0.3">
      <c r="A409" s="31"/>
      <c r="B409" s="32">
        <f>IF(A409="","",DATE(YEAR(A409),MONTH(A409),1))</f>
      </c>
      <c r="C409" s="11"/>
      <c r="D409" s="11"/>
      <c r="E409" s="16">
        <f>IF(OR(D409="",C409&lt;&gt;"Chi"),"",IFERROR(INDEX('Danh mục'!$B$39:$B$78,MATCH(D409,'Danh mục'!$A$39:$A$78,0))&amp;"","?"))</f>
      </c>
      <c r="F409" s="16">
        <f>IF(D409="","",IF(C409="Thu",IFERROR(INDEX('Danh mục'!$B$26:$B$35,MATCH(D409,'Danh mục'!$A$26:$A$35,0))&amp;"","?"),IFERROR(INDEX('Danh mục'!$D$39:$D$78,MATCH(D409,'Danh mục'!$A$39:$A$78,0))&amp;"","?")))</f>
      </c>
      <c r="G409" s="16">
        <f>IF(OR(D409="",C409&lt;&gt;"Chi"),"",IFERROR(INDEX('Danh mục'!$C$39:$C$78,MATCH(D409,'Danh mục'!$A$39:$A$78,0))&amp;"",""))</f>
      </c>
      <c r="H409" s="11"/>
      <c r="I409" s="20"/>
      <c r="J409" s="11"/>
      <c r="K409" s="11"/>
      <c r="L409" s="11"/>
    </row>
    <row r="410" spans="1:12" x14ac:dyDescent="0.3">
      <c r="A410" s="31"/>
      <c r="B410" s="32">
        <f>IF(A410="","",DATE(YEAR(A410),MONTH(A410),1))</f>
      </c>
      <c r="C410" s="11"/>
      <c r="D410" s="11"/>
      <c r="E410" s="16">
        <f>IF(OR(D410="",C410&lt;&gt;"Chi"),"",IFERROR(INDEX('Danh mục'!$B$39:$B$78,MATCH(D410,'Danh mục'!$A$39:$A$78,0))&amp;"","?"))</f>
      </c>
      <c r="F410" s="16">
        <f>IF(D410="","",IF(C410="Thu",IFERROR(INDEX('Danh mục'!$B$26:$B$35,MATCH(D410,'Danh mục'!$A$26:$A$35,0))&amp;"","?"),IFERROR(INDEX('Danh mục'!$D$39:$D$78,MATCH(D410,'Danh mục'!$A$39:$A$78,0))&amp;"","?")))</f>
      </c>
      <c r="G410" s="16">
        <f>IF(OR(D410="",C410&lt;&gt;"Chi"),"",IFERROR(INDEX('Danh mục'!$C$39:$C$78,MATCH(D410,'Danh mục'!$A$39:$A$78,0))&amp;"",""))</f>
      </c>
      <c r="H410" s="11"/>
      <c r="I410" s="20"/>
      <c r="J410" s="11"/>
      <c r="K410" s="11"/>
      <c r="L410" s="11"/>
    </row>
    <row r="411" spans="1:12" x14ac:dyDescent="0.3">
      <c r="A411" s="31"/>
      <c r="B411" s="32">
        <f>IF(A411="","",DATE(YEAR(A411),MONTH(A411),1))</f>
      </c>
      <c r="C411" s="11"/>
      <c r="D411" s="11"/>
      <c r="E411" s="16">
        <f>IF(OR(D411="",C411&lt;&gt;"Chi"),"",IFERROR(INDEX('Danh mục'!$B$39:$B$78,MATCH(D411,'Danh mục'!$A$39:$A$78,0))&amp;"","?"))</f>
      </c>
      <c r="F411" s="16">
        <f>IF(D411="","",IF(C411="Thu",IFERROR(INDEX('Danh mục'!$B$26:$B$35,MATCH(D411,'Danh mục'!$A$26:$A$35,0))&amp;"","?"),IFERROR(INDEX('Danh mục'!$D$39:$D$78,MATCH(D411,'Danh mục'!$A$39:$A$78,0))&amp;"","?")))</f>
      </c>
      <c r="G411" s="16">
        <f>IF(OR(D411="",C411&lt;&gt;"Chi"),"",IFERROR(INDEX('Danh mục'!$C$39:$C$78,MATCH(D411,'Danh mục'!$A$39:$A$78,0))&amp;"",""))</f>
      </c>
      <c r="H411" s="11"/>
      <c r="I411" s="20"/>
      <c r="J411" s="11"/>
      <c r="K411" s="11"/>
      <c r="L411" s="11"/>
    </row>
    <row r="412" spans="1:12" x14ac:dyDescent="0.3">
      <c r="A412" s="31"/>
      <c r="B412" s="32">
        <f>IF(A412="","",DATE(YEAR(A412),MONTH(A412),1))</f>
      </c>
      <c r="C412" s="11"/>
      <c r="D412" s="11"/>
      <c r="E412" s="16">
        <f>IF(OR(D412="",C412&lt;&gt;"Chi"),"",IFERROR(INDEX('Danh mục'!$B$39:$B$78,MATCH(D412,'Danh mục'!$A$39:$A$78,0))&amp;"","?"))</f>
      </c>
      <c r="F412" s="16">
        <f>IF(D412="","",IF(C412="Thu",IFERROR(INDEX('Danh mục'!$B$26:$B$35,MATCH(D412,'Danh mục'!$A$26:$A$35,0))&amp;"","?"),IFERROR(INDEX('Danh mục'!$D$39:$D$78,MATCH(D412,'Danh mục'!$A$39:$A$78,0))&amp;"","?")))</f>
      </c>
      <c r="G412" s="16">
        <f>IF(OR(D412="",C412&lt;&gt;"Chi"),"",IFERROR(INDEX('Danh mục'!$C$39:$C$78,MATCH(D412,'Danh mục'!$A$39:$A$78,0))&amp;"",""))</f>
      </c>
      <c r="H412" s="11"/>
      <c r="I412" s="20"/>
      <c r="J412" s="11"/>
      <c r="K412" s="11"/>
      <c r="L412" s="11"/>
    </row>
    <row r="413" spans="1:12" x14ac:dyDescent="0.3">
      <c r="A413" s="31"/>
      <c r="B413" s="32">
        <f>IF(A413="","",DATE(YEAR(A413),MONTH(A413),1))</f>
      </c>
      <c r="C413" s="11"/>
      <c r="D413" s="11"/>
      <c r="E413" s="16">
        <f>IF(OR(D413="",C413&lt;&gt;"Chi"),"",IFERROR(INDEX('Danh mục'!$B$39:$B$78,MATCH(D413,'Danh mục'!$A$39:$A$78,0))&amp;"","?"))</f>
      </c>
      <c r="F413" s="16">
        <f>IF(D413="","",IF(C413="Thu",IFERROR(INDEX('Danh mục'!$B$26:$B$35,MATCH(D413,'Danh mục'!$A$26:$A$35,0))&amp;"","?"),IFERROR(INDEX('Danh mục'!$D$39:$D$78,MATCH(D413,'Danh mục'!$A$39:$A$78,0))&amp;"","?")))</f>
      </c>
      <c r="G413" s="16">
        <f>IF(OR(D413="",C413&lt;&gt;"Chi"),"",IFERROR(INDEX('Danh mục'!$C$39:$C$78,MATCH(D413,'Danh mục'!$A$39:$A$78,0))&amp;"",""))</f>
      </c>
      <c r="H413" s="11"/>
      <c r="I413" s="20"/>
      <c r="J413" s="11"/>
      <c r="K413" s="11"/>
      <c r="L413" s="11"/>
    </row>
    <row r="414" spans="1:12" x14ac:dyDescent="0.3">
      <c r="A414" s="31"/>
      <c r="B414" s="32">
        <f>IF(A414="","",DATE(YEAR(A414),MONTH(A414),1))</f>
      </c>
      <c r="C414" s="11"/>
      <c r="D414" s="11"/>
      <c r="E414" s="16">
        <f>IF(OR(D414="",C414&lt;&gt;"Chi"),"",IFERROR(INDEX('Danh mục'!$B$39:$B$78,MATCH(D414,'Danh mục'!$A$39:$A$78,0))&amp;"","?"))</f>
      </c>
      <c r="F414" s="16">
        <f>IF(D414="","",IF(C414="Thu",IFERROR(INDEX('Danh mục'!$B$26:$B$35,MATCH(D414,'Danh mục'!$A$26:$A$35,0))&amp;"","?"),IFERROR(INDEX('Danh mục'!$D$39:$D$78,MATCH(D414,'Danh mục'!$A$39:$A$78,0))&amp;"","?")))</f>
      </c>
      <c r="G414" s="16">
        <f>IF(OR(D414="",C414&lt;&gt;"Chi"),"",IFERROR(INDEX('Danh mục'!$C$39:$C$78,MATCH(D414,'Danh mục'!$A$39:$A$78,0))&amp;"",""))</f>
      </c>
      <c r="H414" s="11"/>
      <c r="I414" s="20"/>
      <c r="J414" s="11"/>
      <c r="K414" s="11"/>
      <c r="L414" s="11"/>
    </row>
    <row r="415" spans="1:12" x14ac:dyDescent="0.3">
      <c r="A415" s="31"/>
      <c r="B415" s="32">
        <f>IF(A415="","",DATE(YEAR(A415),MONTH(A415),1))</f>
      </c>
      <c r="C415" s="11"/>
      <c r="D415" s="11"/>
      <c r="E415" s="16">
        <f>IF(OR(D415="",C415&lt;&gt;"Chi"),"",IFERROR(INDEX('Danh mục'!$B$39:$B$78,MATCH(D415,'Danh mục'!$A$39:$A$78,0))&amp;"","?"))</f>
      </c>
      <c r="F415" s="16">
        <f>IF(D415="","",IF(C415="Thu",IFERROR(INDEX('Danh mục'!$B$26:$B$35,MATCH(D415,'Danh mục'!$A$26:$A$35,0))&amp;"","?"),IFERROR(INDEX('Danh mục'!$D$39:$D$78,MATCH(D415,'Danh mục'!$A$39:$A$78,0))&amp;"","?")))</f>
      </c>
      <c r="G415" s="16">
        <f>IF(OR(D415="",C415&lt;&gt;"Chi"),"",IFERROR(INDEX('Danh mục'!$C$39:$C$78,MATCH(D415,'Danh mục'!$A$39:$A$78,0))&amp;"",""))</f>
      </c>
      <c r="H415" s="11"/>
      <c r="I415" s="20"/>
      <c r="J415" s="11"/>
      <c r="K415" s="11"/>
      <c r="L415" s="11"/>
    </row>
    <row r="416" spans="1:12" x14ac:dyDescent="0.3">
      <c r="A416" s="31"/>
      <c r="B416" s="32">
        <f>IF(A416="","",DATE(YEAR(A416),MONTH(A416),1))</f>
      </c>
      <c r="C416" s="11"/>
      <c r="D416" s="11"/>
      <c r="E416" s="16">
        <f>IF(OR(D416="",C416&lt;&gt;"Chi"),"",IFERROR(INDEX('Danh mục'!$B$39:$B$78,MATCH(D416,'Danh mục'!$A$39:$A$78,0))&amp;"","?"))</f>
      </c>
      <c r="F416" s="16">
        <f>IF(D416="","",IF(C416="Thu",IFERROR(INDEX('Danh mục'!$B$26:$B$35,MATCH(D416,'Danh mục'!$A$26:$A$35,0))&amp;"","?"),IFERROR(INDEX('Danh mục'!$D$39:$D$78,MATCH(D416,'Danh mục'!$A$39:$A$78,0))&amp;"","?")))</f>
      </c>
      <c r="G416" s="16">
        <f>IF(OR(D416="",C416&lt;&gt;"Chi"),"",IFERROR(INDEX('Danh mục'!$C$39:$C$78,MATCH(D416,'Danh mục'!$A$39:$A$78,0))&amp;"",""))</f>
      </c>
      <c r="H416" s="11"/>
      <c r="I416" s="20"/>
      <c r="J416" s="11"/>
      <c r="K416" s="11"/>
      <c r="L416" s="11"/>
    </row>
    <row r="417" spans="1:12" x14ac:dyDescent="0.3">
      <c r="A417" s="31"/>
      <c r="B417" s="32">
        <f>IF(A417="","",DATE(YEAR(A417),MONTH(A417),1))</f>
      </c>
      <c r="C417" s="11"/>
      <c r="D417" s="11"/>
      <c r="E417" s="16">
        <f>IF(OR(D417="",C417&lt;&gt;"Chi"),"",IFERROR(INDEX('Danh mục'!$B$39:$B$78,MATCH(D417,'Danh mục'!$A$39:$A$78,0))&amp;"","?"))</f>
      </c>
      <c r="F417" s="16">
        <f>IF(D417="","",IF(C417="Thu",IFERROR(INDEX('Danh mục'!$B$26:$B$35,MATCH(D417,'Danh mục'!$A$26:$A$35,0))&amp;"","?"),IFERROR(INDEX('Danh mục'!$D$39:$D$78,MATCH(D417,'Danh mục'!$A$39:$A$78,0))&amp;"","?")))</f>
      </c>
      <c r="G417" s="16">
        <f>IF(OR(D417="",C417&lt;&gt;"Chi"),"",IFERROR(INDEX('Danh mục'!$C$39:$C$78,MATCH(D417,'Danh mục'!$A$39:$A$78,0))&amp;"",""))</f>
      </c>
      <c r="H417" s="11"/>
      <c r="I417" s="20"/>
      <c r="J417" s="11"/>
      <c r="K417" s="11"/>
      <c r="L417" s="11"/>
    </row>
    <row r="418" spans="1:12" x14ac:dyDescent="0.3">
      <c r="A418" s="31"/>
      <c r="B418" s="32">
        <f>IF(A418="","",DATE(YEAR(A418),MONTH(A418),1))</f>
      </c>
      <c r="C418" s="11"/>
      <c r="D418" s="11"/>
      <c r="E418" s="16">
        <f>IF(OR(D418="",C418&lt;&gt;"Chi"),"",IFERROR(INDEX('Danh mục'!$B$39:$B$78,MATCH(D418,'Danh mục'!$A$39:$A$78,0))&amp;"","?"))</f>
      </c>
      <c r="F418" s="16">
        <f>IF(D418="","",IF(C418="Thu",IFERROR(INDEX('Danh mục'!$B$26:$B$35,MATCH(D418,'Danh mục'!$A$26:$A$35,0))&amp;"","?"),IFERROR(INDEX('Danh mục'!$D$39:$D$78,MATCH(D418,'Danh mục'!$A$39:$A$78,0))&amp;"","?")))</f>
      </c>
      <c r="G418" s="16">
        <f>IF(OR(D418="",C418&lt;&gt;"Chi"),"",IFERROR(INDEX('Danh mục'!$C$39:$C$78,MATCH(D418,'Danh mục'!$A$39:$A$78,0))&amp;"",""))</f>
      </c>
      <c r="H418" s="11"/>
      <c r="I418" s="20"/>
      <c r="J418" s="11"/>
      <c r="K418" s="11"/>
      <c r="L418" s="11"/>
    </row>
    <row r="419" spans="1:12" x14ac:dyDescent="0.3">
      <c r="A419" s="31"/>
      <c r="B419" s="32">
        <f>IF(A419="","",DATE(YEAR(A419),MONTH(A419),1))</f>
      </c>
      <c r="C419" s="11"/>
      <c r="D419" s="11"/>
      <c r="E419" s="16">
        <f>IF(OR(D419="",C419&lt;&gt;"Chi"),"",IFERROR(INDEX('Danh mục'!$B$39:$B$78,MATCH(D419,'Danh mục'!$A$39:$A$78,0))&amp;"","?"))</f>
      </c>
      <c r="F419" s="16">
        <f>IF(D419="","",IF(C419="Thu",IFERROR(INDEX('Danh mục'!$B$26:$B$35,MATCH(D419,'Danh mục'!$A$26:$A$35,0))&amp;"","?"),IFERROR(INDEX('Danh mục'!$D$39:$D$78,MATCH(D419,'Danh mục'!$A$39:$A$78,0))&amp;"","?")))</f>
      </c>
      <c r="G419" s="16">
        <f>IF(OR(D419="",C419&lt;&gt;"Chi"),"",IFERROR(INDEX('Danh mục'!$C$39:$C$78,MATCH(D419,'Danh mục'!$A$39:$A$78,0))&amp;"",""))</f>
      </c>
      <c r="H419" s="11"/>
      <c r="I419" s="20"/>
      <c r="J419" s="11"/>
      <c r="K419" s="11"/>
      <c r="L419" s="11"/>
    </row>
    <row r="420" spans="1:12" x14ac:dyDescent="0.3">
      <c r="A420" s="31"/>
      <c r="B420" s="32">
        <f>IF(A420="","",DATE(YEAR(A420),MONTH(A420),1))</f>
      </c>
      <c r="C420" s="11"/>
      <c r="D420" s="11"/>
      <c r="E420" s="16">
        <f>IF(OR(D420="",C420&lt;&gt;"Chi"),"",IFERROR(INDEX('Danh mục'!$B$39:$B$78,MATCH(D420,'Danh mục'!$A$39:$A$78,0))&amp;"","?"))</f>
      </c>
      <c r="F420" s="16">
        <f>IF(D420="","",IF(C420="Thu",IFERROR(INDEX('Danh mục'!$B$26:$B$35,MATCH(D420,'Danh mục'!$A$26:$A$35,0))&amp;"","?"),IFERROR(INDEX('Danh mục'!$D$39:$D$78,MATCH(D420,'Danh mục'!$A$39:$A$78,0))&amp;"","?")))</f>
      </c>
      <c r="G420" s="16">
        <f>IF(OR(D420="",C420&lt;&gt;"Chi"),"",IFERROR(INDEX('Danh mục'!$C$39:$C$78,MATCH(D420,'Danh mục'!$A$39:$A$78,0))&amp;"",""))</f>
      </c>
      <c r="H420" s="11"/>
      <c r="I420" s="20"/>
      <c r="J420" s="11"/>
      <c r="K420" s="11"/>
      <c r="L420" s="11"/>
    </row>
    <row r="421" spans="1:12" x14ac:dyDescent="0.3">
      <c r="A421" s="31"/>
      <c r="B421" s="32">
        <f>IF(A421="","",DATE(YEAR(A421),MONTH(A421),1))</f>
      </c>
      <c r="C421" s="11"/>
      <c r="D421" s="11"/>
      <c r="E421" s="16">
        <f>IF(OR(D421="",C421&lt;&gt;"Chi"),"",IFERROR(INDEX('Danh mục'!$B$39:$B$78,MATCH(D421,'Danh mục'!$A$39:$A$78,0))&amp;"","?"))</f>
      </c>
      <c r="F421" s="16">
        <f>IF(D421="","",IF(C421="Thu",IFERROR(INDEX('Danh mục'!$B$26:$B$35,MATCH(D421,'Danh mục'!$A$26:$A$35,0))&amp;"","?"),IFERROR(INDEX('Danh mục'!$D$39:$D$78,MATCH(D421,'Danh mục'!$A$39:$A$78,0))&amp;"","?")))</f>
      </c>
      <c r="G421" s="16">
        <f>IF(OR(D421="",C421&lt;&gt;"Chi"),"",IFERROR(INDEX('Danh mục'!$C$39:$C$78,MATCH(D421,'Danh mục'!$A$39:$A$78,0))&amp;"",""))</f>
      </c>
      <c r="H421" s="11"/>
      <c r="I421" s="20"/>
      <c r="J421" s="11"/>
      <c r="K421" s="11"/>
      <c r="L421" s="11"/>
    </row>
    <row r="422" spans="1:12" x14ac:dyDescent="0.3">
      <c r="A422" s="31"/>
      <c r="B422" s="32">
        <f>IF(A422="","",DATE(YEAR(A422),MONTH(A422),1))</f>
      </c>
      <c r="C422" s="11"/>
      <c r="D422" s="11"/>
      <c r="E422" s="16">
        <f>IF(OR(D422="",C422&lt;&gt;"Chi"),"",IFERROR(INDEX('Danh mục'!$B$39:$B$78,MATCH(D422,'Danh mục'!$A$39:$A$78,0))&amp;"","?"))</f>
      </c>
      <c r="F422" s="16">
        <f>IF(D422="","",IF(C422="Thu",IFERROR(INDEX('Danh mục'!$B$26:$B$35,MATCH(D422,'Danh mục'!$A$26:$A$35,0))&amp;"","?"),IFERROR(INDEX('Danh mục'!$D$39:$D$78,MATCH(D422,'Danh mục'!$A$39:$A$78,0))&amp;"","?")))</f>
      </c>
      <c r="G422" s="16">
        <f>IF(OR(D422="",C422&lt;&gt;"Chi"),"",IFERROR(INDEX('Danh mục'!$C$39:$C$78,MATCH(D422,'Danh mục'!$A$39:$A$78,0))&amp;"",""))</f>
      </c>
      <c r="H422" s="11"/>
      <c r="I422" s="20"/>
      <c r="J422" s="11"/>
      <c r="K422" s="11"/>
      <c r="L422" s="11"/>
    </row>
    <row r="423" spans="1:12" x14ac:dyDescent="0.3">
      <c r="A423" s="31"/>
      <c r="B423" s="32">
        <f>IF(A423="","",DATE(YEAR(A423),MONTH(A423),1))</f>
      </c>
      <c r="C423" s="11"/>
      <c r="D423" s="11"/>
      <c r="E423" s="16">
        <f>IF(OR(D423="",C423&lt;&gt;"Chi"),"",IFERROR(INDEX('Danh mục'!$B$39:$B$78,MATCH(D423,'Danh mục'!$A$39:$A$78,0))&amp;"","?"))</f>
      </c>
      <c r="F423" s="16">
        <f>IF(D423="","",IF(C423="Thu",IFERROR(INDEX('Danh mục'!$B$26:$B$35,MATCH(D423,'Danh mục'!$A$26:$A$35,0))&amp;"","?"),IFERROR(INDEX('Danh mục'!$D$39:$D$78,MATCH(D423,'Danh mục'!$A$39:$A$78,0))&amp;"","?")))</f>
      </c>
      <c r="G423" s="16">
        <f>IF(OR(D423="",C423&lt;&gt;"Chi"),"",IFERROR(INDEX('Danh mục'!$C$39:$C$78,MATCH(D423,'Danh mục'!$A$39:$A$78,0))&amp;"",""))</f>
      </c>
      <c r="H423" s="11"/>
      <c r="I423" s="20"/>
      <c r="J423" s="11"/>
      <c r="K423" s="11"/>
      <c r="L423" s="11"/>
    </row>
    <row r="424" spans="1:12" x14ac:dyDescent="0.3">
      <c r="A424" s="31"/>
      <c r="B424" s="32">
        <f>IF(A424="","",DATE(YEAR(A424),MONTH(A424),1))</f>
      </c>
      <c r="C424" s="11"/>
      <c r="D424" s="11"/>
      <c r="E424" s="16">
        <f>IF(OR(D424="",C424&lt;&gt;"Chi"),"",IFERROR(INDEX('Danh mục'!$B$39:$B$78,MATCH(D424,'Danh mục'!$A$39:$A$78,0))&amp;"","?"))</f>
      </c>
      <c r="F424" s="16">
        <f>IF(D424="","",IF(C424="Thu",IFERROR(INDEX('Danh mục'!$B$26:$B$35,MATCH(D424,'Danh mục'!$A$26:$A$35,0))&amp;"","?"),IFERROR(INDEX('Danh mục'!$D$39:$D$78,MATCH(D424,'Danh mục'!$A$39:$A$78,0))&amp;"","?")))</f>
      </c>
      <c r="G424" s="16">
        <f>IF(OR(D424="",C424&lt;&gt;"Chi"),"",IFERROR(INDEX('Danh mục'!$C$39:$C$78,MATCH(D424,'Danh mục'!$A$39:$A$78,0))&amp;"",""))</f>
      </c>
      <c r="H424" s="11"/>
      <c r="I424" s="20"/>
      <c r="J424" s="11"/>
      <c r="K424" s="11"/>
      <c r="L424" s="11"/>
    </row>
    <row r="425" spans="1:12" x14ac:dyDescent="0.3">
      <c r="A425" s="31"/>
      <c r="B425" s="32">
        <f>IF(A425="","",DATE(YEAR(A425),MONTH(A425),1))</f>
      </c>
      <c r="C425" s="11"/>
      <c r="D425" s="11"/>
      <c r="E425" s="16">
        <f>IF(OR(D425="",C425&lt;&gt;"Chi"),"",IFERROR(INDEX('Danh mục'!$B$39:$B$78,MATCH(D425,'Danh mục'!$A$39:$A$78,0))&amp;"","?"))</f>
      </c>
      <c r="F425" s="16">
        <f>IF(D425="","",IF(C425="Thu",IFERROR(INDEX('Danh mục'!$B$26:$B$35,MATCH(D425,'Danh mục'!$A$26:$A$35,0))&amp;"","?"),IFERROR(INDEX('Danh mục'!$D$39:$D$78,MATCH(D425,'Danh mục'!$A$39:$A$78,0))&amp;"","?")))</f>
      </c>
      <c r="G425" s="16">
        <f>IF(OR(D425="",C425&lt;&gt;"Chi"),"",IFERROR(INDEX('Danh mục'!$C$39:$C$78,MATCH(D425,'Danh mục'!$A$39:$A$78,0))&amp;"",""))</f>
      </c>
      <c r="H425" s="11"/>
      <c r="I425" s="20"/>
      <c r="J425" s="11"/>
      <c r="K425" s="11"/>
      <c r="L425" s="11"/>
    </row>
    <row r="426" spans="1:12" x14ac:dyDescent="0.3">
      <c r="A426" s="31"/>
      <c r="B426" s="32">
        <f>IF(A426="","",DATE(YEAR(A426),MONTH(A426),1))</f>
      </c>
      <c r="C426" s="11"/>
      <c r="D426" s="11"/>
      <c r="E426" s="16">
        <f>IF(OR(D426="",C426&lt;&gt;"Chi"),"",IFERROR(INDEX('Danh mục'!$B$39:$B$78,MATCH(D426,'Danh mục'!$A$39:$A$78,0))&amp;"","?"))</f>
      </c>
      <c r="F426" s="16">
        <f>IF(D426="","",IF(C426="Thu",IFERROR(INDEX('Danh mục'!$B$26:$B$35,MATCH(D426,'Danh mục'!$A$26:$A$35,0))&amp;"","?"),IFERROR(INDEX('Danh mục'!$D$39:$D$78,MATCH(D426,'Danh mục'!$A$39:$A$78,0))&amp;"","?")))</f>
      </c>
      <c r="G426" s="16">
        <f>IF(OR(D426="",C426&lt;&gt;"Chi"),"",IFERROR(INDEX('Danh mục'!$C$39:$C$78,MATCH(D426,'Danh mục'!$A$39:$A$78,0))&amp;"",""))</f>
      </c>
      <c r="H426" s="11"/>
      <c r="I426" s="20"/>
      <c r="J426" s="11"/>
      <c r="K426" s="11"/>
      <c r="L426" s="11"/>
    </row>
    <row r="427" spans="1:12" x14ac:dyDescent="0.3">
      <c r="A427" s="31"/>
      <c r="B427" s="32">
        <f>IF(A427="","",DATE(YEAR(A427),MONTH(A427),1))</f>
      </c>
      <c r="C427" s="11"/>
      <c r="D427" s="11"/>
      <c r="E427" s="16">
        <f>IF(OR(D427="",C427&lt;&gt;"Chi"),"",IFERROR(INDEX('Danh mục'!$B$39:$B$78,MATCH(D427,'Danh mục'!$A$39:$A$78,0))&amp;"","?"))</f>
      </c>
      <c r="F427" s="16">
        <f>IF(D427="","",IF(C427="Thu",IFERROR(INDEX('Danh mục'!$B$26:$B$35,MATCH(D427,'Danh mục'!$A$26:$A$35,0))&amp;"","?"),IFERROR(INDEX('Danh mục'!$D$39:$D$78,MATCH(D427,'Danh mục'!$A$39:$A$78,0))&amp;"","?")))</f>
      </c>
      <c r="G427" s="16">
        <f>IF(OR(D427="",C427&lt;&gt;"Chi"),"",IFERROR(INDEX('Danh mục'!$C$39:$C$78,MATCH(D427,'Danh mục'!$A$39:$A$78,0))&amp;"",""))</f>
      </c>
      <c r="H427" s="11"/>
      <c r="I427" s="20"/>
      <c r="J427" s="11"/>
      <c r="K427" s="11"/>
      <c r="L427" s="11"/>
    </row>
    <row r="428" spans="1:12" x14ac:dyDescent="0.3">
      <c r="A428" s="31"/>
      <c r="B428" s="32">
        <f>IF(A428="","",DATE(YEAR(A428),MONTH(A428),1))</f>
      </c>
      <c r="C428" s="11"/>
      <c r="D428" s="11"/>
      <c r="E428" s="16">
        <f>IF(OR(D428="",C428&lt;&gt;"Chi"),"",IFERROR(INDEX('Danh mục'!$B$39:$B$78,MATCH(D428,'Danh mục'!$A$39:$A$78,0))&amp;"","?"))</f>
      </c>
      <c r="F428" s="16">
        <f>IF(D428="","",IF(C428="Thu",IFERROR(INDEX('Danh mục'!$B$26:$B$35,MATCH(D428,'Danh mục'!$A$26:$A$35,0))&amp;"","?"),IFERROR(INDEX('Danh mục'!$D$39:$D$78,MATCH(D428,'Danh mục'!$A$39:$A$78,0))&amp;"","?")))</f>
      </c>
      <c r="G428" s="16">
        <f>IF(OR(D428="",C428&lt;&gt;"Chi"),"",IFERROR(INDEX('Danh mục'!$C$39:$C$78,MATCH(D428,'Danh mục'!$A$39:$A$78,0))&amp;"",""))</f>
      </c>
      <c r="H428" s="11"/>
      <c r="I428" s="20"/>
      <c r="J428" s="11"/>
      <c r="K428" s="11"/>
      <c r="L428" s="11"/>
    </row>
    <row r="429" spans="1:12" x14ac:dyDescent="0.3">
      <c r="A429" s="31"/>
      <c r="B429" s="32">
        <f>IF(A429="","",DATE(YEAR(A429),MONTH(A429),1))</f>
      </c>
      <c r="C429" s="11"/>
      <c r="D429" s="11"/>
      <c r="E429" s="16">
        <f>IF(OR(D429="",C429&lt;&gt;"Chi"),"",IFERROR(INDEX('Danh mục'!$B$39:$B$78,MATCH(D429,'Danh mục'!$A$39:$A$78,0))&amp;"","?"))</f>
      </c>
      <c r="F429" s="16">
        <f>IF(D429="","",IF(C429="Thu",IFERROR(INDEX('Danh mục'!$B$26:$B$35,MATCH(D429,'Danh mục'!$A$26:$A$35,0))&amp;"","?"),IFERROR(INDEX('Danh mục'!$D$39:$D$78,MATCH(D429,'Danh mục'!$A$39:$A$78,0))&amp;"","?")))</f>
      </c>
      <c r="G429" s="16">
        <f>IF(OR(D429="",C429&lt;&gt;"Chi"),"",IFERROR(INDEX('Danh mục'!$C$39:$C$78,MATCH(D429,'Danh mục'!$A$39:$A$78,0))&amp;"",""))</f>
      </c>
      <c r="H429" s="11"/>
      <c r="I429" s="20"/>
      <c r="J429" s="11"/>
      <c r="K429" s="11"/>
      <c r="L429" s="11"/>
    </row>
    <row r="430" spans="1:12" x14ac:dyDescent="0.3">
      <c r="A430" s="31"/>
      <c r="B430" s="32">
        <f>IF(A430="","",DATE(YEAR(A430),MONTH(A430),1))</f>
      </c>
      <c r="C430" s="11"/>
      <c r="D430" s="11"/>
      <c r="E430" s="16">
        <f>IF(OR(D430="",C430&lt;&gt;"Chi"),"",IFERROR(INDEX('Danh mục'!$B$39:$B$78,MATCH(D430,'Danh mục'!$A$39:$A$78,0))&amp;"","?"))</f>
      </c>
      <c r="F430" s="16">
        <f>IF(D430="","",IF(C430="Thu",IFERROR(INDEX('Danh mục'!$B$26:$B$35,MATCH(D430,'Danh mục'!$A$26:$A$35,0))&amp;"","?"),IFERROR(INDEX('Danh mục'!$D$39:$D$78,MATCH(D430,'Danh mục'!$A$39:$A$78,0))&amp;"","?")))</f>
      </c>
      <c r="G430" s="16">
        <f>IF(OR(D430="",C430&lt;&gt;"Chi"),"",IFERROR(INDEX('Danh mục'!$C$39:$C$78,MATCH(D430,'Danh mục'!$A$39:$A$78,0))&amp;"",""))</f>
      </c>
      <c r="H430" s="11"/>
      <c r="I430" s="20"/>
      <c r="J430" s="11"/>
      <c r="K430" s="11"/>
      <c r="L430" s="11"/>
    </row>
    <row r="431" spans="1:12" x14ac:dyDescent="0.3">
      <c r="A431" s="31"/>
      <c r="B431" s="32">
        <f>IF(A431="","",DATE(YEAR(A431),MONTH(A431),1))</f>
      </c>
      <c r="C431" s="11"/>
      <c r="D431" s="11"/>
      <c r="E431" s="16">
        <f>IF(OR(D431="",C431&lt;&gt;"Chi"),"",IFERROR(INDEX('Danh mục'!$B$39:$B$78,MATCH(D431,'Danh mục'!$A$39:$A$78,0))&amp;"","?"))</f>
      </c>
      <c r="F431" s="16">
        <f>IF(D431="","",IF(C431="Thu",IFERROR(INDEX('Danh mục'!$B$26:$B$35,MATCH(D431,'Danh mục'!$A$26:$A$35,0))&amp;"","?"),IFERROR(INDEX('Danh mục'!$D$39:$D$78,MATCH(D431,'Danh mục'!$A$39:$A$78,0))&amp;"","?")))</f>
      </c>
      <c r="G431" s="16">
        <f>IF(OR(D431="",C431&lt;&gt;"Chi"),"",IFERROR(INDEX('Danh mục'!$C$39:$C$78,MATCH(D431,'Danh mục'!$A$39:$A$78,0))&amp;"",""))</f>
      </c>
      <c r="H431" s="11"/>
      <c r="I431" s="20"/>
      <c r="J431" s="11"/>
      <c r="K431" s="11"/>
      <c r="L431" s="11"/>
    </row>
    <row r="432" spans="1:12" x14ac:dyDescent="0.3">
      <c r="A432" s="31"/>
      <c r="B432" s="32">
        <f>IF(A432="","",DATE(YEAR(A432),MONTH(A432),1))</f>
      </c>
      <c r="C432" s="11"/>
      <c r="D432" s="11"/>
      <c r="E432" s="16">
        <f>IF(OR(D432="",C432&lt;&gt;"Chi"),"",IFERROR(INDEX('Danh mục'!$B$39:$B$78,MATCH(D432,'Danh mục'!$A$39:$A$78,0))&amp;"","?"))</f>
      </c>
      <c r="F432" s="16">
        <f>IF(D432="","",IF(C432="Thu",IFERROR(INDEX('Danh mục'!$B$26:$B$35,MATCH(D432,'Danh mục'!$A$26:$A$35,0))&amp;"","?"),IFERROR(INDEX('Danh mục'!$D$39:$D$78,MATCH(D432,'Danh mục'!$A$39:$A$78,0))&amp;"","?")))</f>
      </c>
      <c r="G432" s="16">
        <f>IF(OR(D432="",C432&lt;&gt;"Chi"),"",IFERROR(INDEX('Danh mục'!$C$39:$C$78,MATCH(D432,'Danh mục'!$A$39:$A$78,0))&amp;"",""))</f>
      </c>
      <c r="H432" s="11"/>
      <c r="I432" s="20"/>
      <c r="J432" s="11"/>
      <c r="K432" s="11"/>
      <c r="L432" s="11"/>
    </row>
    <row r="433" spans="1:12" x14ac:dyDescent="0.3">
      <c r="A433" s="31"/>
      <c r="B433" s="32">
        <f>IF(A433="","",DATE(YEAR(A433),MONTH(A433),1))</f>
      </c>
      <c r="C433" s="11"/>
      <c r="D433" s="11"/>
      <c r="E433" s="16">
        <f>IF(OR(D433="",C433&lt;&gt;"Chi"),"",IFERROR(INDEX('Danh mục'!$B$39:$B$78,MATCH(D433,'Danh mục'!$A$39:$A$78,0))&amp;"","?"))</f>
      </c>
      <c r="F433" s="16">
        <f>IF(D433="","",IF(C433="Thu",IFERROR(INDEX('Danh mục'!$B$26:$B$35,MATCH(D433,'Danh mục'!$A$26:$A$35,0))&amp;"","?"),IFERROR(INDEX('Danh mục'!$D$39:$D$78,MATCH(D433,'Danh mục'!$A$39:$A$78,0))&amp;"","?")))</f>
      </c>
      <c r="G433" s="16">
        <f>IF(OR(D433="",C433&lt;&gt;"Chi"),"",IFERROR(INDEX('Danh mục'!$C$39:$C$78,MATCH(D433,'Danh mục'!$A$39:$A$78,0))&amp;"",""))</f>
      </c>
      <c r="H433" s="11"/>
      <c r="I433" s="20"/>
      <c r="J433" s="11"/>
      <c r="K433" s="11"/>
      <c r="L433" s="11"/>
    </row>
    <row r="434" spans="1:12" x14ac:dyDescent="0.3">
      <c r="A434" s="31"/>
      <c r="B434" s="32">
        <f>IF(A434="","",DATE(YEAR(A434),MONTH(A434),1))</f>
      </c>
      <c r="C434" s="11"/>
      <c r="D434" s="11"/>
      <c r="E434" s="16">
        <f>IF(OR(D434="",C434&lt;&gt;"Chi"),"",IFERROR(INDEX('Danh mục'!$B$39:$B$78,MATCH(D434,'Danh mục'!$A$39:$A$78,0))&amp;"","?"))</f>
      </c>
      <c r="F434" s="16">
        <f>IF(D434="","",IF(C434="Thu",IFERROR(INDEX('Danh mục'!$B$26:$B$35,MATCH(D434,'Danh mục'!$A$26:$A$35,0))&amp;"","?"),IFERROR(INDEX('Danh mục'!$D$39:$D$78,MATCH(D434,'Danh mục'!$A$39:$A$78,0))&amp;"","?")))</f>
      </c>
      <c r="G434" s="16">
        <f>IF(OR(D434="",C434&lt;&gt;"Chi"),"",IFERROR(INDEX('Danh mục'!$C$39:$C$78,MATCH(D434,'Danh mục'!$A$39:$A$78,0))&amp;"",""))</f>
      </c>
      <c r="H434" s="11"/>
      <c r="I434" s="20"/>
      <c r="J434" s="11"/>
      <c r="K434" s="11"/>
      <c r="L434" s="11"/>
    </row>
    <row r="435" spans="1:12" x14ac:dyDescent="0.3">
      <c r="A435" s="31"/>
      <c r="B435" s="32">
        <f>IF(A435="","",DATE(YEAR(A435),MONTH(A435),1))</f>
      </c>
      <c r="C435" s="11"/>
      <c r="D435" s="11"/>
      <c r="E435" s="16">
        <f>IF(OR(D435="",C435&lt;&gt;"Chi"),"",IFERROR(INDEX('Danh mục'!$B$39:$B$78,MATCH(D435,'Danh mục'!$A$39:$A$78,0))&amp;"","?"))</f>
      </c>
      <c r="F435" s="16">
        <f>IF(D435="","",IF(C435="Thu",IFERROR(INDEX('Danh mục'!$B$26:$B$35,MATCH(D435,'Danh mục'!$A$26:$A$35,0))&amp;"","?"),IFERROR(INDEX('Danh mục'!$D$39:$D$78,MATCH(D435,'Danh mục'!$A$39:$A$78,0))&amp;"","?")))</f>
      </c>
      <c r="G435" s="16">
        <f>IF(OR(D435="",C435&lt;&gt;"Chi"),"",IFERROR(INDEX('Danh mục'!$C$39:$C$78,MATCH(D435,'Danh mục'!$A$39:$A$78,0))&amp;"",""))</f>
      </c>
      <c r="H435" s="11"/>
      <c r="I435" s="20"/>
      <c r="J435" s="11"/>
      <c r="K435" s="11"/>
      <c r="L435" s="11"/>
    </row>
    <row r="436" spans="1:12" x14ac:dyDescent="0.3">
      <c r="A436" s="31"/>
      <c r="B436" s="32">
        <f>IF(A436="","",DATE(YEAR(A436),MONTH(A436),1))</f>
      </c>
      <c r="C436" s="11"/>
      <c r="D436" s="11"/>
      <c r="E436" s="16">
        <f>IF(OR(D436="",C436&lt;&gt;"Chi"),"",IFERROR(INDEX('Danh mục'!$B$39:$B$78,MATCH(D436,'Danh mục'!$A$39:$A$78,0))&amp;"","?"))</f>
      </c>
      <c r="F436" s="16">
        <f>IF(D436="","",IF(C436="Thu",IFERROR(INDEX('Danh mục'!$B$26:$B$35,MATCH(D436,'Danh mục'!$A$26:$A$35,0))&amp;"","?"),IFERROR(INDEX('Danh mục'!$D$39:$D$78,MATCH(D436,'Danh mục'!$A$39:$A$78,0))&amp;"","?")))</f>
      </c>
      <c r="G436" s="16">
        <f>IF(OR(D436="",C436&lt;&gt;"Chi"),"",IFERROR(INDEX('Danh mục'!$C$39:$C$78,MATCH(D436,'Danh mục'!$A$39:$A$78,0))&amp;"",""))</f>
      </c>
      <c r="H436" s="11"/>
      <c r="I436" s="20"/>
      <c r="J436" s="11"/>
      <c r="K436" s="11"/>
      <c r="L436" s="11"/>
    </row>
    <row r="437" spans="1:12" x14ac:dyDescent="0.3">
      <c r="A437" s="31"/>
      <c r="B437" s="32">
        <f>IF(A437="","",DATE(YEAR(A437),MONTH(A437),1))</f>
      </c>
      <c r="C437" s="11"/>
      <c r="D437" s="11"/>
      <c r="E437" s="16">
        <f>IF(OR(D437="",C437&lt;&gt;"Chi"),"",IFERROR(INDEX('Danh mục'!$B$39:$B$78,MATCH(D437,'Danh mục'!$A$39:$A$78,0))&amp;"","?"))</f>
      </c>
      <c r="F437" s="16">
        <f>IF(D437="","",IF(C437="Thu",IFERROR(INDEX('Danh mục'!$B$26:$B$35,MATCH(D437,'Danh mục'!$A$26:$A$35,0))&amp;"","?"),IFERROR(INDEX('Danh mục'!$D$39:$D$78,MATCH(D437,'Danh mục'!$A$39:$A$78,0))&amp;"","?")))</f>
      </c>
      <c r="G437" s="16">
        <f>IF(OR(D437="",C437&lt;&gt;"Chi"),"",IFERROR(INDEX('Danh mục'!$C$39:$C$78,MATCH(D437,'Danh mục'!$A$39:$A$78,0))&amp;"",""))</f>
      </c>
      <c r="H437" s="11"/>
      <c r="I437" s="20"/>
      <c r="J437" s="11"/>
      <c r="K437" s="11"/>
      <c r="L437" s="11"/>
    </row>
    <row r="438" spans="1:12" x14ac:dyDescent="0.3">
      <c r="A438" s="31"/>
      <c r="B438" s="32">
        <f>IF(A438="","",DATE(YEAR(A438),MONTH(A438),1))</f>
      </c>
      <c r="C438" s="11"/>
      <c r="D438" s="11"/>
      <c r="E438" s="16">
        <f>IF(OR(D438="",C438&lt;&gt;"Chi"),"",IFERROR(INDEX('Danh mục'!$B$39:$B$78,MATCH(D438,'Danh mục'!$A$39:$A$78,0))&amp;"","?"))</f>
      </c>
      <c r="F438" s="16">
        <f>IF(D438="","",IF(C438="Thu",IFERROR(INDEX('Danh mục'!$B$26:$B$35,MATCH(D438,'Danh mục'!$A$26:$A$35,0))&amp;"","?"),IFERROR(INDEX('Danh mục'!$D$39:$D$78,MATCH(D438,'Danh mục'!$A$39:$A$78,0))&amp;"","?")))</f>
      </c>
      <c r="G438" s="16">
        <f>IF(OR(D438="",C438&lt;&gt;"Chi"),"",IFERROR(INDEX('Danh mục'!$C$39:$C$78,MATCH(D438,'Danh mục'!$A$39:$A$78,0))&amp;"",""))</f>
      </c>
      <c r="H438" s="11"/>
      <c r="I438" s="20"/>
      <c r="J438" s="11"/>
      <c r="K438" s="11"/>
      <c r="L438" s="11"/>
    </row>
    <row r="439" spans="1:12" x14ac:dyDescent="0.3">
      <c r="A439" s="31"/>
      <c r="B439" s="32">
        <f>IF(A439="","",DATE(YEAR(A439),MONTH(A439),1))</f>
      </c>
      <c r="C439" s="11"/>
      <c r="D439" s="11"/>
      <c r="E439" s="16">
        <f>IF(OR(D439="",C439&lt;&gt;"Chi"),"",IFERROR(INDEX('Danh mục'!$B$39:$B$78,MATCH(D439,'Danh mục'!$A$39:$A$78,0))&amp;"","?"))</f>
      </c>
      <c r="F439" s="16">
        <f>IF(D439="","",IF(C439="Thu",IFERROR(INDEX('Danh mục'!$B$26:$B$35,MATCH(D439,'Danh mục'!$A$26:$A$35,0))&amp;"","?"),IFERROR(INDEX('Danh mục'!$D$39:$D$78,MATCH(D439,'Danh mục'!$A$39:$A$78,0))&amp;"","?")))</f>
      </c>
      <c r="G439" s="16">
        <f>IF(OR(D439="",C439&lt;&gt;"Chi"),"",IFERROR(INDEX('Danh mục'!$C$39:$C$78,MATCH(D439,'Danh mục'!$A$39:$A$78,0))&amp;"",""))</f>
      </c>
      <c r="H439" s="11"/>
      <c r="I439" s="20"/>
      <c r="J439" s="11"/>
      <c r="K439" s="11"/>
      <c r="L439" s="11"/>
    </row>
    <row r="440" spans="1:12" x14ac:dyDescent="0.3">
      <c r="A440" s="31"/>
      <c r="B440" s="32">
        <f>IF(A440="","",DATE(YEAR(A440),MONTH(A440),1))</f>
      </c>
      <c r="C440" s="11"/>
      <c r="D440" s="11"/>
      <c r="E440" s="16">
        <f>IF(OR(D440="",C440&lt;&gt;"Chi"),"",IFERROR(INDEX('Danh mục'!$B$39:$B$78,MATCH(D440,'Danh mục'!$A$39:$A$78,0))&amp;"","?"))</f>
      </c>
      <c r="F440" s="16">
        <f>IF(D440="","",IF(C440="Thu",IFERROR(INDEX('Danh mục'!$B$26:$B$35,MATCH(D440,'Danh mục'!$A$26:$A$35,0))&amp;"","?"),IFERROR(INDEX('Danh mục'!$D$39:$D$78,MATCH(D440,'Danh mục'!$A$39:$A$78,0))&amp;"","?")))</f>
      </c>
      <c r="G440" s="16">
        <f>IF(OR(D440="",C440&lt;&gt;"Chi"),"",IFERROR(INDEX('Danh mục'!$C$39:$C$78,MATCH(D440,'Danh mục'!$A$39:$A$78,0))&amp;"",""))</f>
      </c>
      <c r="H440" s="11"/>
      <c r="I440" s="20"/>
      <c r="J440" s="11"/>
      <c r="K440" s="11"/>
      <c r="L440" s="11"/>
    </row>
    <row r="441" spans="1:12" x14ac:dyDescent="0.3">
      <c r="A441" s="31"/>
      <c r="B441" s="32">
        <f>IF(A441="","",DATE(YEAR(A441),MONTH(A441),1))</f>
      </c>
      <c r="C441" s="11"/>
      <c r="D441" s="11"/>
      <c r="E441" s="16">
        <f>IF(OR(D441="",C441&lt;&gt;"Chi"),"",IFERROR(INDEX('Danh mục'!$B$39:$B$78,MATCH(D441,'Danh mục'!$A$39:$A$78,0))&amp;"","?"))</f>
      </c>
      <c r="F441" s="16">
        <f>IF(D441="","",IF(C441="Thu",IFERROR(INDEX('Danh mục'!$B$26:$B$35,MATCH(D441,'Danh mục'!$A$26:$A$35,0))&amp;"","?"),IFERROR(INDEX('Danh mục'!$D$39:$D$78,MATCH(D441,'Danh mục'!$A$39:$A$78,0))&amp;"","?")))</f>
      </c>
      <c r="G441" s="16">
        <f>IF(OR(D441="",C441&lt;&gt;"Chi"),"",IFERROR(INDEX('Danh mục'!$C$39:$C$78,MATCH(D441,'Danh mục'!$A$39:$A$78,0))&amp;"",""))</f>
      </c>
      <c r="H441" s="11"/>
      <c r="I441" s="20"/>
      <c r="J441" s="11"/>
      <c r="K441" s="11"/>
      <c r="L441" s="11"/>
    </row>
    <row r="442" spans="1:12" x14ac:dyDescent="0.3">
      <c r="A442" s="31"/>
      <c r="B442" s="32">
        <f>IF(A442="","",DATE(YEAR(A442),MONTH(A442),1))</f>
      </c>
      <c r="C442" s="11"/>
      <c r="D442" s="11"/>
      <c r="E442" s="16">
        <f>IF(OR(D442="",C442&lt;&gt;"Chi"),"",IFERROR(INDEX('Danh mục'!$B$39:$B$78,MATCH(D442,'Danh mục'!$A$39:$A$78,0))&amp;"","?"))</f>
      </c>
      <c r="F442" s="16">
        <f>IF(D442="","",IF(C442="Thu",IFERROR(INDEX('Danh mục'!$B$26:$B$35,MATCH(D442,'Danh mục'!$A$26:$A$35,0))&amp;"","?"),IFERROR(INDEX('Danh mục'!$D$39:$D$78,MATCH(D442,'Danh mục'!$A$39:$A$78,0))&amp;"","?")))</f>
      </c>
      <c r="G442" s="16">
        <f>IF(OR(D442="",C442&lt;&gt;"Chi"),"",IFERROR(INDEX('Danh mục'!$C$39:$C$78,MATCH(D442,'Danh mục'!$A$39:$A$78,0))&amp;"",""))</f>
      </c>
      <c r="H442" s="11"/>
      <c r="I442" s="20"/>
      <c r="J442" s="11"/>
      <c r="K442" s="11"/>
      <c r="L442" s="11"/>
    </row>
    <row r="443" spans="1:12" x14ac:dyDescent="0.3">
      <c r="A443" s="31"/>
      <c r="B443" s="32">
        <f>IF(A443="","",DATE(YEAR(A443),MONTH(A443),1))</f>
      </c>
      <c r="C443" s="11"/>
      <c r="D443" s="11"/>
      <c r="E443" s="16">
        <f>IF(OR(D443="",C443&lt;&gt;"Chi"),"",IFERROR(INDEX('Danh mục'!$B$39:$B$78,MATCH(D443,'Danh mục'!$A$39:$A$78,0))&amp;"","?"))</f>
      </c>
      <c r="F443" s="16">
        <f>IF(D443="","",IF(C443="Thu",IFERROR(INDEX('Danh mục'!$B$26:$B$35,MATCH(D443,'Danh mục'!$A$26:$A$35,0))&amp;"","?"),IFERROR(INDEX('Danh mục'!$D$39:$D$78,MATCH(D443,'Danh mục'!$A$39:$A$78,0))&amp;"","?")))</f>
      </c>
      <c r="G443" s="16">
        <f>IF(OR(D443="",C443&lt;&gt;"Chi"),"",IFERROR(INDEX('Danh mục'!$C$39:$C$78,MATCH(D443,'Danh mục'!$A$39:$A$78,0))&amp;"",""))</f>
      </c>
      <c r="H443" s="11"/>
      <c r="I443" s="20"/>
      <c r="J443" s="11"/>
      <c r="K443" s="11"/>
      <c r="L443" s="11"/>
    </row>
    <row r="444" spans="1:12" x14ac:dyDescent="0.3">
      <c r="A444" s="31"/>
      <c r="B444" s="32">
        <f>IF(A444="","",DATE(YEAR(A444),MONTH(A444),1))</f>
      </c>
      <c r="C444" s="11"/>
      <c r="D444" s="11"/>
      <c r="E444" s="16">
        <f>IF(OR(D444="",C444&lt;&gt;"Chi"),"",IFERROR(INDEX('Danh mục'!$B$39:$B$78,MATCH(D444,'Danh mục'!$A$39:$A$78,0))&amp;"","?"))</f>
      </c>
      <c r="F444" s="16">
        <f>IF(D444="","",IF(C444="Thu",IFERROR(INDEX('Danh mục'!$B$26:$B$35,MATCH(D444,'Danh mục'!$A$26:$A$35,0))&amp;"","?"),IFERROR(INDEX('Danh mục'!$D$39:$D$78,MATCH(D444,'Danh mục'!$A$39:$A$78,0))&amp;"","?")))</f>
      </c>
      <c r="G444" s="16">
        <f>IF(OR(D444="",C444&lt;&gt;"Chi"),"",IFERROR(INDEX('Danh mục'!$C$39:$C$78,MATCH(D444,'Danh mục'!$A$39:$A$78,0))&amp;"",""))</f>
      </c>
      <c r="H444" s="11"/>
      <c r="I444" s="20"/>
      <c r="J444" s="11"/>
      <c r="K444" s="11"/>
      <c r="L444" s="11"/>
    </row>
    <row r="445" spans="1:12" x14ac:dyDescent="0.3">
      <c r="A445" s="31"/>
      <c r="B445" s="32">
        <f>IF(A445="","",DATE(YEAR(A445),MONTH(A445),1))</f>
      </c>
      <c r="C445" s="11"/>
      <c r="D445" s="11"/>
      <c r="E445" s="16">
        <f>IF(OR(D445="",C445&lt;&gt;"Chi"),"",IFERROR(INDEX('Danh mục'!$B$39:$B$78,MATCH(D445,'Danh mục'!$A$39:$A$78,0))&amp;"","?"))</f>
      </c>
      <c r="F445" s="16">
        <f>IF(D445="","",IF(C445="Thu",IFERROR(INDEX('Danh mục'!$B$26:$B$35,MATCH(D445,'Danh mục'!$A$26:$A$35,0))&amp;"","?"),IFERROR(INDEX('Danh mục'!$D$39:$D$78,MATCH(D445,'Danh mục'!$A$39:$A$78,0))&amp;"","?")))</f>
      </c>
      <c r="G445" s="16">
        <f>IF(OR(D445="",C445&lt;&gt;"Chi"),"",IFERROR(INDEX('Danh mục'!$C$39:$C$78,MATCH(D445,'Danh mục'!$A$39:$A$78,0))&amp;"",""))</f>
      </c>
      <c r="H445" s="11"/>
      <c r="I445" s="20"/>
      <c r="J445" s="11"/>
      <c r="K445" s="11"/>
      <c r="L445" s="11"/>
    </row>
    <row r="446" spans="1:12" x14ac:dyDescent="0.3">
      <c r="A446" s="31"/>
      <c r="B446" s="32">
        <f>IF(A446="","",DATE(YEAR(A446),MONTH(A446),1))</f>
      </c>
      <c r="C446" s="11"/>
      <c r="D446" s="11"/>
      <c r="E446" s="16">
        <f>IF(OR(D446="",C446&lt;&gt;"Chi"),"",IFERROR(INDEX('Danh mục'!$B$39:$B$78,MATCH(D446,'Danh mục'!$A$39:$A$78,0))&amp;"","?"))</f>
      </c>
      <c r="F446" s="16">
        <f>IF(D446="","",IF(C446="Thu",IFERROR(INDEX('Danh mục'!$B$26:$B$35,MATCH(D446,'Danh mục'!$A$26:$A$35,0))&amp;"","?"),IFERROR(INDEX('Danh mục'!$D$39:$D$78,MATCH(D446,'Danh mục'!$A$39:$A$78,0))&amp;"","?")))</f>
      </c>
      <c r="G446" s="16">
        <f>IF(OR(D446="",C446&lt;&gt;"Chi"),"",IFERROR(INDEX('Danh mục'!$C$39:$C$78,MATCH(D446,'Danh mục'!$A$39:$A$78,0))&amp;"",""))</f>
      </c>
      <c r="H446" s="11"/>
      <c r="I446" s="20"/>
      <c r="J446" s="11"/>
      <c r="K446" s="11"/>
      <c r="L446" s="11"/>
    </row>
    <row r="447" spans="1:12" x14ac:dyDescent="0.3">
      <c r="A447" s="31"/>
      <c r="B447" s="32">
        <f>IF(A447="","",DATE(YEAR(A447),MONTH(A447),1))</f>
      </c>
      <c r="C447" s="11"/>
      <c r="D447" s="11"/>
      <c r="E447" s="16">
        <f>IF(OR(D447="",C447&lt;&gt;"Chi"),"",IFERROR(INDEX('Danh mục'!$B$39:$B$78,MATCH(D447,'Danh mục'!$A$39:$A$78,0))&amp;"","?"))</f>
      </c>
      <c r="F447" s="16">
        <f>IF(D447="","",IF(C447="Thu",IFERROR(INDEX('Danh mục'!$B$26:$B$35,MATCH(D447,'Danh mục'!$A$26:$A$35,0))&amp;"","?"),IFERROR(INDEX('Danh mục'!$D$39:$D$78,MATCH(D447,'Danh mục'!$A$39:$A$78,0))&amp;"","?")))</f>
      </c>
      <c r="G447" s="16">
        <f>IF(OR(D447="",C447&lt;&gt;"Chi"),"",IFERROR(INDEX('Danh mục'!$C$39:$C$78,MATCH(D447,'Danh mục'!$A$39:$A$78,0))&amp;"",""))</f>
      </c>
      <c r="H447" s="11"/>
      <c r="I447" s="20"/>
      <c r="J447" s="11"/>
      <c r="K447" s="11"/>
      <c r="L447" s="11"/>
    </row>
    <row r="448" spans="1:12" x14ac:dyDescent="0.3">
      <c r="A448" s="31"/>
      <c r="B448" s="32">
        <f>IF(A448="","",DATE(YEAR(A448),MONTH(A448),1))</f>
      </c>
      <c r="C448" s="11"/>
      <c r="D448" s="11"/>
      <c r="E448" s="16">
        <f>IF(OR(D448="",C448&lt;&gt;"Chi"),"",IFERROR(INDEX('Danh mục'!$B$39:$B$78,MATCH(D448,'Danh mục'!$A$39:$A$78,0))&amp;"","?"))</f>
      </c>
      <c r="F448" s="16">
        <f>IF(D448="","",IF(C448="Thu",IFERROR(INDEX('Danh mục'!$B$26:$B$35,MATCH(D448,'Danh mục'!$A$26:$A$35,0))&amp;"","?"),IFERROR(INDEX('Danh mục'!$D$39:$D$78,MATCH(D448,'Danh mục'!$A$39:$A$78,0))&amp;"","?")))</f>
      </c>
      <c r="G448" s="16">
        <f>IF(OR(D448="",C448&lt;&gt;"Chi"),"",IFERROR(INDEX('Danh mục'!$C$39:$C$78,MATCH(D448,'Danh mục'!$A$39:$A$78,0))&amp;"",""))</f>
      </c>
      <c r="H448" s="11"/>
      <c r="I448" s="20"/>
      <c r="J448" s="11"/>
      <c r="K448" s="11"/>
      <c r="L448" s="11"/>
    </row>
    <row r="449" spans="1:12" x14ac:dyDescent="0.3">
      <c r="A449" s="31"/>
      <c r="B449" s="32">
        <f>IF(A449="","",DATE(YEAR(A449),MONTH(A449),1))</f>
      </c>
      <c r="C449" s="11"/>
      <c r="D449" s="11"/>
      <c r="E449" s="16">
        <f>IF(OR(D449="",C449&lt;&gt;"Chi"),"",IFERROR(INDEX('Danh mục'!$B$39:$B$78,MATCH(D449,'Danh mục'!$A$39:$A$78,0))&amp;"","?"))</f>
      </c>
      <c r="F449" s="16">
        <f>IF(D449="","",IF(C449="Thu",IFERROR(INDEX('Danh mục'!$B$26:$B$35,MATCH(D449,'Danh mục'!$A$26:$A$35,0))&amp;"","?"),IFERROR(INDEX('Danh mục'!$D$39:$D$78,MATCH(D449,'Danh mục'!$A$39:$A$78,0))&amp;"","?")))</f>
      </c>
      <c r="G449" s="16">
        <f>IF(OR(D449="",C449&lt;&gt;"Chi"),"",IFERROR(INDEX('Danh mục'!$C$39:$C$78,MATCH(D449,'Danh mục'!$A$39:$A$78,0))&amp;"",""))</f>
      </c>
      <c r="H449" s="11"/>
      <c r="I449" s="20"/>
      <c r="J449" s="11"/>
      <c r="K449" s="11"/>
      <c r="L449" s="11"/>
    </row>
    <row r="450" spans="1:12" x14ac:dyDescent="0.3">
      <c r="A450" s="31"/>
      <c r="B450" s="32">
        <f>IF(A450="","",DATE(YEAR(A450),MONTH(A450),1))</f>
      </c>
      <c r="C450" s="11"/>
      <c r="D450" s="11"/>
      <c r="E450" s="16">
        <f>IF(OR(D450="",C450&lt;&gt;"Chi"),"",IFERROR(INDEX('Danh mục'!$B$39:$B$78,MATCH(D450,'Danh mục'!$A$39:$A$78,0))&amp;"","?"))</f>
      </c>
      <c r="F450" s="16">
        <f>IF(D450="","",IF(C450="Thu",IFERROR(INDEX('Danh mục'!$B$26:$B$35,MATCH(D450,'Danh mục'!$A$26:$A$35,0))&amp;"","?"),IFERROR(INDEX('Danh mục'!$D$39:$D$78,MATCH(D450,'Danh mục'!$A$39:$A$78,0))&amp;"","?")))</f>
      </c>
      <c r="G450" s="16">
        <f>IF(OR(D450="",C450&lt;&gt;"Chi"),"",IFERROR(INDEX('Danh mục'!$C$39:$C$78,MATCH(D450,'Danh mục'!$A$39:$A$78,0))&amp;"",""))</f>
      </c>
      <c r="H450" s="11"/>
      <c r="I450" s="20"/>
      <c r="J450" s="11"/>
      <c r="K450" s="11"/>
      <c r="L450" s="11"/>
    </row>
    <row r="451" spans="1:12" x14ac:dyDescent="0.3">
      <c r="A451" s="31"/>
      <c r="B451" s="32">
        <f>IF(A451="","",DATE(YEAR(A451),MONTH(A451),1))</f>
      </c>
      <c r="C451" s="11"/>
      <c r="D451" s="11"/>
      <c r="E451" s="16">
        <f>IF(OR(D451="",C451&lt;&gt;"Chi"),"",IFERROR(INDEX('Danh mục'!$B$39:$B$78,MATCH(D451,'Danh mục'!$A$39:$A$78,0))&amp;"","?"))</f>
      </c>
      <c r="F451" s="16">
        <f>IF(D451="","",IF(C451="Thu",IFERROR(INDEX('Danh mục'!$B$26:$B$35,MATCH(D451,'Danh mục'!$A$26:$A$35,0))&amp;"","?"),IFERROR(INDEX('Danh mục'!$D$39:$D$78,MATCH(D451,'Danh mục'!$A$39:$A$78,0))&amp;"","?")))</f>
      </c>
      <c r="G451" s="16">
        <f>IF(OR(D451="",C451&lt;&gt;"Chi"),"",IFERROR(INDEX('Danh mục'!$C$39:$C$78,MATCH(D451,'Danh mục'!$A$39:$A$78,0))&amp;"",""))</f>
      </c>
      <c r="H451" s="11"/>
      <c r="I451" s="20"/>
      <c r="J451" s="11"/>
      <c r="K451" s="11"/>
      <c r="L451" s="11"/>
    </row>
    <row r="452" spans="1:12" x14ac:dyDescent="0.3">
      <c r="A452" s="31"/>
      <c r="B452" s="32">
        <f>IF(A452="","",DATE(YEAR(A452),MONTH(A452),1))</f>
      </c>
      <c r="C452" s="11"/>
      <c r="D452" s="11"/>
      <c r="E452" s="16">
        <f>IF(OR(D452="",C452&lt;&gt;"Chi"),"",IFERROR(INDEX('Danh mục'!$B$39:$B$78,MATCH(D452,'Danh mục'!$A$39:$A$78,0))&amp;"","?"))</f>
      </c>
      <c r="F452" s="16">
        <f>IF(D452="","",IF(C452="Thu",IFERROR(INDEX('Danh mục'!$B$26:$B$35,MATCH(D452,'Danh mục'!$A$26:$A$35,0))&amp;"","?"),IFERROR(INDEX('Danh mục'!$D$39:$D$78,MATCH(D452,'Danh mục'!$A$39:$A$78,0))&amp;"","?")))</f>
      </c>
      <c r="G452" s="16">
        <f>IF(OR(D452="",C452&lt;&gt;"Chi"),"",IFERROR(INDEX('Danh mục'!$C$39:$C$78,MATCH(D452,'Danh mục'!$A$39:$A$78,0))&amp;"",""))</f>
      </c>
      <c r="H452" s="11"/>
      <c r="I452" s="20"/>
      <c r="J452" s="11"/>
      <c r="K452" s="11"/>
      <c r="L452" s="11"/>
    </row>
    <row r="453" spans="1:12" x14ac:dyDescent="0.3">
      <c r="A453" s="31"/>
      <c r="B453" s="32">
        <f>IF(A453="","",DATE(YEAR(A453),MONTH(A453),1))</f>
      </c>
      <c r="C453" s="11"/>
      <c r="D453" s="11"/>
      <c r="E453" s="16">
        <f>IF(OR(D453="",C453&lt;&gt;"Chi"),"",IFERROR(INDEX('Danh mục'!$B$39:$B$78,MATCH(D453,'Danh mục'!$A$39:$A$78,0))&amp;"","?"))</f>
      </c>
      <c r="F453" s="16">
        <f>IF(D453="","",IF(C453="Thu",IFERROR(INDEX('Danh mục'!$B$26:$B$35,MATCH(D453,'Danh mục'!$A$26:$A$35,0))&amp;"","?"),IFERROR(INDEX('Danh mục'!$D$39:$D$78,MATCH(D453,'Danh mục'!$A$39:$A$78,0))&amp;"","?")))</f>
      </c>
      <c r="G453" s="16">
        <f>IF(OR(D453="",C453&lt;&gt;"Chi"),"",IFERROR(INDEX('Danh mục'!$C$39:$C$78,MATCH(D453,'Danh mục'!$A$39:$A$78,0))&amp;"",""))</f>
      </c>
      <c r="H453" s="11"/>
      <c r="I453" s="20"/>
      <c r="J453" s="11"/>
      <c r="K453" s="11"/>
      <c r="L453" s="11"/>
    </row>
    <row r="454" spans="1:12" x14ac:dyDescent="0.3">
      <c r="A454" s="31"/>
      <c r="B454" s="32">
        <f>IF(A454="","",DATE(YEAR(A454),MONTH(A454),1))</f>
      </c>
      <c r="C454" s="11"/>
      <c r="D454" s="11"/>
      <c r="E454" s="16">
        <f>IF(OR(D454="",C454&lt;&gt;"Chi"),"",IFERROR(INDEX('Danh mục'!$B$39:$B$78,MATCH(D454,'Danh mục'!$A$39:$A$78,0))&amp;"","?"))</f>
      </c>
      <c r="F454" s="16">
        <f>IF(D454="","",IF(C454="Thu",IFERROR(INDEX('Danh mục'!$B$26:$B$35,MATCH(D454,'Danh mục'!$A$26:$A$35,0))&amp;"","?"),IFERROR(INDEX('Danh mục'!$D$39:$D$78,MATCH(D454,'Danh mục'!$A$39:$A$78,0))&amp;"","?")))</f>
      </c>
      <c r="G454" s="16">
        <f>IF(OR(D454="",C454&lt;&gt;"Chi"),"",IFERROR(INDEX('Danh mục'!$C$39:$C$78,MATCH(D454,'Danh mục'!$A$39:$A$78,0))&amp;"",""))</f>
      </c>
      <c r="H454" s="11"/>
      <c r="I454" s="20"/>
      <c r="J454" s="11"/>
      <c r="K454" s="11"/>
      <c r="L454" s="11"/>
    </row>
    <row r="455" spans="1:12" x14ac:dyDescent="0.3">
      <c r="A455" s="31"/>
      <c r="B455" s="32">
        <f>IF(A455="","",DATE(YEAR(A455),MONTH(A455),1))</f>
      </c>
      <c r="C455" s="11"/>
      <c r="D455" s="11"/>
      <c r="E455" s="16">
        <f>IF(OR(D455="",C455&lt;&gt;"Chi"),"",IFERROR(INDEX('Danh mục'!$B$39:$B$78,MATCH(D455,'Danh mục'!$A$39:$A$78,0))&amp;"","?"))</f>
      </c>
      <c r="F455" s="16">
        <f>IF(D455="","",IF(C455="Thu",IFERROR(INDEX('Danh mục'!$B$26:$B$35,MATCH(D455,'Danh mục'!$A$26:$A$35,0))&amp;"","?"),IFERROR(INDEX('Danh mục'!$D$39:$D$78,MATCH(D455,'Danh mục'!$A$39:$A$78,0))&amp;"","?")))</f>
      </c>
      <c r="G455" s="16">
        <f>IF(OR(D455="",C455&lt;&gt;"Chi"),"",IFERROR(INDEX('Danh mục'!$C$39:$C$78,MATCH(D455,'Danh mục'!$A$39:$A$78,0))&amp;"",""))</f>
      </c>
      <c r="H455" s="11"/>
      <c r="I455" s="20"/>
      <c r="J455" s="11"/>
      <c r="K455" s="11"/>
      <c r="L455" s="11"/>
    </row>
    <row r="456" spans="1:12" x14ac:dyDescent="0.3">
      <c r="A456" s="31"/>
      <c r="B456" s="32">
        <f>IF(A456="","",DATE(YEAR(A456),MONTH(A456),1))</f>
      </c>
      <c r="C456" s="11"/>
      <c r="D456" s="11"/>
      <c r="E456" s="16">
        <f>IF(OR(D456="",C456&lt;&gt;"Chi"),"",IFERROR(INDEX('Danh mục'!$B$39:$B$78,MATCH(D456,'Danh mục'!$A$39:$A$78,0))&amp;"","?"))</f>
      </c>
      <c r="F456" s="16">
        <f>IF(D456="","",IF(C456="Thu",IFERROR(INDEX('Danh mục'!$B$26:$B$35,MATCH(D456,'Danh mục'!$A$26:$A$35,0))&amp;"","?"),IFERROR(INDEX('Danh mục'!$D$39:$D$78,MATCH(D456,'Danh mục'!$A$39:$A$78,0))&amp;"","?")))</f>
      </c>
      <c r="G456" s="16">
        <f>IF(OR(D456="",C456&lt;&gt;"Chi"),"",IFERROR(INDEX('Danh mục'!$C$39:$C$78,MATCH(D456,'Danh mục'!$A$39:$A$78,0))&amp;"",""))</f>
      </c>
      <c r="H456" s="11"/>
      <c r="I456" s="20"/>
      <c r="J456" s="11"/>
      <c r="K456" s="11"/>
      <c r="L456" s="11"/>
    </row>
    <row r="457" spans="1:12" x14ac:dyDescent="0.3">
      <c r="A457" s="31"/>
      <c r="B457" s="32">
        <f>IF(A457="","",DATE(YEAR(A457),MONTH(A457),1))</f>
      </c>
      <c r="C457" s="11"/>
      <c r="D457" s="11"/>
      <c r="E457" s="16">
        <f>IF(OR(D457="",C457&lt;&gt;"Chi"),"",IFERROR(INDEX('Danh mục'!$B$39:$B$78,MATCH(D457,'Danh mục'!$A$39:$A$78,0))&amp;"","?"))</f>
      </c>
      <c r="F457" s="16">
        <f>IF(D457="","",IF(C457="Thu",IFERROR(INDEX('Danh mục'!$B$26:$B$35,MATCH(D457,'Danh mục'!$A$26:$A$35,0))&amp;"","?"),IFERROR(INDEX('Danh mục'!$D$39:$D$78,MATCH(D457,'Danh mục'!$A$39:$A$78,0))&amp;"","?")))</f>
      </c>
      <c r="G457" s="16">
        <f>IF(OR(D457="",C457&lt;&gt;"Chi"),"",IFERROR(INDEX('Danh mục'!$C$39:$C$78,MATCH(D457,'Danh mục'!$A$39:$A$78,0))&amp;"",""))</f>
      </c>
      <c r="H457" s="11"/>
      <c r="I457" s="20"/>
      <c r="J457" s="11"/>
      <c r="K457" s="11"/>
      <c r="L457" s="11"/>
    </row>
    <row r="458" spans="1:12" x14ac:dyDescent="0.3">
      <c r="A458" s="31"/>
      <c r="B458" s="32">
        <f>IF(A458="","",DATE(YEAR(A458),MONTH(A458),1))</f>
      </c>
      <c r="C458" s="11"/>
      <c r="D458" s="11"/>
      <c r="E458" s="16">
        <f>IF(OR(D458="",C458&lt;&gt;"Chi"),"",IFERROR(INDEX('Danh mục'!$B$39:$B$78,MATCH(D458,'Danh mục'!$A$39:$A$78,0))&amp;"","?"))</f>
      </c>
      <c r="F458" s="16">
        <f>IF(D458="","",IF(C458="Thu",IFERROR(INDEX('Danh mục'!$B$26:$B$35,MATCH(D458,'Danh mục'!$A$26:$A$35,0))&amp;"","?"),IFERROR(INDEX('Danh mục'!$D$39:$D$78,MATCH(D458,'Danh mục'!$A$39:$A$78,0))&amp;"","?")))</f>
      </c>
      <c r="G458" s="16">
        <f>IF(OR(D458="",C458&lt;&gt;"Chi"),"",IFERROR(INDEX('Danh mục'!$C$39:$C$78,MATCH(D458,'Danh mục'!$A$39:$A$78,0))&amp;"",""))</f>
      </c>
      <c r="H458" s="11"/>
      <c r="I458" s="20"/>
      <c r="J458" s="11"/>
      <c r="K458" s="11"/>
      <c r="L458" s="11"/>
    </row>
    <row r="459" spans="1:12" x14ac:dyDescent="0.3">
      <c r="A459" s="31"/>
      <c r="B459" s="32">
        <f>IF(A459="","",DATE(YEAR(A459),MONTH(A459),1))</f>
      </c>
      <c r="C459" s="11"/>
      <c r="D459" s="11"/>
      <c r="E459" s="16">
        <f>IF(OR(D459="",C459&lt;&gt;"Chi"),"",IFERROR(INDEX('Danh mục'!$B$39:$B$78,MATCH(D459,'Danh mục'!$A$39:$A$78,0))&amp;"","?"))</f>
      </c>
      <c r="F459" s="16">
        <f>IF(D459="","",IF(C459="Thu",IFERROR(INDEX('Danh mục'!$B$26:$B$35,MATCH(D459,'Danh mục'!$A$26:$A$35,0))&amp;"","?"),IFERROR(INDEX('Danh mục'!$D$39:$D$78,MATCH(D459,'Danh mục'!$A$39:$A$78,0))&amp;"","?")))</f>
      </c>
      <c r="G459" s="16">
        <f>IF(OR(D459="",C459&lt;&gt;"Chi"),"",IFERROR(INDEX('Danh mục'!$C$39:$C$78,MATCH(D459,'Danh mục'!$A$39:$A$78,0))&amp;"",""))</f>
      </c>
      <c r="H459" s="11"/>
      <c r="I459" s="20"/>
      <c r="J459" s="11"/>
      <c r="K459" s="11"/>
      <c r="L459" s="11"/>
    </row>
    <row r="460" spans="1:12" x14ac:dyDescent="0.3">
      <c r="A460" s="31"/>
      <c r="B460" s="32">
        <f>IF(A460="","",DATE(YEAR(A460),MONTH(A460),1))</f>
      </c>
      <c r="C460" s="11"/>
      <c r="D460" s="11"/>
      <c r="E460" s="16">
        <f>IF(OR(D460="",C460&lt;&gt;"Chi"),"",IFERROR(INDEX('Danh mục'!$B$39:$B$78,MATCH(D460,'Danh mục'!$A$39:$A$78,0))&amp;"","?"))</f>
      </c>
      <c r="F460" s="16">
        <f>IF(D460="","",IF(C460="Thu",IFERROR(INDEX('Danh mục'!$B$26:$B$35,MATCH(D460,'Danh mục'!$A$26:$A$35,0))&amp;"","?"),IFERROR(INDEX('Danh mục'!$D$39:$D$78,MATCH(D460,'Danh mục'!$A$39:$A$78,0))&amp;"","?")))</f>
      </c>
      <c r="G460" s="16">
        <f>IF(OR(D460="",C460&lt;&gt;"Chi"),"",IFERROR(INDEX('Danh mục'!$C$39:$C$78,MATCH(D460,'Danh mục'!$A$39:$A$78,0))&amp;"",""))</f>
      </c>
      <c r="H460" s="11"/>
      <c r="I460" s="20"/>
      <c r="J460" s="11"/>
      <c r="K460" s="11"/>
      <c r="L460" s="11"/>
    </row>
    <row r="461" spans="1:12" x14ac:dyDescent="0.3">
      <c r="A461" s="31"/>
      <c r="B461" s="32">
        <f>IF(A461="","",DATE(YEAR(A461),MONTH(A461),1))</f>
      </c>
      <c r="C461" s="11"/>
      <c r="D461" s="11"/>
      <c r="E461" s="16">
        <f>IF(OR(D461="",C461&lt;&gt;"Chi"),"",IFERROR(INDEX('Danh mục'!$B$39:$B$78,MATCH(D461,'Danh mục'!$A$39:$A$78,0))&amp;"","?"))</f>
      </c>
      <c r="F461" s="16">
        <f>IF(D461="","",IF(C461="Thu",IFERROR(INDEX('Danh mục'!$B$26:$B$35,MATCH(D461,'Danh mục'!$A$26:$A$35,0))&amp;"","?"),IFERROR(INDEX('Danh mục'!$D$39:$D$78,MATCH(D461,'Danh mục'!$A$39:$A$78,0))&amp;"","?")))</f>
      </c>
      <c r="G461" s="16">
        <f>IF(OR(D461="",C461&lt;&gt;"Chi"),"",IFERROR(INDEX('Danh mục'!$C$39:$C$78,MATCH(D461,'Danh mục'!$A$39:$A$78,0))&amp;"",""))</f>
      </c>
      <c r="H461" s="11"/>
      <c r="I461" s="20"/>
      <c r="J461" s="11"/>
      <c r="K461" s="11"/>
      <c r="L461" s="11"/>
    </row>
    <row r="462" spans="1:12" x14ac:dyDescent="0.3">
      <c r="A462" s="31"/>
      <c r="B462" s="32">
        <f>IF(A462="","",DATE(YEAR(A462),MONTH(A462),1))</f>
      </c>
      <c r="C462" s="11"/>
      <c r="D462" s="11"/>
      <c r="E462" s="16">
        <f>IF(OR(D462="",C462&lt;&gt;"Chi"),"",IFERROR(INDEX('Danh mục'!$B$39:$B$78,MATCH(D462,'Danh mục'!$A$39:$A$78,0))&amp;"","?"))</f>
      </c>
      <c r="F462" s="16">
        <f>IF(D462="","",IF(C462="Thu",IFERROR(INDEX('Danh mục'!$B$26:$B$35,MATCH(D462,'Danh mục'!$A$26:$A$35,0))&amp;"","?"),IFERROR(INDEX('Danh mục'!$D$39:$D$78,MATCH(D462,'Danh mục'!$A$39:$A$78,0))&amp;"","?")))</f>
      </c>
      <c r="G462" s="16">
        <f>IF(OR(D462="",C462&lt;&gt;"Chi"),"",IFERROR(INDEX('Danh mục'!$C$39:$C$78,MATCH(D462,'Danh mục'!$A$39:$A$78,0))&amp;"",""))</f>
      </c>
      <c r="H462" s="11"/>
      <c r="I462" s="20"/>
      <c r="J462" s="11"/>
      <c r="K462" s="11"/>
      <c r="L462" s="11"/>
    </row>
    <row r="463" spans="1:12" x14ac:dyDescent="0.3">
      <c r="A463" s="31"/>
      <c r="B463" s="32">
        <f>IF(A463="","",DATE(YEAR(A463),MONTH(A463),1))</f>
      </c>
      <c r="C463" s="11"/>
      <c r="D463" s="11"/>
      <c r="E463" s="16">
        <f>IF(OR(D463="",C463&lt;&gt;"Chi"),"",IFERROR(INDEX('Danh mục'!$B$39:$B$78,MATCH(D463,'Danh mục'!$A$39:$A$78,0))&amp;"","?"))</f>
      </c>
      <c r="F463" s="16">
        <f>IF(D463="","",IF(C463="Thu",IFERROR(INDEX('Danh mục'!$B$26:$B$35,MATCH(D463,'Danh mục'!$A$26:$A$35,0))&amp;"","?"),IFERROR(INDEX('Danh mục'!$D$39:$D$78,MATCH(D463,'Danh mục'!$A$39:$A$78,0))&amp;"","?")))</f>
      </c>
      <c r="G463" s="16">
        <f>IF(OR(D463="",C463&lt;&gt;"Chi"),"",IFERROR(INDEX('Danh mục'!$C$39:$C$78,MATCH(D463,'Danh mục'!$A$39:$A$78,0))&amp;"",""))</f>
      </c>
      <c r="H463" s="11"/>
      <c r="I463" s="20"/>
      <c r="J463" s="11"/>
      <c r="K463" s="11"/>
      <c r="L463" s="11"/>
    </row>
    <row r="464" spans="1:12" x14ac:dyDescent="0.3">
      <c r="A464" s="31"/>
      <c r="B464" s="32">
        <f>IF(A464="","",DATE(YEAR(A464),MONTH(A464),1))</f>
      </c>
      <c r="C464" s="11"/>
      <c r="D464" s="11"/>
      <c r="E464" s="16">
        <f>IF(OR(D464="",C464&lt;&gt;"Chi"),"",IFERROR(INDEX('Danh mục'!$B$39:$B$78,MATCH(D464,'Danh mục'!$A$39:$A$78,0))&amp;"","?"))</f>
      </c>
      <c r="F464" s="16">
        <f>IF(D464="","",IF(C464="Thu",IFERROR(INDEX('Danh mục'!$B$26:$B$35,MATCH(D464,'Danh mục'!$A$26:$A$35,0))&amp;"","?"),IFERROR(INDEX('Danh mục'!$D$39:$D$78,MATCH(D464,'Danh mục'!$A$39:$A$78,0))&amp;"","?")))</f>
      </c>
      <c r="G464" s="16">
        <f>IF(OR(D464="",C464&lt;&gt;"Chi"),"",IFERROR(INDEX('Danh mục'!$C$39:$C$78,MATCH(D464,'Danh mục'!$A$39:$A$78,0))&amp;"",""))</f>
      </c>
      <c r="H464" s="11"/>
      <c r="I464" s="20"/>
      <c r="J464" s="11"/>
      <c r="K464" s="11"/>
      <c r="L464" s="11"/>
    </row>
    <row r="465" spans="1:12" x14ac:dyDescent="0.3">
      <c r="A465" s="31"/>
      <c r="B465" s="32">
        <f>IF(A465="","",DATE(YEAR(A465),MONTH(A465),1))</f>
      </c>
      <c r="C465" s="11"/>
      <c r="D465" s="11"/>
      <c r="E465" s="16">
        <f>IF(OR(D465="",C465&lt;&gt;"Chi"),"",IFERROR(INDEX('Danh mục'!$B$39:$B$78,MATCH(D465,'Danh mục'!$A$39:$A$78,0))&amp;"","?"))</f>
      </c>
      <c r="F465" s="16">
        <f>IF(D465="","",IF(C465="Thu",IFERROR(INDEX('Danh mục'!$B$26:$B$35,MATCH(D465,'Danh mục'!$A$26:$A$35,0))&amp;"","?"),IFERROR(INDEX('Danh mục'!$D$39:$D$78,MATCH(D465,'Danh mục'!$A$39:$A$78,0))&amp;"","?")))</f>
      </c>
      <c r="G465" s="16">
        <f>IF(OR(D465="",C465&lt;&gt;"Chi"),"",IFERROR(INDEX('Danh mục'!$C$39:$C$78,MATCH(D465,'Danh mục'!$A$39:$A$78,0))&amp;"",""))</f>
      </c>
      <c r="H465" s="11"/>
      <c r="I465" s="20"/>
      <c r="J465" s="11"/>
      <c r="K465" s="11"/>
      <c r="L465" s="11"/>
    </row>
    <row r="466" spans="1:12" x14ac:dyDescent="0.3">
      <c r="A466" s="31"/>
      <c r="B466" s="32">
        <f>IF(A466="","",DATE(YEAR(A466),MONTH(A466),1))</f>
      </c>
      <c r="C466" s="11"/>
      <c r="D466" s="11"/>
      <c r="E466" s="16">
        <f>IF(OR(D466="",C466&lt;&gt;"Chi"),"",IFERROR(INDEX('Danh mục'!$B$39:$B$78,MATCH(D466,'Danh mục'!$A$39:$A$78,0))&amp;"","?"))</f>
      </c>
      <c r="F466" s="16">
        <f>IF(D466="","",IF(C466="Thu",IFERROR(INDEX('Danh mục'!$B$26:$B$35,MATCH(D466,'Danh mục'!$A$26:$A$35,0))&amp;"","?"),IFERROR(INDEX('Danh mục'!$D$39:$D$78,MATCH(D466,'Danh mục'!$A$39:$A$78,0))&amp;"","?")))</f>
      </c>
      <c r="G466" s="16">
        <f>IF(OR(D466="",C466&lt;&gt;"Chi"),"",IFERROR(INDEX('Danh mục'!$C$39:$C$78,MATCH(D466,'Danh mục'!$A$39:$A$78,0))&amp;"",""))</f>
      </c>
      <c r="H466" s="11"/>
      <c r="I466" s="20"/>
      <c r="J466" s="11"/>
      <c r="K466" s="11"/>
      <c r="L466" s="11"/>
    </row>
    <row r="467" spans="1:12" x14ac:dyDescent="0.3">
      <c r="A467" s="31"/>
      <c r="B467" s="32">
        <f>IF(A467="","",DATE(YEAR(A467),MONTH(A467),1))</f>
      </c>
      <c r="C467" s="11"/>
      <c r="D467" s="11"/>
      <c r="E467" s="16">
        <f>IF(OR(D467="",C467&lt;&gt;"Chi"),"",IFERROR(INDEX('Danh mục'!$B$39:$B$78,MATCH(D467,'Danh mục'!$A$39:$A$78,0))&amp;"","?"))</f>
      </c>
      <c r="F467" s="16">
        <f>IF(D467="","",IF(C467="Thu",IFERROR(INDEX('Danh mục'!$B$26:$B$35,MATCH(D467,'Danh mục'!$A$26:$A$35,0))&amp;"","?"),IFERROR(INDEX('Danh mục'!$D$39:$D$78,MATCH(D467,'Danh mục'!$A$39:$A$78,0))&amp;"","?")))</f>
      </c>
      <c r="G467" s="16">
        <f>IF(OR(D467="",C467&lt;&gt;"Chi"),"",IFERROR(INDEX('Danh mục'!$C$39:$C$78,MATCH(D467,'Danh mục'!$A$39:$A$78,0))&amp;"",""))</f>
      </c>
      <c r="H467" s="11"/>
      <c r="I467" s="20"/>
      <c r="J467" s="11"/>
      <c r="K467" s="11"/>
      <c r="L467" s="11"/>
    </row>
    <row r="468" spans="1:12" x14ac:dyDescent="0.3">
      <c r="A468" s="31"/>
      <c r="B468" s="32">
        <f>IF(A468="","",DATE(YEAR(A468),MONTH(A468),1))</f>
      </c>
      <c r="C468" s="11"/>
      <c r="D468" s="11"/>
      <c r="E468" s="16">
        <f>IF(OR(D468="",C468&lt;&gt;"Chi"),"",IFERROR(INDEX('Danh mục'!$B$39:$B$78,MATCH(D468,'Danh mục'!$A$39:$A$78,0))&amp;"","?"))</f>
      </c>
      <c r="F468" s="16">
        <f>IF(D468="","",IF(C468="Thu",IFERROR(INDEX('Danh mục'!$B$26:$B$35,MATCH(D468,'Danh mục'!$A$26:$A$35,0))&amp;"","?"),IFERROR(INDEX('Danh mục'!$D$39:$D$78,MATCH(D468,'Danh mục'!$A$39:$A$78,0))&amp;"","?")))</f>
      </c>
      <c r="G468" s="16">
        <f>IF(OR(D468="",C468&lt;&gt;"Chi"),"",IFERROR(INDEX('Danh mục'!$C$39:$C$78,MATCH(D468,'Danh mục'!$A$39:$A$78,0))&amp;"",""))</f>
      </c>
      <c r="H468" s="11"/>
      <c r="I468" s="20"/>
      <c r="J468" s="11"/>
      <c r="K468" s="11"/>
      <c r="L468" s="11"/>
    </row>
    <row r="469" spans="1:12" x14ac:dyDescent="0.3">
      <c r="A469" s="31"/>
      <c r="B469" s="32">
        <f>IF(A469="","",DATE(YEAR(A469),MONTH(A469),1))</f>
      </c>
      <c r="C469" s="11"/>
      <c r="D469" s="11"/>
      <c r="E469" s="16">
        <f>IF(OR(D469="",C469&lt;&gt;"Chi"),"",IFERROR(INDEX('Danh mục'!$B$39:$B$78,MATCH(D469,'Danh mục'!$A$39:$A$78,0))&amp;"","?"))</f>
      </c>
      <c r="F469" s="16">
        <f>IF(D469="","",IF(C469="Thu",IFERROR(INDEX('Danh mục'!$B$26:$B$35,MATCH(D469,'Danh mục'!$A$26:$A$35,0))&amp;"","?"),IFERROR(INDEX('Danh mục'!$D$39:$D$78,MATCH(D469,'Danh mục'!$A$39:$A$78,0))&amp;"","?")))</f>
      </c>
      <c r="G469" s="16">
        <f>IF(OR(D469="",C469&lt;&gt;"Chi"),"",IFERROR(INDEX('Danh mục'!$C$39:$C$78,MATCH(D469,'Danh mục'!$A$39:$A$78,0))&amp;"",""))</f>
      </c>
      <c r="H469" s="11"/>
      <c r="I469" s="20"/>
      <c r="J469" s="11"/>
      <c r="K469" s="11"/>
      <c r="L469" s="11"/>
    </row>
    <row r="470" spans="1:12" x14ac:dyDescent="0.3">
      <c r="A470" s="31"/>
      <c r="B470" s="32">
        <f>IF(A470="","",DATE(YEAR(A470),MONTH(A470),1))</f>
      </c>
      <c r="C470" s="11"/>
      <c r="D470" s="11"/>
      <c r="E470" s="16">
        <f>IF(OR(D470="",C470&lt;&gt;"Chi"),"",IFERROR(INDEX('Danh mục'!$B$39:$B$78,MATCH(D470,'Danh mục'!$A$39:$A$78,0))&amp;"","?"))</f>
      </c>
      <c r="F470" s="16">
        <f>IF(D470="","",IF(C470="Thu",IFERROR(INDEX('Danh mục'!$B$26:$B$35,MATCH(D470,'Danh mục'!$A$26:$A$35,0))&amp;"","?"),IFERROR(INDEX('Danh mục'!$D$39:$D$78,MATCH(D470,'Danh mục'!$A$39:$A$78,0))&amp;"","?")))</f>
      </c>
      <c r="G470" s="16">
        <f>IF(OR(D470="",C470&lt;&gt;"Chi"),"",IFERROR(INDEX('Danh mục'!$C$39:$C$78,MATCH(D470,'Danh mục'!$A$39:$A$78,0))&amp;"",""))</f>
      </c>
      <c r="H470" s="11"/>
      <c r="I470" s="20"/>
      <c r="J470" s="11"/>
      <c r="K470" s="11"/>
      <c r="L470" s="11"/>
    </row>
    <row r="471" spans="1:12" x14ac:dyDescent="0.3">
      <c r="A471" s="31"/>
      <c r="B471" s="32">
        <f>IF(A471="","",DATE(YEAR(A471),MONTH(A471),1))</f>
      </c>
      <c r="C471" s="11"/>
      <c r="D471" s="11"/>
      <c r="E471" s="16">
        <f>IF(OR(D471="",C471&lt;&gt;"Chi"),"",IFERROR(INDEX('Danh mục'!$B$39:$B$78,MATCH(D471,'Danh mục'!$A$39:$A$78,0))&amp;"","?"))</f>
      </c>
      <c r="F471" s="16">
        <f>IF(D471="","",IF(C471="Thu",IFERROR(INDEX('Danh mục'!$B$26:$B$35,MATCH(D471,'Danh mục'!$A$26:$A$35,0))&amp;"","?"),IFERROR(INDEX('Danh mục'!$D$39:$D$78,MATCH(D471,'Danh mục'!$A$39:$A$78,0))&amp;"","?")))</f>
      </c>
      <c r="G471" s="16">
        <f>IF(OR(D471="",C471&lt;&gt;"Chi"),"",IFERROR(INDEX('Danh mục'!$C$39:$C$78,MATCH(D471,'Danh mục'!$A$39:$A$78,0))&amp;"",""))</f>
      </c>
      <c r="H471" s="11"/>
      <c r="I471" s="20"/>
      <c r="J471" s="11"/>
      <c r="K471" s="11"/>
      <c r="L471" s="11"/>
    </row>
    <row r="472" spans="1:12" x14ac:dyDescent="0.3">
      <c r="A472" s="31"/>
      <c r="B472" s="32">
        <f>IF(A472="","",DATE(YEAR(A472),MONTH(A472),1))</f>
      </c>
      <c r="C472" s="11"/>
      <c r="D472" s="11"/>
      <c r="E472" s="16">
        <f>IF(OR(D472="",C472&lt;&gt;"Chi"),"",IFERROR(INDEX('Danh mục'!$B$39:$B$78,MATCH(D472,'Danh mục'!$A$39:$A$78,0))&amp;"","?"))</f>
      </c>
      <c r="F472" s="16">
        <f>IF(D472="","",IF(C472="Thu",IFERROR(INDEX('Danh mục'!$B$26:$B$35,MATCH(D472,'Danh mục'!$A$26:$A$35,0))&amp;"","?"),IFERROR(INDEX('Danh mục'!$D$39:$D$78,MATCH(D472,'Danh mục'!$A$39:$A$78,0))&amp;"","?")))</f>
      </c>
      <c r="G472" s="16">
        <f>IF(OR(D472="",C472&lt;&gt;"Chi"),"",IFERROR(INDEX('Danh mục'!$C$39:$C$78,MATCH(D472,'Danh mục'!$A$39:$A$78,0))&amp;"",""))</f>
      </c>
      <c r="H472" s="11"/>
      <c r="I472" s="20"/>
      <c r="J472" s="11"/>
      <c r="K472" s="11"/>
      <c r="L472" s="11"/>
    </row>
    <row r="473" spans="1:12" x14ac:dyDescent="0.3">
      <c r="A473" s="31"/>
      <c r="B473" s="32">
        <f>IF(A473="","",DATE(YEAR(A473),MONTH(A473),1))</f>
      </c>
      <c r="C473" s="11"/>
      <c r="D473" s="11"/>
      <c r="E473" s="16">
        <f>IF(OR(D473="",C473&lt;&gt;"Chi"),"",IFERROR(INDEX('Danh mục'!$B$39:$B$78,MATCH(D473,'Danh mục'!$A$39:$A$78,0))&amp;"","?"))</f>
      </c>
      <c r="F473" s="16">
        <f>IF(D473="","",IF(C473="Thu",IFERROR(INDEX('Danh mục'!$B$26:$B$35,MATCH(D473,'Danh mục'!$A$26:$A$35,0))&amp;"","?"),IFERROR(INDEX('Danh mục'!$D$39:$D$78,MATCH(D473,'Danh mục'!$A$39:$A$78,0))&amp;"","?")))</f>
      </c>
      <c r="G473" s="16">
        <f>IF(OR(D473="",C473&lt;&gt;"Chi"),"",IFERROR(INDEX('Danh mục'!$C$39:$C$78,MATCH(D473,'Danh mục'!$A$39:$A$78,0))&amp;"",""))</f>
      </c>
      <c r="H473" s="11"/>
      <c r="I473" s="20"/>
      <c r="J473" s="11"/>
      <c r="K473" s="11"/>
      <c r="L473" s="11"/>
    </row>
    <row r="474" spans="1:12" x14ac:dyDescent="0.3">
      <c r="A474" s="31"/>
      <c r="B474" s="32">
        <f>IF(A474="","",DATE(YEAR(A474),MONTH(A474),1))</f>
      </c>
      <c r="C474" s="11"/>
      <c r="D474" s="11"/>
      <c r="E474" s="16">
        <f>IF(OR(D474="",C474&lt;&gt;"Chi"),"",IFERROR(INDEX('Danh mục'!$B$39:$B$78,MATCH(D474,'Danh mục'!$A$39:$A$78,0))&amp;"","?"))</f>
      </c>
      <c r="F474" s="16">
        <f>IF(D474="","",IF(C474="Thu",IFERROR(INDEX('Danh mục'!$B$26:$B$35,MATCH(D474,'Danh mục'!$A$26:$A$35,0))&amp;"","?"),IFERROR(INDEX('Danh mục'!$D$39:$D$78,MATCH(D474,'Danh mục'!$A$39:$A$78,0))&amp;"","?")))</f>
      </c>
      <c r="G474" s="16">
        <f>IF(OR(D474="",C474&lt;&gt;"Chi"),"",IFERROR(INDEX('Danh mục'!$C$39:$C$78,MATCH(D474,'Danh mục'!$A$39:$A$78,0))&amp;"",""))</f>
      </c>
      <c r="H474" s="11"/>
      <c r="I474" s="20"/>
      <c r="J474" s="11"/>
      <c r="K474" s="11"/>
      <c r="L474" s="11"/>
    </row>
    <row r="475" spans="1:12" x14ac:dyDescent="0.3">
      <c r="A475" s="31"/>
      <c r="B475" s="32">
        <f>IF(A475="","",DATE(YEAR(A475),MONTH(A475),1))</f>
      </c>
      <c r="C475" s="11"/>
      <c r="D475" s="11"/>
      <c r="E475" s="16">
        <f>IF(OR(D475="",C475&lt;&gt;"Chi"),"",IFERROR(INDEX('Danh mục'!$B$39:$B$78,MATCH(D475,'Danh mục'!$A$39:$A$78,0))&amp;"","?"))</f>
      </c>
      <c r="F475" s="16">
        <f>IF(D475="","",IF(C475="Thu",IFERROR(INDEX('Danh mục'!$B$26:$B$35,MATCH(D475,'Danh mục'!$A$26:$A$35,0))&amp;"","?"),IFERROR(INDEX('Danh mục'!$D$39:$D$78,MATCH(D475,'Danh mục'!$A$39:$A$78,0))&amp;"","?")))</f>
      </c>
      <c r="G475" s="16">
        <f>IF(OR(D475="",C475&lt;&gt;"Chi"),"",IFERROR(INDEX('Danh mục'!$C$39:$C$78,MATCH(D475,'Danh mục'!$A$39:$A$78,0))&amp;"",""))</f>
      </c>
      <c r="H475" s="11"/>
      <c r="I475" s="20"/>
      <c r="J475" s="11"/>
      <c r="K475" s="11"/>
      <c r="L475" s="11"/>
    </row>
    <row r="476" spans="1:12" x14ac:dyDescent="0.3">
      <c r="A476" s="31"/>
      <c r="B476" s="32">
        <f>IF(A476="","",DATE(YEAR(A476),MONTH(A476),1))</f>
      </c>
      <c r="C476" s="11"/>
      <c r="D476" s="11"/>
      <c r="E476" s="16">
        <f>IF(OR(D476="",C476&lt;&gt;"Chi"),"",IFERROR(INDEX('Danh mục'!$B$39:$B$78,MATCH(D476,'Danh mục'!$A$39:$A$78,0))&amp;"","?"))</f>
      </c>
      <c r="F476" s="16">
        <f>IF(D476="","",IF(C476="Thu",IFERROR(INDEX('Danh mục'!$B$26:$B$35,MATCH(D476,'Danh mục'!$A$26:$A$35,0))&amp;"","?"),IFERROR(INDEX('Danh mục'!$D$39:$D$78,MATCH(D476,'Danh mục'!$A$39:$A$78,0))&amp;"","?")))</f>
      </c>
      <c r="G476" s="16">
        <f>IF(OR(D476="",C476&lt;&gt;"Chi"),"",IFERROR(INDEX('Danh mục'!$C$39:$C$78,MATCH(D476,'Danh mục'!$A$39:$A$78,0))&amp;"",""))</f>
      </c>
      <c r="H476" s="11"/>
      <c r="I476" s="20"/>
      <c r="J476" s="11"/>
      <c r="K476" s="11"/>
      <c r="L476" s="11"/>
    </row>
    <row r="477" spans="1:12" x14ac:dyDescent="0.3">
      <c r="A477" s="31"/>
      <c r="B477" s="32">
        <f>IF(A477="","",DATE(YEAR(A477),MONTH(A477),1))</f>
      </c>
      <c r="C477" s="11"/>
      <c r="D477" s="11"/>
      <c r="E477" s="16">
        <f>IF(OR(D477="",C477&lt;&gt;"Chi"),"",IFERROR(INDEX('Danh mục'!$B$39:$B$78,MATCH(D477,'Danh mục'!$A$39:$A$78,0))&amp;"","?"))</f>
      </c>
      <c r="F477" s="16">
        <f>IF(D477="","",IF(C477="Thu",IFERROR(INDEX('Danh mục'!$B$26:$B$35,MATCH(D477,'Danh mục'!$A$26:$A$35,0))&amp;"","?"),IFERROR(INDEX('Danh mục'!$D$39:$D$78,MATCH(D477,'Danh mục'!$A$39:$A$78,0))&amp;"","?")))</f>
      </c>
      <c r="G477" s="16">
        <f>IF(OR(D477="",C477&lt;&gt;"Chi"),"",IFERROR(INDEX('Danh mục'!$C$39:$C$78,MATCH(D477,'Danh mục'!$A$39:$A$78,0))&amp;"",""))</f>
      </c>
      <c r="H477" s="11"/>
      <c r="I477" s="20"/>
      <c r="J477" s="11"/>
      <c r="K477" s="11"/>
      <c r="L477" s="11"/>
    </row>
    <row r="478" spans="1:12" x14ac:dyDescent="0.3">
      <c r="A478" s="31"/>
      <c r="B478" s="32">
        <f>IF(A478="","",DATE(YEAR(A478),MONTH(A478),1))</f>
      </c>
      <c r="C478" s="11"/>
      <c r="D478" s="11"/>
      <c r="E478" s="16">
        <f>IF(OR(D478="",C478&lt;&gt;"Chi"),"",IFERROR(INDEX('Danh mục'!$B$39:$B$78,MATCH(D478,'Danh mục'!$A$39:$A$78,0))&amp;"","?"))</f>
      </c>
      <c r="F478" s="16">
        <f>IF(D478="","",IF(C478="Thu",IFERROR(INDEX('Danh mục'!$B$26:$B$35,MATCH(D478,'Danh mục'!$A$26:$A$35,0))&amp;"","?"),IFERROR(INDEX('Danh mục'!$D$39:$D$78,MATCH(D478,'Danh mục'!$A$39:$A$78,0))&amp;"","?")))</f>
      </c>
      <c r="G478" s="16">
        <f>IF(OR(D478="",C478&lt;&gt;"Chi"),"",IFERROR(INDEX('Danh mục'!$C$39:$C$78,MATCH(D478,'Danh mục'!$A$39:$A$78,0))&amp;"",""))</f>
      </c>
      <c r="H478" s="11"/>
      <c r="I478" s="20"/>
      <c r="J478" s="11"/>
      <c r="K478" s="11"/>
      <c r="L478" s="11"/>
    </row>
    <row r="479" spans="1:12" x14ac:dyDescent="0.3">
      <c r="A479" s="31"/>
      <c r="B479" s="32">
        <f>IF(A479="","",DATE(YEAR(A479),MONTH(A479),1))</f>
      </c>
      <c r="C479" s="11"/>
      <c r="D479" s="11"/>
      <c r="E479" s="16">
        <f>IF(OR(D479="",C479&lt;&gt;"Chi"),"",IFERROR(INDEX('Danh mục'!$B$39:$B$78,MATCH(D479,'Danh mục'!$A$39:$A$78,0))&amp;"","?"))</f>
      </c>
      <c r="F479" s="16">
        <f>IF(D479="","",IF(C479="Thu",IFERROR(INDEX('Danh mục'!$B$26:$B$35,MATCH(D479,'Danh mục'!$A$26:$A$35,0))&amp;"","?"),IFERROR(INDEX('Danh mục'!$D$39:$D$78,MATCH(D479,'Danh mục'!$A$39:$A$78,0))&amp;"","?")))</f>
      </c>
      <c r="G479" s="16">
        <f>IF(OR(D479="",C479&lt;&gt;"Chi"),"",IFERROR(INDEX('Danh mục'!$C$39:$C$78,MATCH(D479,'Danh mục'!$A$39:$A$78,0))&amp;"",""))</f>
      </c>
      <c r="H479" s="11"/>
      <c r="I479" s="20"/>
      <c r="J479" s="11"/>
      <c r="K479" s="11"/>
      <c r="L479" s="11"/>
    </row>
    <row r="480" spans="1:12" x14ac:dyDescent="0.3">
      <c r="A480" s="31"/>
      <c r="B480" s="32">
        <f>IF(A480="","",DATE(YEAR(A480),MONTH(A480),1))</f>
      </c>
      <c r="C480" s="11"/>
      <c r="D480" s="11"/>
      <c r="E480" s="16">
        <f>IF(OR(D480="",C480&lt;&gt;"Chi"),"",IFERROR(INDEX('Danh mục'!$B$39:$B$78,MATCH(D480,'Danh mục'!$A$39:$A$78,0))&amp;"","?"))</f>
      </c>
      <c r="F480" s="16">
        <f>IF(D480="","",IF(C480="Thu",IFERROR(INDEX('Danh mục'!$B$26:$B$35,MATCH(D480,'Danh mục'!$A$26:$A$35,0))&amp;"","?"),IFERROR(INDEX('Danh mục'!$D$39:$D$78,MATCH(D480,'Danh mục'!$A$39:$A$78,0))&amp;"","?")))</f>
      </c>
      <c r="G480" s="16">
        <f>IF(OR(D480="",C480&lt;&gt;"Chi"),"",IFERROR(INDEX('Danh mục'!$C$39:$C$78,MATCH(D480,'Danh mục'!$A$39:$A$78,0))&amp;"",""))</f>
      </c>
      <c r="H480" s="11"/>
      <c r="I480" s="20"/>
      <c r="J480" s="11"/>
      <c r="K480" s="11"/>
      <c r="L480" s="11"/>
    </row>
    <row r="481" spans="1:12" x14ac:dyDescent="0.3">
      <c r="A481" s="31"/>
      <c r="B481" s="32">
        <f>IF(A481="","",DATE(YEAR(A481),MONTH(A481),1))</f>
      </c>
      <c r="C481" s="11"/>
      <c r="D481" s="11"/>
      <c r="E481" s="16">
        <f>IF(OR(D481="",C481&lt;&gt;"Chi"),"",IFERROR(INDEX('Danh mục'!$B$39:$B$78,MATCH(D481,'Danh mục'!$A$39:$A$78,0))&amp;"","?"))</f>
      </c>
      <c r="F481" s="16">
        <f>IF(D481="","",IF(C481="Thu",IFERROR(INDEX('Danh mục'!$B$26:$B$35,MATCH(D481,'Danh mục'!$A$26:$A$35,0))&amp;"","?"),IFERROR(INDEX('Danh mục'!$D$39:$D$78,MATCH(D481,'Danh mục'!$A$39:$A$78,0))&amp;"","?")))</f>
      </c>
      <c r="G481" s="16">
        <f>IF(OR(D481="",C481&lt;&gt;"Chi"),"",IFERROR(INDEX('Danh mục'!$C$39:$C$78,MATCH(D481,'Danh mục'!$A$39:$A$78,0))&amp;"",""))</f>
      </c>
      <c r="H481" s="11"/>
      <c r="I481" s="20"/>
      <c r="J481" s="11"/>
      <c r="K481" s="11"/>
      <c r="L481" s="11"/>
    </row>
    <row r="482" spans="1:12" x14ac:dyDescent="0.3">
      <c r="A482" s="31"/>
      <c r="B482" s="32">
        <f>IF(A482="","",DATE(YEAR(A482),MONTH(A482),1))</f>
      </c>
      <c r="C482" s="11"/>
      <c r="D482" s="11"/>
      <c r="E482" s="16">
        <f>IF(OR(D482="",C482&lt;&gt;"Chi"),"",IFERROR(INDEX('Danh mục'!$B$39:$B$78,MATCH(D482,'Danh mục'!$A$39:$A$78,0))&amp;"","?"))</f>
      </c>
      <c r="F482" s="16">
        <f>IF(D482="","",IF(C482="Thu",IFERROR(INDEX('Danh mục'!$B$26:$B$35,MATCH(D482,'Danh mục'!$A$26:$A$35,0))&amp;"","?"),IFERROR(INDEX('Danh mục'!$D$39:$D$78,MATCH(D482,'Danh mục'!$A$39:$A$78,0))&amp;"","?")))</f>
      </c>
      <c r="G482" s="16">
        <f>IF(OR(D482="",C482&lt;&gt;"Chi"),"",IFERROR(INDEX('Danh mục'!$C$39:$C$78,MATCH(D482,'Danh mục'!$A$39:$A$78,0))&amp;"",""))</f>
      </c>
      <c r="H482" s="11"/>
      <c r="I482" s="20"/>
      <c r="J482" s="11"/>
      <c r="K482" s="11"/>
      <c r="L482" s="11"/>
    </row>
    <row r="483" spans="1:12" x14ac:dyDescent="0.3">
      <c r="A483" s="31"/>
      <c r="B483" s="32">
        <f>IF(A483="","",DATE(YEAR(A483),MONTH(A483),1))</f>
      </c>
      <c r="C483" s="11"/>
      <c r="D483" s="11"/>
      <c r="E483" s="16">
        <f>IF(OR(D483="",C483&lt;&gt;"Chi"),"",IFERROR(INDEX('Danh mục'!$B$39:$B$78,MATCH(D483,'Danh mục'!$A$39:$A$78,0))&amp;"","?"))</f>
      </c>
      <c r="F483" s="16">
        <f>IF(D483="","",IF(C483="Thu",IFERROR(INDEX('Danh mục'!$B$26:$B$35,MATCH(D483,'Danh mục'!$A$26:$A$35,0))&amp;"","?"),IFERROR(INDEX('Danh mục'!$D$39:$D$78,MATCH(D483,'Danh mục'!$A$39:$A$78,0))&amp;"","?")))</f>
      </c>
      <c r="G483" s="16">
        <f>IF(OR(D483="",C483&lt;&gt;"Chi"),"",IFERROR(INDEX('Danh mục'!$C$39:$C$78,MATCH(D483,'Danh mục'!$A$39:$A$78,0))&amp;"",""))</f>
      </c>
      <c r="H483" s="11"/>
      <c r="I483" s="20"/>
      <c r="J483" s="11"/>
      <c r="K483" s="11"/>
      <c r="L483" s="11"/>
    </row>
    <row r="484" spans="1:12" x14ac:dyDescent="0.3">
      <c r="A484" s="31"/>
      <c r="B484" s="32">
        <f>IF(A484="","",DATE(YEAR(A484),MONTH(A484),1))</f>
      </c>
      <c r="C484" s="11"/>
      <c r="D484" s="11"/>
      <c r="E484" s="16">
        <f>IF(OR(D484="",C484&lt;&gt;"Chi"),"",IFERROR(INDEX('Danh mục'!$B$39:$B$78,MATCH(D484,'Danh mục'!$A$39:$A$78,0))&amp;"","?"))</f>
      </c>
      <c r="F484" s="16">
        <f>IF(D484="","",IF(C484="Thu",IFERROR(INDEX('Danh mục'!$B$26:$B$35,MATCH(D484,'Danh mục'!$A$26:$A$35,0))&amp;"","?"),IFERROR(INDEX('Danh mục'!$D$39:$D$78,MATCH(D484,'Danh mục'!$A$39:$A$78,0))&amp;"","?")))</f>
      </c>
      <c r="G484" s="16">
        <f>IF(OR(D484="",C484&lt;&gt;"Chi"),"",IFERROR(INDEX('Danh mục'!$C$39:$C$78,MATCH(D484,'Danh mục'!$A$39:$A$78,0))&amp;"",""))</f>
      </c>
      <c r="H484" s="11"/>
      <c r="I484" s="20"/>
      <c r="J484" s="11"/>
      <c r="K484" s="11"/>
      <c r="L484" s="11"/>
    </row>
    <row r="485" spans="1:12" x14ac:dyDescent="0.3">
      <c r="A485" s="31"/>
      <c r="B485" s="32">
        <f>IF(A485="","",DATE(YEAR(A485),MONTH(A485),1))</f>
      </c>
      <c r="C485" s="11"/>
      <c r="D485" s="11"/>
      <c r="E485" s="16">
        <f>IF(OR(D485="",C485&lt;&gt;"Chi"),"",IFERROR(INDEX('Danh mục'!$B$39:$B$78,MATCH(D485,'Danh mục'!$A$39:$A$78,0))&amp;"","?"))</f>
      </c>
      <c r="F485" s="16">
        <f>IF(D485="","",IF(C485="Thu",IFERROR(INDEX('Danh mục'!$B$26:$B$35,MATCH(D485,'Danh mục'!$A$26:$A$35,0))&amp;"","?"),IFERROR(INDEX('Danh mục'!$D$39:$D$78,MATCH(D485,'Danh mục'!$A$39:$A$78,0))&amp;"","?")))</f>
      </c>
      <c r="G485" s="16">
        <f>IF(OR(D485="",C485&lt;&gt;"Chi"),"",IFERROR(INDEX('Danh mục'!$C$39:$C$78,MATCH(D485,'Danh mục'!$A$39:$A$78,0))&amp;"",""))</f>
      </c>
      <c r="H485" s="11"/>
      <c r="I485" s="20"/>
      <c r="J485" s="11"/>
      <c r="K485" s="11"/>
      <c r="L485" s="11"/>
    </row>
    <row r="486" spans="1:12" x14ac:dyDescent="0.3">
      <c r="A486" s="31"/>
      <c r="B486" s="32">
        <f>IF(A486="","",DATE(YEAR(A486),MONTH(A486),1))</f>
      </c>
      <c r="C486" s="11"/>
      <c r="D486" s="11"/>
      <c r="E486" s="16">
        <f>IF(OR(D486="",C486&lt;&gt;"Chi"),"",IFERROR(INDEX('Danh mục'!$B$39:$B$78,MATCH(D486,'Danh mục'!$A$39:$A$78,0))&amp;"","?"))</f>
      </c>
      <c r="F486" s="16">
        <f>IF(D486="","",IF(C486="Thu",IFERROR(INDEX('Danh mục'!$B$26:$B$35,MATCH(D486,'Danh mục'!$A$26:$A$35,0))&amp;"","?"),IFERROR(INDEX('Danh mục'!$D$39:$D$78,MATCH(D486,'Danh mục'!$A$39:$A$78,0))&amp;"","?")))</f>
      </c>
      <c r="G486" s="16">
        <f>IF(OR(D486="",C486&lt;&gt;"Chi"),"",IFERROR(INDEX('Danh mục'!$C$39:$C$78,MATCH(D486,'Danh mục'!$A$39:$A$78,0))&amp;"",""))</f>
      </c>
      <c r="H486" s="11"/>
      <c r="I486" s="20"/>
      <c r="J486" s="11"/>
      <c r="K486" s="11"/>
      <c r="L486" s="11"/>
    </row>
    <row r="487" spans="1:12" x14ac:dyDescent="0.3">
      <c r="A487" s="31"/>
      <c r="B487" s="32">
        <f>IF(A487="","",DATE(YEAR(A487),MONTH(A487),1))</f>
      </c>
      <c r="C487" s="11"/>
      <c r="D487" s="11"/>
      <c r="E487" s="16">
        <f>IF(OR(D487="",C487&lt;&gt;"Chi"),"",IFERROR(INDEX('Danh mục'!$B$39:$B$78,MATCH(D487,'Danh mục'!$A$39:$A$78,0))&amp;"","?"))</f>
      </c>
      <c r="F487" s="16">
        <f>IF(D487="","",IF(C487="Thu",IFERROR(INDEX('Danh mục'!$B$26:$B$35,MATCH(D487,'Danh mục'!$A$26:$A$35,0))&amp;"","?"),IFERROR(INDEX('Danh mục'!$D$39:$D$78,MATCH(D487,'Danh mục'!$A$39:$A$78,0))&amp;"","?")))</f>
      </c>
      <c r="G487" s="16">
        <f>IF(OR(D487="",C487&lt;&gt;"Chi"),"",IFERROR(INDEX('Danh mục'!$C$39:$C$78,MATCH(D487,'Danh mục'!$A$39:$A$78,0))&amp;"",""))</f>
      </c>
      <c r="H487" s="11"/>
      <c r="I487" s="20"/>
      <c r="J487" s="11"/>
      <c r="K487" s="11"/>
      <c r="L487" s="11"/>
    </row>
    <row r="488" spans="1:12" x14ac:dyDescent="0.3">
      <c r="A488" s="31"/>
      <c r="B488" s="32">
        <f>IF(A488="","",DATE(YEAR(A488),MONTH(A488),1))</f>
      </c>
      <c r="C488" s="11"/>
      <c r="D488" s="11"/>
      <c r="E488" s="16">
        <f>IF(OR(D488="",C488&lt;&gt;"Chi"),"",IFERROR(INDEX('Danh mục'!$B$39:$B$78,MATCH(D488,'Danh mục'!$A$39:$A$78,0))&amp;"","?"))</f>
      </c>
      <c r="F488" s="16">
        <f>IF(D488="","",IF(C488="Thu",IFERROR(INDEX('Danh mục'!$B$26:$B$35,MATCH(D488,'Danh mục'!$A$26:$A$35,0))&amp;"","?"),IFERROR(INDEX('Danh mục'!$D$39:$D$78,MATCH(D488,'Danh mục'!$A$39:$A$78,0))&amp;"","?")))</f>
      </c>
      <c r="G488" s="16">
        <f>IF(OR(D488="",C488&lt;&gt;"Chi"),"",IFERROR(INDEX('Danh mục'!$C$39:$C$78,MATCH(D488,'Danh mục'!$A$39:$A$78,0))&amp;"",""))</f>
      </c>
      <c r="H488" s="11"/>
      <c r="I488" s="20"/>
      <c r="J488" s="11"/>
      <c r="K488" s="11"/>
      <c r="L488" s="11"/>
    </row>
    <row r="489" spans="1:12" x14ac:dyDescent="0.3">
      <c r="A489" s="31"/>
      <c r="B489" s="32">
        <f>IF(A489="","",DATE(YEAR(A489),MONTH(A489),1))</f>
      </c>
      <c r="C489" s="11"/>
      <c r="D489" s="11"/>
      <c r="E489" s="16">
        <f>IF(OR(D489="",C489&lt;&gt;"Chi"),"",IFERROR(INDEX('Danh mục'!$B$39:$B$78,MATCH(D489,'Danh mục'!$A$39:$A$78,0))&amp;"","?"))</f>
      </c>
      <c r="F489" s="16">
        <f>IF(D489="","",IF(C489="Thu",IFERROR(INDEX('Danh mục'!$B$26:$B$35,MATCH(D489,'Danh mục'!$A$26:$A$35,0))&amp;"","?"),IFERROR(INDEX('Danh mục'!$D$39:$D$78,MATCH(D489,'Danh mục'!$A$39:$A$78,0))&amp;"","?")))</f>
      </c>
      <c r="G489" s="16">
        <f>IF(OR(D489="",C489&lt;&gt;"Chi"),"",IFERROR(INDEX('Danh mục'!$C$39:$C$78,MATCH(D489,'Danh mục'!$A$39:$A$78,0))&amp;"",""))</f>
      </c>
      <c r="H489" s="11"/>
      <c r="I489" s="20"/>
      <c r="J489" s="11"/>
      <c r="K489" s="11"/>
      <c r="L489" s="11"/>
    </row>
    <row r="490" spans="1:12" x14ac:dyDescent="0.3">
      <c r="A490" s="31"/>
      <c r="B490" s="32">
        <f>IF(A490="","",DATE(YEAR(A490),MONTH(A490),1))</f>
      </c>
      <c r="C490" s="11"/>
      <c r="D490" s="11"/>
      <c r="E490" s="16">
        <f>IF(OR(D490="",C490&lt;&gt;"Chi"),"",IFERROR(INDEX('Danh mục'!$B$39:$B$78,MATCH(D490,'Danh mục'!$A$39:$A$78,0))&amp;"","?"))</f>
      </c>
      <c r="F490" s="16">
        <f>IF(D490="","",IF(C490="Thu",IFERROR(INDEX('Danh mục'!$B$26:$B$35,MATCH(D490,'Danh mục'!$A$26:$A$35,0))&amp;"","?"),IFERROR(INDEX('Danh mục'!$D$39:$D$78,MATCH(D490,'Danh mục'!$A$39:$A$78,0))&amp;"","?")))</f>
      </c>
      <c r="G490" s="16">
        <f>IF(OR(D490="",C490&lt;&gt;"Chi"),"",IFERROR(INDEX('Danh mục'!$C$39:$C$78,MATCH(D490,'Danh mục'!$A$39:$A$78,0))&amp;"",""))</f>
      </c>
      <c r="H490" s="11"/>
      <c r="I490" s="20"/>
      <c r="J490" s="11"/>
      <c r="K490" s="11"/>
      <c r="L490" s="11"/>
    </row>
    <row r="491" spans="1:12" x14ac:dyDescent="0.3">
      <c r="A491" s="31"/>
      <c r="B491" s="32">
        <f>IF(A491="","",DATE(YEAR(A491),MONTH(A491),1))</f>
      </c>
      <c r="C491" s="11"/>
      <c r="D491" s="11"/>
      <c r="E491" s="16">
        <f>IF(OR(D491="",C491&lt;&gt;"Chi"),"",IFERROR(INDEX('Danh mục'!$B$39:$B$78,MATCH(D491,'Danh mục'!$A$39:$A$78,0))&amp;"","?"))</f>
      </c>
      <c r="F491" s="16">
        <f>IF(D491="","",IF(C491="Thu",IFERROR(INDEX('Danh mục'!$B$26:$B$35,MATCH(D491,'Danh mục'!$A$26:$A$35,0))&amp;"","?"),IFERROR(INDEX('Danh mục'!$D$39:$D$78,MATCH(D491,'Danh mục'!$A$39:$A$78,0))&amp;"","?")))</f>
      </c>
      <c r="G491" s="16">
        <f>IF(OR(D491="",C491&lt;&gt;"Chi"),"",IFERROR(INDEX('Danh mục'!$C$39:$C$78,MATCH(D491,'Danh mục'!$A$39:$A$78,0))&amp;"",""))</f>
      </c>
      <c r="H491" s="11"/>
      <c r="I491" s="20"/>
      <c r="J491" s="11"/>
      <c r="K491" s="11"/>
      <c r="L491" s="11"/>
    </row>
    <row r="492" spans="1:12" x14ac:dyDescent="0.3">
      <c r="A492" s="31"/>
      <c r="B492" s="32">
        <f>IF(A492="","",DATE(YEAR(A492),MONTH(A492),1))</f>
      </c>
      <c r="C492" s="11"/>
      <c r="D492" s="11"/>
      <c r="E492" s="16">
        <f>IF(OR(D492="",C492&lt;&gt;"Chi"),"",IFERROR(INDEX('Danh mục'!$B$39:$B$78,MATCH(D492,'Danh mục'!$A$39:$A$78,0))&amp;"","?"))</f>
      </c>
      <c r="F492" s="16">
        <f>IF(D492="","",IF(C492="Thu",IFERROR(INDEX('Danh mục'!$B$26:$B$35,MATCH(D492,'Danh mục'!$A$26:$A$35,0))&amp;"","?"),IFERROR(INDEX('Danh mục'!$D$39:$D$78,MATCH(D492,'Danh mục'!$A$39:$A$78,0))&amp;"","?")))</f>
      </c>
      <c r="G492" s="16">
        <f>IF(OR(D492="",C492&lt;&gt;"Chi"),"",IFERROR(INDEX('Danh mục'!$C$39:$C$78,MATCH(D492,'Danh mục'!$A$39:$A$78,0))&amp;"",""))</f>
      </c>
      <c r="H492" s="11"/>
      <c r="I492" s="20"/>
      <c r="J492" s="11"/>
      <c r="K492" s="11"/>
      <c r="L492" s="11"/>
    </row>
    <row r="493" spans="1:12" x14ac:dyDescent="0.3">
      <c r="A493" s="31"/>
      <c r="B493" s="32">
        <f>IF(A493="","",DATE(YEAR(A493),MONTH(A493),1))</f>
      </c>
      <c r="C493" s="11"/>
      <c r="D493" s="11"/>
      <c r="E493" s="16">
        <f>IF(OR(D493="",C493&lt;&gt;"Chi"),"",IFERROR(INDEX('Danh mục'!$B$39:$B$78,MATCH(D493,'Danh mục'!$A$39:$A$78,0))&amp;"","?"))</f>
      </c>
      <c r="F493" s="16">
        <f>IF(D493="","",IF(C493="Thu",IFERROR(INDEX('Danh mục'!$B$26:$B$35,MATCH(D493,'Danh mục'!$A$26:$A$35,0))&amp;"","?"),IFERROR(INDEX('Danh mục'!$D$39:$D$78,MATCH(D493,'Danh mục'!$A$39:$A$78,0))&amp;"","?")))</f>
      </c>
      <c r="G493" s="16">
        <f>IF(OR(D493="",C493&lt;&gt;"Chi"),"",IFERROR(INDEX('Danh mục'!$C$39:$C$78,MATCH(D493,'Danh mục'!$A$39:$A$78,0))&amp;"",""))</f>
      </c>
      <c r="H493" s="11"/>
      <c r="I493" s="20"/>
      <c r="J493" s="11"/>
      <c r="K493" s="11"/>
      <c r="L493" s="11"/>
    </row>
    <row r="494" spans="1:12" x14ac:dyDescent="0.3">
      <c r="A494" s="31"/>
      <c r="B494" s="32">
        <f>IF(A494="","",DATE(YEAR(A494),MONTH(A494),1))</f>
      </c>
      <c r="C494" s="11"/>
      <c r="D494" s="11"/>
      <c r="E494" s="16">
        <f>IF(OR(D494="",C494&lt;&gt;"Chi"),"",IFERROR(INDEX('Danh mục'!$B$39:$B$78,MATCH(D494,'Danh mục'!$A$39:$A$78,0))&amp;"","?"))</f>
      </c>
      <c r="F494" s="16">
        <f>IF(D494="","",IF(C494="Thu",IFERROR(INDEX('Danh mục'!$B$26:$B$35,MATCH(D494,'Danh mục'!$A$26:$A$35,0))&amp;"","?"),IFERROR(INDEX('Danh mục'!$D$39:$D$78,MATCH(D494,'Danh mục'!$A$39:$A$78,0))&amp;"","?")))</f>
      </c>
      <c r="G494" s="16">
        <f>IF(OR(D494="",C494&lt;&gt;"Chi"),"",IFERROR(INDEX('Danh mục'!$C$39:$C$78,MATCH(D494,'Danh mục'!$A$39:$A$78,0))&amp;"",""))</f>
      </c>
      <c r="H494" s="11"/>
      <c r="I494" s="20"/>
      <c r="J494" s="11"/>
      <c r="K494" s="11"/>
      <c r="L494" s="11"/>
    </row>
    <row r="495" spans="1:12" x14ac:dyDescent="0.3">
      <c r="A495" s="31"/>
      <c r="B495" s="32">
        <f>IF(A495="","",DATE(YEAR(A495),MONTH(A495),1))</f>
      </c>
      <c r="C495" s="11"/>
      <c r="D495" s="11"/>
      <c r="E495" s="16">
        <f>IF(OR(D495="",C495&lt;&gt;"Chi"),"",IFERROR(INDEX('Danh mục'!$B$39:$B$78,MATCH(D495,'Danh mục'!$A$39:$A$78,0))&amp;"","?"))</f>
      </c>
      <c r="F495" s="16">
        <f>IF(D495="","",IF(C495="Thu",IFERROR(INDEX('Danh mục'!$B$26:$B$35,MATCH(D495,'Danh mục'!$A$26:$A$35,0))&amp;"","?"),IFERROR(INDEX('Danh mục'!$D$39:$D$78,MATCH(D495,'Danh mục'!$A$39:$A$78,0))&amp;"","?")))</f>
      </c>
      <c r="G495" s="16">
        <f>IF(OR(D495="",C495&lt;&gt;"Chi"),"",IFERROR(INDEX('Danh mục'!$C$39:$C$78,MATCH(D495,'Danh mục'!$A$39:$A$78,0))&amp;"",""))</f>
      </c>
      <c r="H495" s="11"/>
      <c r="I495" s="20"/>
      <c r="J495" s="11"/>
      <c r="K495" s="11"/>
      <c r="L495" s="11"/>
    </row>
    <row r="496" spans="1:12" x14ac:dyDescent="0.3">
      <c r="A496" s="31"/>
      <c r="B496" s="32">
        <f>IF(A496="","",DATE(YEAR(A496),MONTH(A496),1))</f>
      </c>
      <c r="C496" s="11"/>
      <c r="D496" s="11"/>
      <c r="E496" s="16">
        <f>IF(OR(D496="",C496&lt;&gt;"Chi"),"",IFERROR(INDEX('Danh mục'!$B$39:$B$78,MATCH(D496,'Danh mục'!$A$39:$A$78,0))&amp;"","?"))</f>
      </c>
      <c r="F496" s="16">
        <f>IF(D496="","",IF(C496="Thu",IFERROR(INDEX('Danh mục'!$B$26:$B$35,MATCH(D496,'Danh mục'!$A$26:$A$35,0))&amp;"","?"),IFERROR(INDEX('Danh mục'!$D$39:$D$78,MATCH(D496,'Danh mục'!$A$39:$A$78,0))&amp;"","?")))</f>
      </c>
      <c r="G496" s="16">
        <f>IF(OR(D496="",C496&lt;&gt;"Chi"),"",IFERROR(INDEX('Danh mục'!$C$39:$C$78,MATCH(D496,'Danh mục'!$A$39:$A$78,0))&amp;"",""))</f>
      </c>
      <c r="H496" s="11"/>
      <c r="I496" s="20"/>
      <c r="J496" s="11"/>
      <c r="K496" s="11"/>
      <c r="L496" s="11"/>
    </row>
    <row r="497" spans="1:12" x14ac:dyDescent="0.3">
      <c r="A497" s="31"/>
      <c r="B497" s="32">
        <f>IF(A497="","",DATE(YEAR(A497),MONTH(A497),1))</f>
      </c>
      <c r="C497" s="11"/>
      <c r="D497" s="11"/>
      <c r="E497" s="16">
        <f>IF(OR(D497="",C497&lt;&gt;"Chi"),"",IFERROR(INDEX('Danh mục'!$B$39:$B$78,MATCH(D497,'Danh mục'!$A$39:$A$78,0))&amp;"","?"))</f>
      </c>
      <c r="F497" s="16">
        <f>IF(D497="","",IF(C497="Thu",IFERROR(INDEX('Danh mục'!$B$26:$B$35,MATCH(D497,'Danh mục'!$A$26:$A$35,0))&amp;"","?"),IFERROR(INDEX('Danh mục'!$D$39:$D$78,MATCH(D497,'Danh mục'!$A$39:$A$78,0))&amp;"","?")))</f>
      </c>
      <c r="G497" s="16">
        <f>IF(OR(D497="",C497&lt;&gt;"Chi"),"",IFERROR(INDEX('Danh mục'!$C$39:$C$78,MATCH(D497,'Danh mục'!$A$39:$A$78,0))&amp;"",""))</f>
      </c>
      <c r="H497" s="11"/>
      <c r="I497" s="20"/>
      <c r="J497" s="11"/>
      <c r="K497" s="11"/>
      <c r="L497" s="11"/>
    </row>
    <row r="498" spans="1:12" x14ac:dyDescent="0.3">
      <c r="A498" s="31"/>
      <c r="B498" s="32">
        <f>IF(A498="","",DATE(YEAR(A498),MONTH(A498),1))</f>
      </c>
      <c r="C498" s="11"/>
      <c r="D498" s="11"/>
      <c r="E498" s="16">
        <f>IF(OR(D498="",C498&lt;&gt;"Chi"),"",IFERROR(INDEX('Danh mục'!$B$39:$B$78,MATCH(D498,'Danh mục'!$A$39:$A$78,0))&amp;"","?"))</f>
      </c>
      <c r="F498" s="16">
        <f>IF(D498="","",IF(C498="Thu",IFERROR(INDEX('Danh mục'!$B$26:$B$35,MATCH(D498,'Danh mục'!$A$26:$A$35,0))&amp;"","?"),IFERROR(INDEX('Danh mục'!$D$39:$D$78,MATCH(D498,'Danh mục'!$A$39:$A$78,0))&amp;"","?")))</f>
      </c>
      <c r="G498" s="16">
        <f>IF(OR(D498="",C498&lt;&gt;"Chi"),"",IFERROR(INDEX('Danh mục'!$C$39:$C$78,MATCH(D498,'Danh mục'!$A$39:$A$78,0))&amp;"",""))</f>
      </c>
      <c r="H498" s="11"/>
      <c r="I498" s="20"/>
      <c r="J498" s="11"/>
      <c r="K498" s="11"/>
      <c r="L498" s="11"/>
    </row>
    <row r="499" spans="1:12" x14ac:dyDescent="0.3">
      <c r="A499" s="31"/>
      <c r="B499" s="32">
        <f>IF(A499="","",DATE(YEAR(A499),MONTH(A499),1))</f>
      </c>
      <c r="C499" s="11"/>
      <c r="D499" s="11"/>
      <c r="E499" s="16">
        <f>IF(OR(D499="",C499&lt;&gt;"Chi"),"",IFERROR(INDEX('Danh mục'!$B$39:$B$78,MATCH(D499,'Danh mục'!$A$39:$A$78,0))&amp;"","?"))</f>
      </c>
      <c r="F499" s="16">
        <f>IF(D499="","",IF(C499="Thu",IFERROR(INDEX('Danh mục'!$B$26:$B$35,MATCH(D499,'Danh mục'!$A$26:$A$35,0))&amp;"","?"),IFERROR(INDEX('Danh mục'!$D$39:$D$78,MATCH(D499,'Danh mục'!$A$39:$A$78,0))&amp;"","?")))</f>
      </c>
      <c r="G499" s="16">
        <f>IF(OR(D499="",C499&lt;&gt;"Chi"),"",IFERROR(INDEX('Danh mục'!$C$39:$C$78,MATCH(D499,'Danh mục'!$A$39:$A$78,0))&amp;"",""))</f>
      </c>
      <c r="H499" s="11"/>
      <c r="I499" s="20"/>
      <c r="J499" s="11"/>
      <c r="K499" s="11"/>
      <c r="L499" s="11"/>
    </row>
    <row r="500" spans="1:12" x14ac:dyDescent="0.3">
      <c r="A500" s="31"/>
      <c r="B500" s="32">
        <f>IF(A500="","",DATE(YEAR(A500),MONTH(A500),1))</f>
      </c>
      <c r="C500" s="11"/>
      <c r="D500" s="11"/>
      <c r="E500" s="16">
        <f>IF(OR(D500="",C500&lt;&gt;"Chi"),"",IFERROR(INDEX('Danh mục'!$B$39:$B$78,MATCH(D500,'Danh mục'!$A$39:$A$78,0))&amp;"","?"))</f>
      </c>
      <c r="F500" s="16">
        <f>IF(D500="","",IF(C500="Thu",IFERROR(INDEX('Danh mục'!$B$26:$B$35,MATCH(D500,'Danh mục'!$A$26:$A$35,0))&amp;"","?"),IFERROR(INDEX('Danh mục'!$D$39:$D$78,MATCH(D500,'Danh mục'!$A$39:$A$78,0))&amp;"","?")))</f>
      </c>
      <c r="G500" s="16">
        <f>IF(OR(D500="",C500&lt;&gt;"Chi"),"",IFERROR(INDEX('Danh mục'!$C$39:$C$78,MATCH(D500,'Danh mục'!$A$39:$A$78,0))&amp;"",""))</f>
      </c>
      <c r="H500" s="11"/>
      <c r="I500" s="20"/>
      <c r="J500" s="11"/>
      <c r="K500" s="11"/>
      <c r="L500" s="11"/>
    </row>
    <row r="501" spans="1:12" x14ac:dyDescent="0.3">
      <c r="A501" s="31"/>
      <c r="B501" s="32">
        <f>IF(A501="","",DATE(YEAR(A501),MONTH(A501),1))</f>
      </c>
      <c r="C501" s="11"/>
      <c r="D501" s="11"/>
      <c r="E501" s="16">
        <f>IF(OR(D501="",C501&lt;&gt;"Chi"),"",IFERROR(INDEX('Danh mục'!$B$39:$B$78,MATCH(D501,'Danh mục'!$A$39:$A$78,0))&amp;"","?"))</f>
      </c>
      <c r="F501" s="16">
        <f>IF(D501="","",IF(C501="Thu",IFERROR(INDEX('Danh mục'!$B$26:$B$35,MATCH(D501,'Danh mục'!$A$26:$A$35,0))&amp;"","?"),IFERROR(INDEX('Danh mục'!$D$39:$D$78,MATCH(D501,'Danh mục'!$A$39:$A$78,0))&amp;"","?")))</f>
      </c>
      <c r="G501" s="16">
        <f>IF(OR(D501="",C501&lt;&gt;"Chi"),"",IFERROR(INDEX('Danh mục'!$C$39:$C$78,MATCH(D501,'Danh mục'!$A$39:$A$78,0))&amp;"",""))</f>
      </c>
      <c r="H501" s="11"/>
      <c r="I501" s="20"/>
      <c r="J501" s="11"/>
      <c r="K501" s="11"/>
      <c r="L501" s="11"/>
    </row>
    <row r="502" spans="1:12" x14ac:dyDescent="0.3">
      <c r="A502" s="31"/>
      <c r="B502" s="32">
        <f>IF(A502="","",DATE(YEAR(A502),MONTH(A502),1))</f>
      </c>
      <c r="C502" s="11"/>
      <c r="D502" s="11"/>
      <c r="E502" s="16">
        <f>IF(OR(D502="",C502&lt;&gt;"Chi"),"",IFERROR(INDEX('Danh mục'!$B$39:$B$78,MATCH(D502,'Danh mục'!$A$39:$A$78,0))&amp;"","?"))</f>
      </c>
      <c r="F502" s="16">
        <f>IF(D502="","",IF(C502="Thu",IFERROR(INDEX('Danh mục'!$B$26:$B$35,MATCH(D502,'Danh mục'!$A$26:$A$35,0))&amp;"","?"),IFERROR(INDEX('Danh mục'!$D$39:$D$78,MATCH(D502,'Danh mục'!$A$39:$A$78,0))&amp;"","?")))</f>
      </c>
      <c r="G502" s="16">
        <f>IF(OR(D502="",C502&lt;&gt;"Chi"),"",IFERROR(INDEX('Danh mục'!$C$39:$C$78,MATCH(D502,'Danh mục'!$A$39:$A$78,0))&amp;"",""))</f>
      </c>
      <c r="H502" s="11"/>
      <c r="I502" s="20"/>
      <c r="J502" s="11"/>
      <c r="K502" s="11"/>
      <c r="L502" s="11"/>
    </row>
    <row r="503" spans="1:12" x14ac:dyDescent="0.3">
      <c r="A503" s="31"/>
      <c r="B503" s="32">
        <f>IF(A503="","",DATE(YEAR(A503),MONTH(A503),1))</f>
      </c>
      <c r="C503" s="11"/>
      <c r="D503" s="11"/>
      <c r="E503" s="16">
        <f>IF(OR(D503="",C503&lt;&gt;"Chi"),"",IFERROR(INDEX('Danh mục'!$B$39:$B$78,MATCH(D503,'Danh mục'!$A$39:$A$78,0))&amp;"","?"))</f>
      </c>
      <c r="F503" s="16">
        <f>IF(D503="","",IF(C503="Thu",IFERROR(INDEX('Danh mục'!$B$26:$B$35,MATCH(D503,'Danh mục'!$A$26:$A$35,0))&amp;"","?"),IFERROR(INDEX('Danh mục'!$D$39:$D$78,MATCH(D503,'Danh mục'!$A$39:$A$78,0))&amp;"","?")))</f>
      </c>
      <c r="G503" s="16">
        <f>IF(OR(D503="",C503&lt;&gt;"Chi"),"",IFERROR(INDEX('Danh mục'!$C$39:$C$78,MATCH(D503,'Danh mục'!$A$39:$A$78,0))&amp;"",""))</f>
      </c>
      <c r="H503" s="11"/>
      <c r="I503" s="20"/>
      <c r="J503" s="11"/>
      <c r="K503" s="11"/>
      <c r="L503" s="11"/>
    </row>
    <row r="504" spans="1:12" x14ac:dyDescent="0.3">
      <c r="A504" s="31"/>
      <c r="B504" s="32">
        <f>IF(A504="","",DATE(YEAR(A504),MONTH(A504),1))</f>
      </c>
      <c r="C504" s="11"/>
      <c r="D504" s="11"/>
      <c r="E504" s="16">
        <f>IF(OR(D504="",C504&lt;&gt;"Chi"),"",IFERROR(INDEX('Danh mục'!$B$39:$B$78,MATCH(D504,'Danh mục'!$A$39:$A$78,0))&amp;"","?"))</f>
      </c>
      <c r="F504" s="16">
        <f>IF(D504="","",IF(C504="Thu",IFERROR(INDEX('Danh mục'!$B$26:$B$35,MATCH(D504,'Danh mục'!$A$26:$A$35,0))&amp;"","?"),IFERROR(INDEX('Danh mục'!$D$39:$D$78,MATCH(D504,'Danh mục'!$A$39:$A$78,0))&amp;"","?")))</f>
      </c>
      <c r="G504" s="16">
        <f>IF(OR(D504="",C504&lt;&gt;"Chi"),"",IFERROR(INDEX('Danh mục'!$C$39:$C$78,MATCH(D504,'Danh mục'!$A$39:$A$78,0))&amp;"",""))</f>
      </c>
      <c r="H504" s="11"/>
      <c r="I504" s="20"/>
      <c r="J504" s="11"/>
      <c r="K504" s="11"/>
      <c r="L504" s="11"/>
    </row>
    <row r="505" spans="1:12" x14ac:dyDescent="0.3">
      <c r="A505" s="31"/>
      <c r="B505" s="32">
        <f>IF(A505="","",DATE(YEAR(A505),MONTH(A505),1))</f>
      </c>
      <c r="C505" s="11"/>
      <c r="D505" s="11"/>
      <c r="E505" s="16">
        <f>IF(OR(D505="",C505&lt;&gt;"Chi"),"",IFERROR(INDEX('Danh mục'!$B$39:$B$78,MATCH(D505,'Danh mục'!$A$39:$A$78,0))&amp;"","?"))</f>
      </c>
      <c r="F505" s="16">
        <f>IF(D505="","",IF(C505="Thu",IFERROR(INDEX('Danh mục'!$B$26:$B$35,MATCH(D505,'Danh mục'!$A$26:$A$35,0))&amp;"","?"),IFERROR(INDEX('Danh mục'!$D$39:$D$78,MATCH(D505,'Danh mục'!$A$39:$A$78,0))&amp;"","?")))</f>
      </c>
      <c r="G505" s="16">
        <f>IF(OR(D505="",C505&lt;&gt;"Chi"),"",IFERROR(INDEX('Danh mục'!$C$39:$C$78,MATCH(D505,'Danh mục'!$A$39:$A$78,0))&amp;"",""))</f>
      </c>
      <c r="H505" s="11"/>
      <c r="I505" s="20"/>
      <c r="J505" s="11"/>
      <c r="K505" s="11"/>
      <c r="L505" s="11"/>
    </row>
    <row r="506" spans="1:12" x14ac:dyDescent="0.3">
      <c r="A506" s="31"/>
      <c r="B506" s="32">
        <f>IF(A506="","",DATE(YEAR(A506),MONTH(A506),1))</f>
      </c>
      <c r="C506" s="11"/>
      <c r="D506" s="11"/>
      <c r="E506" s="16">
        <f>IF(OR(D506="",C506&lt;&gt;"Chi"),"",IFERROR(INDEX('Danh mục'!$B$39:$B$78,MATCH(D506,'Danh mục'!$A$39:$A$78,0))&amp;"","?"))</f>
      </c>
      <c r="F506" s="16">
        <f>IF(D506="","",IF(C506="Thu",IFERROR(INDEX('Danh mục'!$B$26:$B$35,MATCH(D506,'Danh mục'!$A$26:$A$35,0))&amp;"","?"),IFERROR(INDEX('Danh mục'!$D$39:$D$78,MATCH(D506,'Danh mục'!$A$39:$A$78,0))&amp;"","?")))</f>
      </c>
      <c r="G506" s="16">
        <f>IF(OR(D506="",C506&lt;&gt;"Chi"),"",IFERROR(INDEX('Danh mục'!$C$39:$C$78,MATCH(D506,'Danh mục'!$A$39:$A$78,0))&amp;"",""))</f>
      </c>
      <c r="H506" s="11"/>
      <c r="I506" s="20"/>
      <c r="J506" s="11"/>
      <c r="K506" s="11"/>
      <c r="L506" s="11"/>
    </row>
    <row r="507" spans="1:12" x14ac:dyDescent="0.3">
      <c r="A507" s="31"/>
      <c r="B507" s="32">
        <f>IF(A507="","",DATE(YEAR(A507),MONTH(A507),1))</f>
      </c>
      <c r="C507" s="11"/>
      <c r="D507" s="11"/>
      <c r="E507" s="16">
        <f>IF(OR(D507="",C507&lt;&gt;"Chi"),"",IFERROR(INDEX('Danh mục'!$B$39:$B$78,MATCH(D507,'Danh mục'!$A$39:$A$78,0))&amp;"","?"))</f>
      </c>
      <c r="F507" s="16">
        <f>IF(D507="","",IF(C507="Thu",IFERROR(INDEX('Danh mục'!$B$26:$B$35,MATCH(D507,'Danh mục'!$A$26:$A$35,0))&amp;"","?"),IFERROR(INDEX('Danh mục'!$D$39:$D$78,MATCH(D507,'Danh mục'!$A$39:$A$78,0))&amp;"","?")))</f>
      </c>
      <c r="G507" s="16">
        <f>IF(OR(D507="",C507&lt;&gt;"Chi"),"",IFERROR(INDEX('Danh mục'!$C$39:$C$78,MATCH(D507,'Danh mục'!$A$39:$A$78,0))&amp;"",""))</f>
      </c>
      <c r="H507" s="11"/>
      <c r="I507" s="20"/>
      <c r="J507" s="11"/>
      <c r="K507" s="11"/>
      <c r="L507" s="11"/>
    </row>
    <row r="508" spans="1:12" x14ac:dyDescent="0.3">
      <c r="A508" s="31"/>
      <c r="B508" s="32">
        <f>IF(A508="","",DATE(YEAR(A508),MONTH(A508),1))</f>
      </c>
      <c r="C508" s="11"/>
      <c r="D508" s="11"/>
      <c r="E508" s="16">
        <f>IF(OR(D508="",C508&lt;&gt;"Chi"),"",IFERROR(INDEX('Danh mục'!$B$39:$B$78,MATCH(D508,'Danh mục'!$A$39:$A$78,0))&amp;"","?"))</f>
      </c>
      <c r="F508" s="16">
        <f>IF(D508="","",IF(C508="Thu",IFERROR(INDEX('Danh mục'!$B$26:$B$35,MATCH(D508,'Danh mục'!$A$26:$A$35,0))&amp;"","?"),IFERROR(INDEX('Danh mục'!$D$39:$D$78,MATCH(D508,'Danh mục'!$A$39:$A$78,0))&amp;"","?")))</f>
      </c>
      <c r="G508" s="16">
        <f>IF(OR(D508="",C508&lt;&gt;"Chi"),"",IFERROR(INDEX('Danh mục'!$C$39:$C$78,MATCH(D508,'Danh mục'!$A$39:$A$78,0))&amp;"",""))</f>
      </c>
      <c r="H508" s="11"/>
      <c r="I508" s="20"/>
      <c r="J508" s="11"/>
      <c r="K508" s="11"/>
      <c r="L508" s="11"/>
    </row>
    <row r="509" spans="1:12" x14ac:dyDescent="0.3">
      <c r="A509" s="31"/>
      <c r="B509" s="32">
        <f>IF(A509="","",DATE(YEAR(A509),MONTH(A509),1))</f>
      </c>
      <c r="C509" s="11"/>
      <c r="D509" s="11"/>
      <c r="E509" s="16">
        <f>IF(OR(D509="",C509&lt;&gt;"Chi"),"",IFERROR(INDEX('Danh mục'!$B$39:$B$78,MATCH(D509,'Danh mục'!$A$39:$A$78,0))&amp;"","?"))</f>
      </c>
      <c r="F509" s="16">
        <f>IF(D509="","",IF(C509="Thu",IFERROR(INDEX('Danh mục'!$B$26:$B$35,MATCH(D509,'Danh mục'!$A$26:$A$35,0))&amp;"","?"),IFERROR(INDEX('Danh mục'!$D$39:$D$78,MATCH(D509,'Danh mục'!$A$39:$A$78,0))&amp;"","?")))</f>
      </c>
      <c r="G509" s="16">
        <f>IF(OR(D509="",C509&lt;&gt;"Chi"),"",IFERROR(INDEX('Danh mục'!$C$39:$C$78,MATCH(D509,'Danh mục'!$A$39:$A$78,0))&amp;"",""))</f>
      </c>
      <c r="H509" s="11"/>
      <c r="I509" s="20"/>
      <c r="J509" s="11"/>
      <c r="K509" s="11"/>
      <c r="L509" s="11"/>
    </row>
    <row r="510" spans="1:12" x14ac:dyDescent="0.3">
      <c r="A510" s="31"/>
      <c r="B510" s="32">
        <f>IF(A510="","",DATE(YEAR(A510),MONTH(A510),1))</f>
      </c>
      <c r="C510" s="11"/>
      <c r="D510" s="11"/>
      <c r="E510" s="16">
        <f>IF(OR(D510="",C510&lt;&gt;"Chi"),"",IFERROR(INDEX('Danh mục'!$B$39:$B$78,MATCH(D510,'Danh mục'!$A$39:$A$78,0))&amp;"","?"))</f>
      </c>
      <c r="F510" s="16">
        <f>IF(D510="","",IF(C510="Thu",IFERROR(INDEX('Danh mục'!$B$26:$B$35,MATCH(D510,'Danh mục'!$A$26:$A$35,0))&amp;"","?"),IFERROR(INDEX('Danh mục'!$D$39:$D$78,MATCH(D510,'Danh mục'!$A$39:$A$78,0))&amp;"","?")))</f>
      </c>
      <c r="G510" s="16">
        <f>IF(OR(D510="",C510&lt;&gt;"Chi"),"",IFERROR(INDEX('Danh mục'!$C$39:$C$78,MATCH(D510,'Danh mục'!$A$39:$A$78,0))&amp;"",""))</f>
      </c>
      <c r="H510" s="11"/>
      <c r="I510" s="20"/>
      <c r="J510" s="11"/>
      <c r="K510" s="11"/>
      <c r="L510" s="11"/>
    </row>
    <row r="511" spans="1:12" x14ac:dyDescent="0.3">
      <c r="A511" s="31"/>
      <c r="B511" s="32">
        <f>IF(A511="","",DATE(YEAR(A511),MONTH(A511),1))</f>
      </c>
      <c r="C511" s="11"/>
      <c r="D511" s="11"/>
      <c r="E511" s="16">
        <f>IF(OR(D511="",C511&lt;&gt;"Chi"),"",IFERROR(INDEX('Danh mục'!$B$39:$B$78,MATCH(D511,'Danh mục'!$A$39:$A$78,0))&amp;"","?"))</f>
      </c>
      <c r="F511" s="16">
        <f>IF(D511="","",IF(C511="Thu",IFERROR(INDEX('Danh mục'!$B$26:$B$35,MATCH(D511,'Danh mục'!$A$26:$A$35,0))&amp;"","?"),IFERROR(INDEX('Danh mục'!$D$39:$D$78,MATCH(D511,'Danh mục'!$A$39:$A$78,0))&amp;"","?")))</f>
      </c>
      <c r="G511" s="16">
        <f>IF(OR(D511="",C511&lt;&gt;"Chi"),"",IFERROR(INDEX('Danh mục'!$C$39:$C$78,MATCH(D511,'Danh mục'!$A$39:$A$78,0))&amp;"",""))</f>
      </c>
      <c r="H511" s="11"/>
      <c r="I511" s="20"/>
      <c r="J511" s="11"/>
      <c r="K511" s="11"/>
      <c r="L511" s="11"/>
    </row>
    <row r="512" spans="1:12" x14ac:dyDescent="0.3">
      <c r="A512" s="31"/>
      <c r="B512" s="32">
        <f>IF(A512="","",DATE(YEAR(A512),MONTH(A512),1))</f>
      </c>
      <c r="C512" s="11"/>
      <c r="D512" s="11"/>
      <c r="E512" s="16">
        <f>IF(OR(D512="",C512&lt;&gt;"Chi"),"",IFERROR(INDEX('Danh mục'!$B$39:$B$78,MATCH(D512,'Danh mục'!$A$39:$A$78,0))&amp;"","?"))</f>
      </c>
      <c r="F512" s="16">
        <f>IF(D512="","",IF(C512="Thu",IFERROR(INDEX('Danh mục'!$B$26:$B$35,MATCH(D512,'Danh mục'!$A$26:$A$35,0))&amp;"","?"),IFERROR(INDEX('Danh mục'!$D$39:$D$78,MATCH(D512,'Danh mục'!$A$39:$A$78,0))&amp;"","?")))</f>
      </c>
      <c r="G512" s="16">
        <f>IF(OR(D512="",C512&lt;&gt;"Chi"),"",IFERROR(INDEX('Danh mục'!$C$39:$C$78,MATCH(D512,'Danh mục'!$A$39:$A$78,0))&amp;"",""))</f>
      </c>
      <c r="H512" s="11"/>
      <c r="I512" s="20"/>
      <c r="J512" s="11"/>
      <c r="K512" s="11"/>
      <c r="L512" s="11"/>
    </row>
    <row r="513" spans="1:12" x14ac:dyDescent="0.3">
      <c r="A513" s="31"/>
      <c r="B513" s="32">
        <f>IF(A513="","",DATE(YEAR(A513),MONTH(A513),1))</f>
      </c>
      <c r="C513" s="11"/>
      <c r="D513" s="11"/>
      <c r="E513" s="16">
        <f>IF(OR(D513="",C513&lt;&gt;"Chi"),"",IFERROR(INDEX('Danh mục'!$B$39:$B$78,MATCH(D513,'Danh mục'!$A$39:$A$78,0))&amp;"","?"))</f>
      </c>
      <c r="F513" s="16">
        <f>IF(D513="","",IF(C513="Thu",IFERROR(INDEX('Danh mục'!$B$26:$B$35,MATCH(D513,'Danh mục'!$A$26:$A$35,0))&amp;"","?"),IFERROR(INDEX('Danh mục'!$D$39:$D$78,MATCH(D513,'Danh mục'!$A$39:$A$78,0))&amp;"","?")))</f>
      </c>
      <c r="G513" s="16">
        <f>IF(OR(D513="",C513&lt;&gt;"Chi"),"",IFERROR(INDEX('Danh mục'!$C$39:$C$78,MATCH(D513,'Danh mục'!$A$39:$A$78,0))&amp;"",""))</f>
      </c>
      <c r="H513" s="11"/>
      <c r="I513" s="20"/>
      <c r="J513" s="11"/>
      <c r="K513" s="11"/>
      <c r="L513" s="11"/>
    </row>
    <row r="514" spans="1:12" x14ac:dyDescent="0.3">
      <c r="A514" s="31"/>
      <c r="B514" s="32">
        <f>IF(A514="","",DATE(YEAR(A514),MONTH(A514),1))</f>
      </c>
      <c r="C514" s="11"/>
      <c r="D514" s="11"/>
      <c r="E514" s="16">
        <f>IF(OR(D514="",C514&lt;&gt;"Chi"),"",IFERROR(INDEX('Danh mục'!$B$39:$B$78,MATCH(D514,'Danh mục'!$A$39:$A$78,0))&amp;"","?"))</f>
      </c>
      <c r="F514" s="16">
        <f>IF(D514="","",IF(C514="Thu",IFERROR(INDEX('Danh mục'!$B$26:$B$35,MATCH(D514,'Danh mục'!$A$26:$A$35,0))&amp;"","?"),IFERROR(INDEX('Danh mục'!$D$39:$D$78,MATCH(D514,'Danh mục'!$A$39:$A$78,0))&amp;"","?")))</f>
      </c>
      <c r="G514" s="16">
        <f>IF(OR(D514="",C514&lt;&gt;"Chi"),"",IFERROR(INDEX('Danh mục'!$C$39:$C$78,MATCH(D514,'Danh mục'!$A$39:$A$78,0))&amp;"",""))</f>
      </c>
      <c r="H514" s="11"/>
      <c r="I514" s="20"/>
      <c r="J514" s="11"/>
      <c r="K514" s="11"/>
      <c r="L514" s="11"/>
    </row>
    <row r="515" spans="1:12" x14ac:dyDescent="0.3">
      <c r="A515" s="31"/>
      <c r="B515" s="32">
        <f>IF(A515="","",DATE(YEAR(A515),MONTH(A515),1))</f>
      </c>
      <c r="C515" s="11"/>
      <c r="D515" s="11"/>
      <c r="E515" s="16">
        <f>IF(OR(D515="",C515&lt;&gt;"Chi"),"",IFERROR(INDEX('Danh mục'!$B$39:$B$78,MATCH(D515,'Danh mục'!$A$39:$A$78,0))&amp;"","?"))</f>
      </c>
      <c r="F515" s="16">
        <f>IF(D515="","",IF(C515="Thu",IFERROR(INDEX('Danh mục'!$B$26:$B$35,MATCH(D515,'Danh mục'!$A$26:$A$35,0))&amp;"","?"),IFERROR(INDEX('Danh mục'!$D$39:$D$78,MATCH(D515,'Danh mục'!$A$39:$A$78,0))&amp;"","?")))</f>
      </c>
      <c r="G515" s="16">
        <f>IF(OR(D515="",C515&lt;&gt;"Chi"),"",IFERROR(INDEX('Danh mục'!$C$39:$C$78,MATCH(D515,'Danh mục'!$A$39:$A$78,0))&amp;"",""))</f>
      </c>
      <c r="H515" s="11"/>
      <c r="I515" s="20"/>
      <c r="J515" s="11"/>
      <c r="K515" s="11"/>
      <c r="L515" s="11"/>
    </row>
    <row r="516" spans="1:12" x14ac:dyDescent="0.3">
      <c r="A516" s="31"/>
      <c r="B516" s="32">
        <f>IF(A516="","",DATE(YEAR(A516),MONTH(A516),1))</f>
      </c>
      <c r="C516" s="11"/>
      <c r="D516" s="11"/>
      <c r="E516" s="16">
        <f>IF(OR(D516="",C516&lt;&gt;"Chi"),"",IFERROR(INDEX('Danh mục'!$B$39:$B$78,MATCH(D516,'Danh mục'!$A$39:$A$78,0))&amp;"","?"))</f>
      </c>
      <c r="F516" s="16">
        <f>IF(D516="","",IF(C516="Thu",IFERROR(INDEX('Danh mục'!$B$26:$B$35,MATCH(D516,'Danh mục'!$A$26:$A$35,0))&amp;"","?"),IFERROR(INDEX('Danh mục'!$D$39:$D$78,MATCH(D516,'Danh mục'!$A$39:$A$78,0))&amp;"","?")))</f>
      </c>
      <c r="G516" s="16">
        <f>IF(OR(D516="",C516&lt;&gt;"Chi"),"",IFERROR(INDEX('Danh mục'!$C$39:$C$78,MATCH(D516,'Danh mục'!$A$39:$A$78,0))&amp;"",""))</f>
      </c>
      <c r="H516" s="11"/>
      <c r="I516" s="20"/>
      <c r="J516" s="11"/>
      <c r="K516" s="11"/>
      <c r="L516" s="11"/>
    </row>
    <row r="517" spans="1:12" x14ac:dyDescent="0.3">
      <c r="A517" s="31"/>
      <c r="B517" s="32">
        <f>IF(A517="","",DATE(YEAR(A517),MONTH(A517),1))</f>
      </c>
      <c r="C517" s="11"/>
      <c r="D517" s="11"/>
      <c r="E517" s="16">
        <f>IF(OR(D517="",C517&lt;&gt;"Chi"),"",IFERROR(INDEX('Danh mục'!$B$39:$B$78,MATCH(D517,'Danh mục'!$A$39:$A$78,0))&amp;"","?"))</f>
      </c>
      <c r="F517" s="16">
        <f>IF(D517="","",IF(C517="Thu",IFERROR(INDEX('Danh mục'!$B$26:$B$35,MATCH(D517,'Danh mục'!$A$26:$A$35,0))&amp;"","?"),IFERROR(INDEX('Danh mục'!$D$39:$D$78,MATCH(D517,'Danh mục'!$A$39:$A$78,0))&amp;"","?")))</f>
      </c>
      <c r="G517" s="16">
        <f>IF(OR(D517="",C517&lt;&gt;"Chi"),"",IFERROR(INDEX('Danh mục'!$C$39:$C$78,MATCH(D517,'Danh mục'!$A$39:$A$78,0))&amp;"",""))</f>
      </c>
      <c r="H517" s="11"/>
      <c r="I517" s="20"/>
      <c r="J517" s="11"/>
      <c r="K517" s="11"/>
      <c r="L517" s="11"/>
    </row>
    <row r="518" spans="1:12" x14ac:dyDescent="0.3">
      <c r="A518" s="31"/>
      <c r="B518" s="32">
        <f>IF(A518="","",DATE(YEAR(A518),MONTH(A518),1))</f>
      </c>
      <c r="C518" s="11"/>
      <c r="D518" s="11"/>
      <c r="E518" s="16">
        <f>IF(OR(D518="",C518&lt;&gt;"Chi"),"",IFERROR(INDEX('Danh mục'!$B$39:$B$78,MATCH(D518,'Danh mục'!$A$39:$A$78,0))&amp;"","?"))</f>
      </c>
      <c r="F518" s="16">
        <f>IF(D518="","",IF(C518="Thu",IFERROR(INDEX('Danh mục'!$B$26:$B$35,MATCH(D518,'Danh mục'!$A$26:$A$35,0))&amp;"","?"),IFERROR(INDEX('Danh mục'!$D$39:$D$78,MATCH(D518,'Danh mục'!$A$39:$A$78,0))&amp;"","?")))</f>
      </c>
      <c r="G518" s="16">
        <f>IF(OR(D518="",C518&lt;&gt;"Chi"),"",IFERROR(INDEX('Danh mục'!$C$39:$C$78,MATCH(D518,'Danh mục'!$A$39:$A$78,0))&amp;"",""))</f>
      </c>
      <c r="H518" s="11"/>
      <c r="I518" s="20"/>
      <c r="J518" s="11"/>
      <c r="K518" s="11"/>
      <c r="L518" s="11"/>
    </row>
    <row r="519" spans="1:12" x14ac:dyDescent="0.3">
      <c r="A519" s="31"/>
      <c r="B519" s="32">
        <f>IF(A519="","",DATE(YEAR(A519),MONTH(A519),1))</f>
      </c>
      <c r="C519" s="11"/>
      <c r="D519" s="11"/>
      <c r="E519" s="16">
        <f>IF(OR(D519="",C519&lt;&gt;"Chi"),"",IFERROR(INDEX('Danh mục'!$B$39:$B$78,MATCH(D519,'Danh mục'!$A$39:$A$78,0))&amp;"","?"))</f>
      </c>
      <c r="F519" s="16">
        <f>IF(D519="","",IF(C519="Thu",IFERROR(INDEX('Danh mục'!$B$26:$B$35,MATCH(D519,'Danh mục'!$A$26:$A$35,0))&amp;"","?"),IFERROR(INDEX('Danh mục'!$D$39:$D$78,MATCH(D519,'Danh mục'!$A$39:$A$78,0))&amp;"","?")))</f>
      </c>
      <c r="G519" s="16">
        <f>IF(OR(D519="",C519&lt;&gt;"Chi"),"",IFERROR(INDEX('Danh mục'!$C$39:$C$78,MATCH(D519,'Danh mục'!$A$39:$A$78,0))&amp;"",""))</f>
      </c>
      <c r="H519" s="11"/>
      <c r="I519" s="20"/>
      <c r="J519" s="11"/>
      <c r="K519" s="11"/>
      <c r="L519" s="11"/>
    </row>
    <row r="520" spans="1:12" x14ac:dyDescent="0.3">
      <c r="A520" s="31"/>
      <c r="B520" s="32">
        <f>IF(A520="","",DATE(YEAR(A520),MONTH(A520),1))</f>
      </c>
      <c r="C520" s="11"/>
      <c r="D520" s="11"/>
      <c r="E520" s="16">
        <f>IF(OR(D520="",C520&lt;&gt;"Chi"),"",IFERROR(INDEX('Danh mục'!$B$39:$B$78,MATCH(D520,'Danh mục'!$A$39:$A$78,0))&amp;"","?"))</f>
      </c>
      <c r="F520" s="16">
        <f>IF(D520="","",IF(C520="Thu",IFERROR(INDEX('Danh mục'!$B$26:$B$35,MATCH(D520,'Danh mục'!$A$26:$A$35,0))&amp;"","?"),IFERROR(INDEX('Danh mục'!$D$39:$D$78,MATCH(D520,'Danh mục'!$A$39:$A$78,0))&amp;"","?")))</f>
      </c>
      <c r="G520" s="16">
        <f>IF(OR(D520="",C520&lt;&gt;"Chi"),"",IFERROR(INDEX('Danh mục'!$C$39:$C$78,MATCH(D520,'Danh mục'!$A$39:$A$78,0))&amp;"",""))</f>
      </c>
      <c r="H520" s="11"/>
      <c r="I520" s="20"/>
      <c r="J520" s="11"/>
      <c r="K520" s="11"/>
      <c r="L520" s="11"/>
    </row>
    <row r="521" spans="1:12" x14ac:dyDescent="0.3">
      <c r="A521" s="31"/>
      <c r="B521" s="32">
        <f>IF(A521="","",DATE(YEAR(A521),MONTH(A521),1))</f>
      </c>
      <c r="C521" s="11"/>
      <c r="D521" s="11"/>
      <c r="E521" s="16">
        <f>IF(OR(D521="",C521&lt;&gt;"Chi"),"",IFERROR(INDEX('Danh mục'!$B$39:$B$78,MATCH(D521,'Danh mục'!$A$39:$A$78,0))&amp;"","?"))</f>
      </c>
      <c r="F521" s="16">
        <f>IF(D521="","",IF(C521="Thu",IFERROR(INDEX('Danh mục'!$B$26:$B$35,MATCH(D521,'Danh mục'!$A$26:$A$35,0))&amp;"","?"),IFERROR(INDEX('Danh mục'!$D$39:$D$78,MATCH(D521,'Danh mục'!$A$39:$A$78,0))&amp;"","?")))</f>
      </c>
      <c r="G521" s="16">
        <f>IF(OR(D521="",C521&lt;&gt;"Chi"),"",IFERROR(INDEX('Danh mục'!$C$39:$C$78,MATCH(D521,'Danh mục'!$A$39:$A$78,0))&amp;"",""))</f>
      </c>
      <c r="H521" s="11"/>
      <c r="I521" s="20"/>
      <c r="J521" s="11"/>
      <c r="K521" s="11"/>
      <c r="L521" s="11"/>
    </row>
    <row r="522" spans="1:12" x14ac:dyDescent="0.3">
      <c r="A522" s="31"/>
      <c r="B522" s="32">
        <f>IF(A522="","",DATE(YEAR(A522),MONTH(A522),1))</f>
      </c>
      <c r="C522" s="11"/>
      <c r="D522" s="11"/>
      <c r="E522" s="16">
        <f>IF(OR(D522="",C522&lt;&gt;"Chi"),"",IFERROR(INDEX('Danh mục'!$B$39:$B$78,MATCH(D522,'Danh mục'!$A$39:$A$78,0))&amp;"","?"))</f>
      </c>
      <c r="F522" s="16">
        <f>IF(D522="","",IF(C522="Thu",IFERROR(INDEX('Danh mục'!$B$26:$B$35,MATCH(D522,'Danh mục'!$A$26:$A$35,0))&amp;"","?"),IFERROR(INDEX('Danh mục'!$D$39:$D$78,MATCH(D522,'Danh mục'!$A$39:$A$78,0))&amp;"","?")))</f>
      </c>
      <c r="G522" s="16">
        <f>IF(OR(D522="",C522&lt;&gt;"Chi"),"",IFERROR(INDEX('Danh mục'!$C$39:$C$78,MATCH(D522,'Danh mục'!$A$39:$A$78,0))&amp;"",""))</f>
      </c>
      <c r="H522" s="11"/>
      <c r="I522" s="20"/>
      <c r="J522" s="11"/>
      <c r="K522" s="11"/>
      <c r="L522" s="11"/>
    </row>
    <row r="523" spans="1:12" x14ac:dyDescent="0.3">
      <c r="A523" s="31"/>
      <c r="B523" s="32">
        <f>IF(A523="","",DATE(YEAR(A523),MONTH(A523),1))</f>
      </c>
      <c r="C523" s="11"/>
      <c r="D523" s="11"/>
      <c r="E523" s="16">
        <f>IF(OR(D523="",C523&lt;&gt;"Chi"),"",IFERROR(INDEX('Danh mục'!$B$39:$B$78,MATCH(D523,'Danh mục'!$A$39:$A$78,0))&amp;"","?"))</f>
      </c>
      <c r="F523" s="16">
        <f>IF(D523="","",IF(C523="Thu",IFERROR(INDEX('Danh mục'!$B$26:$B$35,MATCH(D523,'Danh mục'!$A$26:$A$35,0))&amp;"","?"),IFERROR(INDEX('Danh mục'!$D$39:$D$78,MATCH(D523,'Danh mục'!$A$39:$A$78,0))&amp;"","?")))</f>
      </c>
      <c r="G523" s="16">
        <f>IF(OR(D523="",C523&lt;&gt;"Chi"),"",IFERROR(INDEX('Danh mục'!$C$39:$C$78,MATCH(D523,'Danh mục'!$A$39:$A$78,0))&amp;"",""))</f>
      </c>
      <c r="H523" s="11"/>
      <c r="I523" s="20"/>
      <c r="J523" s="11"/>
      <c r="K523" s="11"/>
      <c r="L523" s="11"/>
    </row>
    <row r="524" spans="1:12" x14ac:dyDescent="0.3">
      <c r="A524" s="31"/>
      <c r="B524" s="32">
        <f>IF(A524="","",DATE(YEAR(A524),MONTH(A524),1))</f>
      </c>
      <c r="C524" s="11"/>
      <c r="D524" s="11"/>
      <c r="E524" s="16">
        <f>IF(OR(D524="",C524&lt;&gt;"Chi"),"",IFERROR(INDEX('Danh mục'!$B$39:$B$78,MATCH(D524,'Danh mục'!$A$39:$A$78,0))&amp;"","?"))</f>
      </c>
      <c r="F524" s="16">
        <f>IF(D524="","",IF(C524="Thu",IFERROR(INDEX('Danh mục'!$B$26:$B$35,MATCH(D524,'Danh mục'!$A$26:$A$35,0))&amp;"","?"),IFERROR(INDEX('Danh mục'!$D$39:$D$78,MATCH(D524,'Danh mục'!$A$39:$A$78,0))&amp;"","?")))</f>
      </c>
      <c r="G524" s="16">
        <f>IF(OR(D524="",C524&lt;&gt;"Chi"),"",IFERROR(INDEX('Danh mục'!$C$39:$C$78,MATCH(D524,'Danh mục'!$A$39:$A$78,0))&amp;"",""))</f>
      </c>
      <c r="H524" s="11"/>
      <c r="I524" s="20"/>
      <c r="J524" s="11"/>
      <c r="K524" s="11"/>
      <c r="L524" s="11"/>
    </row>
    <row r="525" spans="1:12" x14ac:dyDescent="0.3">
      <c r="A525" s="31"/>
      <c r="B525" s="32">
        <f>IF(A525="","",DATE(YEAR(A525),MONTH(A525),1))</f>
      </c>
      <c r="C525" s="11"/>
      <c r="D525" s="11"/>
      <c r="E525" s="16">
        <f>IF(OR(D525="",C525&lt;&gt;"Chi"),"",IFERROR(INDEX('Danh mục'!$B$39:$B$78,MATCH(D525,'Danh mục'!$A$39:$A$78,0))&amp;"","?"))</f>
      </c>
      <c r="F525" s="16">
        <f>IF(D525="","",IF(C525="Thu",IFERROR(INDEX('Danh mục'!$B$26:$B$35,MATCH(D525,'Danh mục'!$A$26:$A$35,0))&amp;"","?"),IFERROR(INDEX('Danh mục'!$D$39:$D$78,MATCH(D525,'Danh mục'!$A$39:$A$78,0))&amp;"","?")))</f>
      </c>
      <c r="G525" s="16">
        <f>IF(OR(D525="",C525&lt;&gt;"Chi"),"",IFERROR(INDEX('Danh mục'!$C$39:$C$78,MATCH(D525,'Danh mục'!$A$39:$A$78,0))&amp;"",""))</f>
      </c>
      <c r="H525" s="11"/>
      <c r="I525" s="20"/>
      <c r="J525" s="11"/>
      <c r="K525" s="11"/>
      <c r="L525" s="11"/>
    </row>
    <row r="526" spans="1:12" x14ac:dyDescent="0.3">
      <c r="A526" s="31"/>
      <c r="B526" s="32">
        <f>IF(A526="","",DATE(YEAR(A526),MONTH(A526),1))</f>
      </c>
      <c r="C526" s="11"/>
      <c r="D526" s="11"/>
      <c r="E526" s="16">
        <f>IF(OR(D526="",C526&lt;&gt;"Chi"),"",IFERROR(INDEX('Danh mục'!$B$39:$B$78,MATCH(D526,'Danh mục'!$A$39:$A$78,0))&amp;"","?"))</f>
      </c>
      <c r="F526" s="16">
        <f>IF(D526="","",IF(C526="Thu",IFERROR(INDEX('Danh mục'!$B$26:$B$35,MATCH(D526,'Danh mục'!$A$26:$A$35,0))&amp;"","?"),IFERROR(INDEX('Danh mục'!$D$39:$D$78,MATCH(D526,'Danh mục'!$A$39:$A$78,0))&amp;"","?")))</f>
      </c>
      <c r="G526" s="16">
        <f>IF(OR(D526="",C526&lt;&gt;"Chi"),"",IFERROR(INDEX('Danh mục'!$C$39:$C$78,MATCH(D526,'Danh mục'!$A$39:$A$78,0))&amp;"",""))</f>
      </c>
      <c r="H526" s="11"/>
      <c r="I526" s="20"/>
      <c r="J526" s="11"/>
      <c r="K526" s="11"/>
      <c r="L526" s="11"/>
    </row>
    <row r="527" spans="1:12" x14ac:dyDescent="0.3">
      <c r="A527" s="31"/>
      <c r="B527" s="32">
        <f>IF(A527="","",DATE(YEAR(A527),MONTH(A527),1))</f>
      </c>
      <c r="C527" s="11"/>
      <c r="D527" s="11"/>
      <c r="E527" s="16">
        <f>IF(OR(D527="",C527&lt;&gt;"Chi"),"",IFERROR(INDEX('Danh mục'!$B$39:$B$78,MATCH(D527,'Danh mục'!$A$39:$A$78,0))&amp;"","?"))</f>
      </c>
      <c r="F527" s="16">
        <f>IF(D527="","",IF(C527="Thu",IFERROR(INDEX('Danh mục'!$B$26:$B$35,MATCH(D527,'Danh mục'!$A$26:$A$35,0))&amp;"","?"),IFERROR(INDEX('Danh mục'!$D$39:$D$78,MATCH(D527,'Danh mục'!$A$39:$A$78,0))&amp;"","?")))</f>
      </c>
      <c r="G527" s="16">
        <f>IF(OR(D527="",C527&lt;&gt;"Chi"),"",IFERROR(INDEX('Danh mục'!$C$39:$C$78,MATCH(D527,'Danh mục'!$A$39:$A$78,0))&amp;"",""))</f>
      </c>
      <c r="H527" s="11"/>
      <c r="I527" s="20"/>
      <c r="J527" s="11"/>
      <c r="K527" s="11"/>
      <c r="L527" s="11"/>
    </row>
    <row r="528" spans="1:12" x14ac:dyDescent="0.3">
      <c r="A528" s="31"/>
      <c r="B528" s="32">
        <f>IF(A528="","",DATE(YEAR(A528),MONTH(A528),1))</f>
      </c>
      <c r="C528" s="11"/>
      <c r="D528" s="11"/>
      <c r="E528" s="16">
        <f>IF(OR(D528="",C528&lt;&gt;"Chi"),"",IFERROR(INDEX('Danh mục'!$B$39:$B$78,MATCH(D528,'Danh mục'!$A$39:$A$78,0))&amp;"","?"))</f>
      </c>
      <c r="F528" s="16">
        <f>IF(D528="","",IF(C528="Thu",IFERROR(INDEX('Danh mục'!$B$26:$B$35,MATCH(D528,'Danh mục'!$A$26:$A$35,0))&amp;"","?"),IFERROR(INDEX('Danh mục'!$D$39:$D$78,MATCH(D528,'Danh mục'!$A$39:$A$78,0))&amp;"","?")))</f>
      </c>
      <c r="G528" s="16">
        <f>IF(OR(D528="",C528&lt;&gt;"Chi"),"",IFERROR(INDEX('Danh mục'!$C$39:$C$78,MATCH(D528,'Danh mục'!$A$39:$A$78,0))&amp;"",""))</f>
      </c>
      <c r="H528" s="11"/>
      <c r="I528" s="20"/>
      <c r="J528" s="11"/>
      <c r="K528" s="11"/>
      <c r="L528" s="11"/>
    </row>
    <row r="529" spans="1:12" x14ac:dyDescent="0.3">
      <c r="A529" s="31"/>
      <c r="B529" s="32">
        <f>IF(A529="","",DATE(YEAR(A529),MONTH(A529),1))</f>
      </c>
      <c r="C529" s="11"/>
      <c r="D529" s="11"/>
      <c r="E529" s="16">
        <f>IF(OR(D529="",C529&lt;&gt;"Chi"),"",IFERROR(INDEX('Danh mục'!$B$39:$B$78,MATCH(D529,'Danh mục'!$A$39:$A$78,0))&amp;"","?"))</f>
      </c>
      <c r="F529" s="16">
        <f>IF(D529="","",IF(C529="Thu",IFERROR(INDEX('Danh mục'!$B$26:$B$35,MATCH(D529,'Danh mục'!$A$26:$A$35,0))&amp;"","?"),IFERROR(INDEX('Danh mục'!$D$39:$D$78,MATCH(D529,'Danh mục'!$A$39:$A$78,0))&amp;"","?")))</f>
      </c>
      <c r="G529" s="16">
        <f>IF(OR(D529="",C529&lt;&gt;"Chi"),"",IFERROR(INDEX('Danh mục'!$C$39:$C$78,MATCH(D529,'Danh mục'!$A$39:$A$78,0))&amp;"",""))</f>
      </c>
      <c r="H529" s="11"/>
      <c r="I529" s="20"/>
      <c r="J529" s="11"/>
      <c r="K529" s="11"/>
      <c r="L529" s="11"/>
    </row>
    <row r="530" spans="1:12" x14ac:dyDescent="0.3">
      <c r="A530" s="31"/>
      <c r="B530" s="32">
        <f>IF(A530="","",DATE(YEAR(A530),MONTH(A530),1))</f>
      </c>
      <c r="C530" s="11"/>
      <c r="D530" s="11"/>
      <c r="E530" s="16">
        <f>IF(OR(D530="",C530&lt;&gt;"Chi"),"",IFERROR(INDEX('Danh mục'!$B$39:$B$78,MATCH(D530,'Danh mục'!$A$39:$A$78,0))&amp;"","?"))</f>
      </c>
      <c r="F530" s="16">
        <f>IF(D530="","",IF(C530="Thu",IFERROR(INDEX('Danh mục'!$B$26:$B$35,MATCH(D530,'Danh mục'!$A$26:$A$35,0))&amp;"","?"),IFERROR(INDEX('Danh mục'!$D$39:$D$78,MATCH(D530,'Danh mục'!$A$39:$A$78,0))&amp;"","?")))</f>
      </c>
      <c r="G530" s="16">
        <f>IF(OR(D530="",C530&lt;&gt;"Chi"),"",IFERROR(INDEX('Danh mục'!$C$39:$C$78,MATCH(D530,'Danh mục'!$A$39:$A$78,0))&amp;"",""))</f>
      </c>
      <c r="H530" s="11"/>
      <c r="I530" s="20"/>
      <c r="J530" s="11"/>
      <c r="K530" s="11"/>
      <c r="L530" s="11"/>
    </row>
    <row r="531" spans="1:12" x14ac:dyDescent="0.3">
      <c r="A531" s="31"/>
      <c r="B531" s="32">
        <f>IF(A531="","",DATE(YEAR(A531),MONTH(A531),1))</f>
      </c>
      <c r="C531" s="11"/>
      <c r="D531" s="11"/>
      <c r="E531" s="16">
        <f>IF(OR(D531="",C531&lt;&gt;"Chi"),"",IFERROR(INDEX('Danh mục'!$B$39:$B$78,MATCH(D531,'Danh mục'!$A$39:$A$78,0))&amp;"","?"))</f>
      </c>
      <c r="F531" s="16">
        <f>IF(D531="","",IF(C531="Thu",IFERROR(INDEX('Danh mục'!$B$26:$B$35,MATCH(D531,'Danh mục'!$A$26:$A$35,0))&amp;"","?"),IFERROR(INDEX('Danh mục'!$D$39:$D$78,MATCH(D531,'Danh mục'!$A$39:$A$78,0))&amp;"","?")))</f>
      </c>
      <c r="G531" s="16">
        <f>IF(OR(D531="",C531&lt;&gt;"Chi"),"",IFERROR(INDEX('Danh mục'!$C$39:$C$78,MATCH(D531,'Danh mục'!$A$39:$A$78,0))&amp;"",""))</f>
      </c>
      <c r="H531" s="11"/>
      <c r="I531" s="20"/>
      <c r="J531" s="11"/>
      <c r="K531" s="11"/>
      <c r="L531" s="11"/>
    </row>
    <row r="532" spans="1:12" x14ac:dyDescent="0.3">
      <c r="A532" s="31"/>
      <c r="B532" s="32">
        <f>IF(A532="","",DATE(YEAR(A532),MONTH(A532),1))</f>
      </c>
      <c r="C532" s="11"/>
      <c r="D532" s="11"/>
      <c r="E532" s="16">
        <f>IF(OR(D532="",C532&lt;&gt;"Chi"),"",IFERROR(INDEX('Danh mục'!$B$39:$B$78,MATCH(D532,'Danh mục'!$A$39:$A$78,0))&amp;"","?"))</f>
      </c>
      <c r="F532" s="16">
        <f>IF(D532="","",IF(C532="Thu",IFERROR(INDEX('Danh mục'!$B$26:$B$35,MATCH(D532,'Danh mục'!$A$26:$A$35,0))&amp;"","?"),IFERROR(INDEX('Danh mục'!$D$39:$D$78,MATCH(D532,'Danh mục'!$A$39:$A$78,0))&amp;"","?")))</f>
      </c>
      <c r="G532" s="16">
        <f>IF(OR(D532="",C532&lt;&gt;"Chi"),"",IFERROR(INDEX('Danh mục'!$C$39:$C$78,MATCH(D532,'Danh mục'!$A$39:$A$78,0))&amp;"",""))</f>
      </c>
      <c r="H532" s="11"/>
      <c r="I532" s="20"/>
      <c r="J532" s="11"/>
      <c r="K532" s="11"/>
      <c r="L532" s="11"/>
    </row>
    <row r="533" spans="1:12" x14ac:dyDescent="0.3">
      <c r="A533" s="31"/>
      <c r="B533" s="32">
        <f>IF(A533="","",DATE(YEAR(A533),MONTH(A533),1))</f>
      </c>
      <c r="C533" s="11"/>
      <c r="D533" s="11"/>
      <c r="E533" s="16">
        <f>IF(OR(D533="",C533&lt;&gt;"Chi"),"",IFERROR(INDEX('Danh mục'!$B$39:$B$78,MATCH(D533,'Danh mục'!$A$39:$A$78,0))&amp;"","?"))</f>
      </c>
      <c r="F533" s="16">
        <f>IF(D533="","",IF(C533="Thu",IFERROR(INDEX('Danh mục'!$B$26:$B$35,MATCH(D533,'Danh mục'!$A$26:$A$35,0))&amp;"","?"),IFERROR(INDEX('Danh mục'!$D$39:$D$78,MATCH(D533,'Danh mục'!$A$39:$A$78,0))&amp;"","?")))</f>
      </c>
      <c r="G533" s="16">
        <f>IF(OR(D533="",C533&lt;&gt;"Chi"),"",IFERROR(INDEX('Danh mục'!$C$39:$C$78,MATCH(D533,'Danh mục'!$A$39:$A$78,0))&amp;"",""))</f>
      </c>
      <c r="H533" s="11"/>
      <c r="I533" s="20"/>
      <c r="J533" s="11"/>
      <c r="K533" s="11"/>
      <c r="L533" s="11"/>
    </row>
    <row r="534" spans="1:12" x14ac:dyDescent="0.3">
      <c r="A534" s="31"/>
      <c r="B534" s="32">
        <f>IF(A534="","",DATE(YEAR(A534),MONTH(A534),1))</f>
      </c>
      <c r="C534" s="11"/>
      <c r="D534" s="11"/>
      <c r="E534" s="16">
        <f>IF(OR(D534="",C534&lt;&gt;"Chi"),"",IFERROR(INDEX('Danh mục'!$B$39:$B$78,MATCH(D534,'Danh mục'!$A$39:$A$78,0))&amp;"","?"))</f>
      </c>
      <c r="F534" s="16">
        <f>IF(D534="","",IF(C534="Thu",IFERROR(INDEX('Danh mục'!$B$26:$B$35,MATCH(D534,'Danh mục'!$A$26:$A$35,0))&amp;"","?"),IFERROR(INDEX('Danh mục'!$D$39:$D$78,MATCH(D534,'Danh mục'!$A$39:$A$78,0))&amp;"","?")))</f>
      </c>
      <c r="G534" s="16">
        <f>IF(OR(D534="",C534&lt;&gt;"Chi"),"",IFERROR(INDEX('Danh mục'!$C$39:$C$78,MATCH(D534,'Danh mục'!$A$39:$A$78,0))&amp;"",""))</f>
      </c>
      <c r="H534" s="11"/>
      <c r="I534" s="20"/>
      <c r="J534" s="11"/>
      <c r="K534" s="11"/>
      <c r="L534" s="11"/>
    </row>
    <row r="535" spans="1:12" x14ac:dyDescent="0.3">
      <c r="A535" s="31"/>
      <c r="B535" s="32">
        <f>IF(A535="","",DATE(YEAR(A535),MONTH(A535),1))</f>
      </c>
      <c r="C535" s="11"/>
      <c r="D535" s="11"/>
      <c r="E535" s="16">
        <f>IF(OR(D535="",C535&lt;&gt;"Chi"),"",IFERROR(INDEX('Danh mục'!$B$39:$B$78,MATCH(D535,'Danh mục'!$A$39:$A$78,0))&amp;"","?"))</f>
      </c>
      <c r="F535" s="16">
        <f>IF(D535="","",IF(C535="Thu",IFERROR(INDEX('Danh mục'!$B$26:$B$35,MATCH(D535,'Danh mục'!$A$26:$A$35,0))&amp;"","?"),IFERROR(INDEX('Danh mục'!$D$39:$D$78,MATCH(D535,'Danh mục'!$A$39:$A$78,0))&amp;"","?")))</f>
      </c>
      <c r="G535" s="16">
        <f>IF(OR(D535="",C535&lt;&gt;"Chi"),"",IFERROR(INDEX('Danh mục'!$C$39:$C$78,MATCH(D535,'Danh mục'!$A$39:$A$78,0))&amp;"",""))</f>
      </c>
      <c r="H535" s="11"/>
      <c r="I535" s="20"/>
      <c r="J535" s="11"/>
      <c r="K535" s="11"/>
      <c r="L535" s="11"/>
    </row>
    <row r="536" spans="1:12" x14ac:dyDescent="0.3">
      <c r="A536" s="31"/>
      <c r="B536" s="32">
        <f>IF(A536="","",DATE(YEAR(A536),MONTH(A536),1))</f>
      </c>
      <c r="C536" s="11"/>
      <c r="D536" s="11"/>
      <c r="E536" s="16">
        <f>IF(OR(D536="",C536&lt;&gt;"Chi"),"",IFERROR(INDEX('Danh mục'!$B$39:$B$78,MATCH(D536,'Danh mục'!$A$39:$A$78,0))&amp;"","?"))</f>
      </c>
      <c r="F536" s="16">
        <f>IF(D536="","",IF(C536="Thu",IFERROR(INDEX('Danh mục'!$B$26:$B$35,MATCH(D536,'Danh mục'!$A$26:$A$35,0))&amp;"","?"),IFERROR(INDEX('Danh mục'!$D$39:$D$78,MATCH(D536,'Danh mục'!$A$39:$A$78,0))&amp;"","?")))</f>
      </c>
      <c r="G536" s="16">
        <f>IF(OR(D536="",C536&lt;&gt;"Chi"),"",IFERROR(INDEX('Danh mục'!$C$39:$C$78,MATCH(D536,'Danh mục'!$A$39:$A$78,0))&amp;"",""))</f>
      </c>
      <c r="H536" s="11"/>
      <c r="I536" s="20"/>
      <c r="J536" s="11"/>
      <c r="K536" s="11"/>
      <c r="L536" s="11"/>
    </row>
    <row r="537" spans="1:12" x14ac:dyDescent="0.3">
      <c r="A537" s="31"/>
      <c r="B537" s="32">
        <f>IF(A537="","",DATE(YEAR(A537),MONTH(A537),1))</f>
      </c>
      <c r="C537" s="11"/>
      <c r="D537" s="11"/>
      <c r="E537" s="16">
        <f>IF(OR(D537="",C537&lt;&gt;"Chi"),"",IFERROR(INDEX('Danh mục'!$B$39:$B$78,MATCH(D537,'Danh mục'!$A$39:$A$78,0))&amp;"","?"))</f>
      </c>
      <c r="F537" s="16">
        <f>IF(D537="","",IF(C537="Thu",IFERROR(INDEX('Danh mục'!$B$26:$B$35,MATCH(D537,'Danh mục'!$A$26:$A$35,0))&amp;"","?"),IFERROR(INDEX('Danh mục'!$D$39:$D$78,MATCH(D537,'Danh mục'!$A$39:$A$78,0))&amp;"","?")))</f>
      </c>
      <c r="G537" s="16">
        <f>IF(OR(D537="",C537&lt;&gt;"Chi"),"",IFERROR(INDEX('Danh mục'!$C$39:$C$78,MATCH(D537,'Danh mục'!$A$39:$A$78,0))&amp;"",""))</f>
      </c>
      <c r="H537" s="11"/>
      <c r="I537" s="20"/>
      <c r="J537" s="11"/>
      <c r="K537" s="11"/>
      <c r="L537" s="11"/>
    </row>
    <row r="538" spans="1:12" x14ac:dyDescent="0.3">
      <c r="A538" s="31"/>
      <c r="B538" s="32">
        <f>IF(A538="","",DATE(YEAR(A538),MONTH(A538),1))</f>
      </c>
      <c r="C538" s="11"/>
      <c r="D538" s="11"/>
      <c r="E538" s="16">
        <f>IF(OR(D538="",C538&lt;&gt;"Chi"),"",IFERROR(INDEX('Danh mục'!$B$39:$B$78,MATCH(D538,'Danh mục'!$A$39:$A$78,0))&amp;"","?"))</f>
      </c>
      <c r="F538" s="16">
        <f>IF(D538="","",IF(C538="Thu",IFERROR(INDEX('Danh mục'!$B$26:$B$35,MATCH(D538,'Danh mục'!$A$26:$A$35,0))&amp;"","?"),IFERROR(INDEX('Danh mục'!$D$39:$D$78,MATCH(D538,'Danh mục'!$A$39:$A$78,0))&amp;"","?")))</f>
      </c>
      <c r="G538" s="16">
        <f>IF(OR(D538="",C538&lt;&gt;"Chi"),"",IFERROR(INDEX('Danh mục'!$C$39:$C$78,MATCH(D538,'Danh mục'!$A$39:$A$78,0))&amp;"",""))</f>
      </c>
      <c r="H538" s="11"/>
      <c r="I538" s="20"/>
      <c r="J538" s="11"/>
      <c r="K538" s="11"/>
      <c r="L538" s="11"/>
    </row>
    <row r="539" spans="1:12" x14ac:dyDescent="0.3">
      <c r="A539" s="31"/>
      <c r="B539" s="32">
        <f>IF(A539="","",DATE(YEAR(A539),MONTH(A539),1))</f>
      </c>
      <c r="C539" s="11"/>
      <c r="D539" s="11"/>
      <c r="E539" s="16">
        <f>IF(OR(D539="",C539&lt;&gt;"Chi"),"",IFERROR(INDEX('Danh mục'!$B$39:$B$78,MATCH(D539,'Danh mục'!$A$39:$A$78,0))&amp;"","?"))</f>
      </c>
      <c r="F539" s="16">
        <f>IF(D539="","",IF(C539="Thu",IFERROR(INDEX('Danh mục'!$B$26:$B$35,MATCH(D539,'Danh mục'!$A$26:$A$35,0))&amp;"","?"),IFERROR(INDEX('Danh mục'!$D$39:$D$78,MATCH(D539,'Danh mục'!$A$39:$A$78,0))&amp;"","?")))</f>
      </c>
      <c r="G539" s="16">
        <f>IF(OR(D539="",C539&lt;&gt;"Chi"),"",IFERROR(INDEX('Danh mục'!$C$39:$C$78,MATCH(D539,'Danh mục'!$A$39:$A$78,0))&amp;"",""))</f>
      </c>
      <c r="H539" s="11"/>
      <c r="I539" s="20"/>
      <c r="J539" s="11"/>
      <c r="K539" s="11"/>
      <c r="L539" s="11"/>
    </row>
    <row r="540" spans="1:12" x14ac:dyDescent="0.3">
      <c r="A540" s="31"/>
      <c r="B540" s="32">
        <f>IF(A540="","",DATE(YEAR(A540),MONTH(A540),1))</f>
      </c>
      <c r="C540" s="11"/>
      <c r="D540" s="11"/>
      <c r="E540" s="16">
        <f>IF(OR(D540="",C540&lt;&gt;"Chi"),"",IFERROR(INDEX('Danh mục'!$B$39:$B$78,MATCH(D540,'Danh mục'!$A$39:$A$78,0))&amp;"","?"))</f>
      </c>
      <c r="F540" s="16">
        <f>IF(D540="","",IF(C540="Thu",IFERROR(INDEX('Danh mục'!$B$26:$B$35,MATCH(D540,'Danh mục'!$A$26:$A$35,0))&amp;"","?"),IFERROR(INDEX('Danh mục'!$D$39:$D$78,MATCH(D540,'Danh mục'!$A$39:$A$78,0))&amp;"","?")))</f>
      </c>
      <c r="G540" s="16">
        <f>IF(OR(D540="",C540&lt;&gt;"Chi"),"",IFERROR(INDEX('Danh mục'!$C$39:$C$78,MATCH(D540,'Danh mục'!$A$39:$A$78,0))&amp;"",""))</f>
      </c>
      <c r="H540" s="11"/>
      <c r="I540" s="20"/>
      <c r="J540" s="11"/>
      <c r="K540" s="11"/>
      <c r="L540" s="11"/>
    </row>
    <row r="541" spans="1:12" x14ac:dyDescent="0.3">
      <c r="A541" s="31"/>
      <c r="B541" s="32">
        <f>IF(A541="","",DATE(YEAR(A541),MONTH(A541),1))</f>
      </c>
      <c r="C541" s="11"/>
      <c r="D541" s="11"/>
      <c r="E541" s="16">
        <f>IF(OR(D541="",C541&lt;&gt;"Chi"),"",IFERROR(INDEX('Danh mục'!$B$39:$B$78,MATCH(D541,'Danh mục'!$A$39:$A$78,0))&amp;"","?"))</f>
      </c>
      <c r="F541" s="16">
        <f>IF(D541="","",IF(C541="Thu",IFERROR(INDEX('Danh mục'!$B$26:$B$35,MATCH(D541,'Danh mục'!$A$26:$A$35,0))&amp;"","?"),IFERROR(INDEX('Danh mục'!$D$39:$D$78,MATCH(D541,'Danh mục'!$A$39:$A$78,0))&amp;"","?")))</f>
      </c>
      <c r="G541" s="16">
        <f>IF(OR(D541="",C541&lt;&gt;"Chi"),"",IFERROR(INDEX('Danh mục'!$C$39:$C$78,MATCH(D541,'Danh mục'!$A$39:$A$78,0))&amp;"",""))</f>
      </c>
      <c r="H541" s="11"/>
      <c r="I541" s="20"/>
      <c r="J541" s="11"/>
      <c r="K541" s="11"/>
      <c r="L541" s="11"/>
    </row>
    <row r="542" spans="1:12" x14ac:dyDescent="0.3">
      <c r="A542" s="31"/>
      <c r="B542" s="32">
        <f>IF(A542="","",DATE(YEAR(A542),MONTH(A542),1))</f>
      </c>
      <c r="C542" s="11"/>
      <c r="D542" s="11"/>
      <c r="E542" s="16">
        <f>IF(OR(D542="",C542&lt;&gt;"Chi"),"",IFERROR(INDEX('Danh mục'!$B$39:$B$78,MATCH(D542,'Danh mục'!$A$39:$A$78,0))&amp;"","?"))</f>
      </c>
      <c r="F542" s="16">
        <f>IF(D542="","",IF(C542="Thu",IFERROR(INDEX('Danh mục'!$B$26:$B$35,MATCH(D542,'Danh mục'!$A$26:$A$35,0))&amp;"","?"),IFERROR(INDEX('Danh mục'!$D$39:$D$78,MATCH(D542,'Danh mục'!$A$39:$A$78,0))&amp;"","?")))</f>
      </c>
      <c r="G542" s="16">
        <f>IF(OR(D542="",C542&lt;&gt;"Chi"),"",IFERROR(INDEX('Danh mục'!$C$39:$C$78,MATCH(D542,'Danh mục'!$A$39:$A$78,0))&amp;"",""))</f>
      </c>
      <c r="H542" s="11"/>
      <c r="I542" s="20"/>
      <c r="J542" s="11"/>
      <c r="K542" s="11"/>
      <c r="L542" s="11"/>
    </row>
    <row r="543" spans="1:12" x14ac:dyDescent="0.3">
      <c r="A543" s="31"/>
      <c r="B543" s="32">
        <f>IF(A543="","",DATE(YEAR(A543),MONTH(A543),1))</f>
      </c>
      <c r="C543" s="11"/>
      <c r="D543" s="11"/>
      <c r="E543" s="16">
        <f>IF(OR(D543="",C543&lt;&gt;"Chi"),"",IFERROR(INDEX('Danh mục'!$B$39:$B$78,MATCH(D543,'Danh mục'!$A$39:$A$78,0))&amp;"","?"))</f>
      </c>
      <c r="F543" s="16">
        <f>IF(D543="","",IF(C543="Thu",IFERROR(INDEX('Danh mục'!$B$26:$B$35,MATCH(D543,'Danh mục'!$A$26:$A$35,0))&amp;"","?"),IFERROR(INDEX('Danh mục'!$D$39:$D$78,MATCH(D543,'Danh mục'!$A$39:$A$78,0))&amp;"","?")))</f>
      </c>
      <c r="G543" s="16">
        <f>IF(OR(D543="",C543&lt;&gt;"Chi"),"",IFERROR(INDEX('Danh mục'!$C$39:$C$78,MATCH(D543,'Danh mục'!$A$39:$A$78,0))&amp;"",""))</f>
      </c>
      <c r="H543" s="11"/>
      <c r="I543" s="20"/>
      <c r="J543" s="11"/>
      <c r="K543" s="11"/>
      <c r="L543" s="11"/>
    </row>
    <row r="544" spans="1:12" x14ac:dyDescent="0.3">
      <c r="A544" s="31"/>
      <c r="B544" s="32">
        <f>IF(A544="","",DATE(YEAR(A544),MONTH(A544),1))</f>
      </c>
      <c r="C544" s="11"/>
      <c r="D544" s="11"/>
      <c r="E544" s="16">
        <f>IF(OR(D544="",C544&lt;&gt;"Chi"),"",IFERROR(INDEX('Danh mục'!$B$39:$B$78,MATCH(D544,'Danh mục'!$A$39:$A$78,0))&amp;"","?"))</f>
      </c>
      <c r="F544" s="16">
        <f>IF(D544="","",IF(C544="Thu",IFERROR(INDEX('Danh mục'!$B$26:$B$35,MATCH(D544,'Danh mục'!$A$26:$A$35,0))&amp;"","?"),IFERROR(INDEX('Danh mục'!$D$39:$D$78,MATCH(D544,'Danh mục'!$A$39:$A$78,0))&amp;"","?")))</f>
      </c>
      <c r="G544" s="16">
        <f>IF(OR(D544="",C544&lt;&gt;"Chi"),"",IFERROR(INDEX('Danh mục'!$C$39:$C$78,MATCH(D544,'Danh mục'!$A$39:$A$78,0))&amp;"",""))</f>
      </c>
      <c r="H544" s="11"/>
      <c r="I544" s="20"/>
      <c r="J544" s="11"/>
      <c r="K544" s="11"/>
      <c r="L544" s="11"/>
    </row>
    <row r="545" spans="1:12" x14ac:dyDescent="0.3">
      <c r="A545" s="31"/>
      <c r="B545" s="32">
        <f>IF(A545="","",DATE(YEAR(A545),MONTH(A545),1))</f>
      </c>
      <c r="C545" s="11"/>
      <c r="D545" s="11"/>
      <c r="E545" s="16">
        <f>IF(OR(D545="",C545&lt;&gt;"Chi"),"",IFERROR(INDEX('Danh mục'!$B$39:$B$78,MATCH(D545,'Danh mục'!$A$39:$A$78,0))&amp;"","?"))</f>
      </c>
      <c r="F545" s="16">
        <f>IF(D545="","",IF(C545="Thu",IFERROR(INDEX('Danh mục'!$B$26:$B$35,MATCH(D545,'Danh mục'!$A$26:$A$35,0))&amp;"","?"),IFERROR(INDEX('Danh mục'!$D$39:$D$78,MATCH(D545,'Danh mục'!$A$39:$A$78,0))&amp;"","?")))</f>
      </c>
      <c r="G545" s="16">
        <f>IF(OR(D545="",C545&lt;&gt;"Chi"),"",IFERROR(INDEX('Danh mục'!$C$39:$C$78,MATCH(D545,'Danh mục'!$A$39:$A$78,0))&amp;"",""))</f>
      </c>
      <c r="H545" s="11"/>
      <c r="I545" s="20"/>
      <c r="J545" s="11"/>
      <c r="K545" s="11"/>
      <c r="L545" s="11"/>
    </row>
    <row r="546" spans="1:12" x14ac:dyDescent="0.3">
      <c r="A546" s="31"/>
      <c r="B546" s="32">
        <f>IF(A546="","",DATE(YEAR(A546),MONTH(A546),1))</f>
      </c>
      <c r="C546" s="11"/>
      <c r="D546" s="11"/>
      <c r="E546" s="16">
        <f>IF(OR(D546="",C546&lt;&gt;"Chi"),"",IFERROR(INDEX('Danh mục'!$B$39:$B$78,MATCH(D546,'Danh mục'!$A$39:$A$78,0))&amp;"","?"))</f>
      </c>
      <c r="F546" s="16">
        <f>IF(D546="","",IF(C546="Thu",IFERROR(INDEX('Danh mục'!$B$26:$B$35,MATCH(D546,'Danh mục'!$A$26:$A$35,0))&amp;"","?"),IFERROR(INDEX('Danh mục'!$D$39:$D$78,MATCH(D546,'Danh mục'!$A$39:$A$78,0))&amp;"","?")))</f>
      </c>
      <c r="G546" s="16">
        <f>IF(OR(D546="",C546&lt;&gt;"Chi"),"",IFERROR(INDEX('Danh mục'!$C$39:$C$78,MATCH(D546,'Danh mục'!$A$39:$A$78,0))&amp;"",""))</f>
      </c>
      <c r="H546" s="11"/>
      <c r="I546" s="20"/>
      <c r="J546" s="11"/>
      <c r="K546" s="11"/>
      <c r="L546" s="11"/>
    </row>
    <row r="547" spans="1:12" x14ac:dyDescent="0.3">
      <c r="A547" s="31"/>
      <c r="B547" s="32">
        <f>IF(A547="","",DATE(YEAR(A547),MONTH(A547),1))</f>
      </c>
      <c r="C547" s="11"/>
      <c r="D547" s="11"/>
      <c r="E547" s="16">
        <f>IF(OR(D547="",C547&lt;&gt;"Chi"),"",IFERROR(INDEX('Danh mục'!$B$39:$B$78,MATCH(D547,'Danh mục'!$A$39:$A$78,0))&amp;"","?"))</f>
      </c>
      <c r="F547" s="16">
        <f>IF(D547="","",IF(C547="Thu",IFERROR(INDEX('Danh mục'!$B$26:$B$35,MATCH(D547,'Danh mục'!$A$26:$A$35,0))&amp;"","?"),IFERROR(INDEX('Danh mục'!$D$39:$D$78,MATCH(D547,'Danh mục'!$A$39:$A$78,0))&amp;"","?")))</f>
      </c>
      <c r="G547" s="16">
        <f>IF(OR(D547="",C547&lt;&gt;"Chi"),"",IFERROR(INDEX('Danh mục'!$C$39:$C$78,MATCH(D547,'Danh mục'!$A$39:$A$78,0))&amp;"",""))</f>
      </c>
      <c r="H547" s="11"/>
      <c r="I547" s="20"/>
      <c r="J547" s="11"/>
      <c r="K547" s="11"/>
      <c r="L547" s="11"/>
    </row>
    <row r="548" spans="1:12" x14ac:dyDescent="0.3">
      <c r="A548" s="31"/>
      <c r="B548" s="32">
        <f>IF(A548="","",DATE(YEAR(A548),MONTH(A548),1))</f>
      </c>
      <c r="C548" s="11"/>
      <c r="D548" s="11"/>
      <c r="E548" s="16">
        <f>IF(OR(D548="",C548&lt;&gt;"Chi"),"",IFERROR(INDEX('Danh mục'!$B$39:$B$78,MATCH(D548,'Danh mục'!$A$39:$A$78,0))&amp;"","?"))</f>
      </c>
      <c r="F548" s="16">
        <f>IF(D548="","",IF(C548="Thu",IFERROR(INDEX('Danh mục'!$B$26:$B$35,MATCH(D548,'Danh mục'!$A$26:$A$35,0))&amp;"","?"),IFERROR(INDEX('Danh mục'!$D$39:$D$78,MATCH(D548,'Danh mục'!$A$39:$A$78,0))&amp;"","?")))</f>
      </c>
      <c r="G548" s="16">
        <f>IF(OR(D548="",C548&lt;&gt;"Chi"),"",IFERROR(INDEX('Danh mục'!$C$39:$C$78,MATCH(D548,'Danh mục'!$A$39:$A$78,0))&amp;"",""))</f>
      </c>
      <c r="H548" s="11"/>
      <c r="I548" s="20"/>
      <c r="J548" s="11"/>
      <c r="K548" s="11"/>
      <c r="L548" s="11"/>
    </row>
    <row r="549" spans="1:12" x14ac:dyDescent="0.3">
      <c r="A549" s="31"/>
      <c r="B549" s="32">
        <f>IF(A549="","",DATE(YEAR(A549),MONTH(A549),1))</f>
      </c>
      <c r="C549" s="11"/>
      <c r="D549" s="11"/>
      <c r="E549" s="16">
        <f>IF(OR(D549="",C549&lt;&gt;"Chi"),"",IFERROR(INDEX('Danh mục'!$B$39:$B$78,MATCH(D549,'Danh mục'!$A$39:$A$78,0))&amp;"","?"))</f>
      </c>
      <c r="F549" s="16">
        <f>IF(D549="","",IF(C549="Thu",IFERROR(INDEX('Danh mục'!$B$26:$B$35,MATCH(D549,'Danh mục'!$A$26:$A$35,0))&amp;"","?"),IFERROR(INDEX('Danh mục'!$D$39:$D$78,MATCH(D549,'Danh mục'!$A$39:$A$78,0))&amp;"","?")))</f>
      </c>
      <c r="G549" s="16">
        <f>IF(OR(D549="",C549&lt;&gt;"Chi"),"",IFERROR(INDEX('Danh mục'!$C$39:$C$78,MATCH(D549,'Danh mục'!$A$39:$A$78,0))&amp;"",""))</f>
      </c>
      <c r="H549" s="11"/>
      <c r="I549" s="20"/>
      <c r="J549" s="11"/>
      <c r="K549" s="11"/>
      <c r="L549" s="11"/>
    </row>
    <row r="550" spans="1:12" x14ac:dyDescent="0.3">
      <c r="A550" s="31"/>
      <c r="B550" s="32">
        <f>IF(A550="","",DATE(YEAR(A550),MONTH(A550),1))</f>
      </c>
      <c r="C550" s="11"/>
      <c r="D550" s="11"/>
      <c r="E550" s="16">
        <f>IF(OR(D550="",C550&lt;&gt;"Chi"),"",IFERROR(INDEX('Danh mục'!$B$39:$B$78,MATCH(D550,'Danh mục'!$A$39:$A$78,0))&amp;"","?"))</f>
      </c>
      <c r="F550" s="16">
        <f>IF(D550="","",IF(C550="Thu",IFERROR(INDEX('Danh mục'!$B$26:$B$35,MATCH(D550,'Danh mục'!$A$26:$A$35,0))&amp;"","?"),IFERROR(INDEX('Danh mục'!$D$39:$D$78,MATCH(D550,'Danh mục'!$A$39:$A$78,0))&amp;"","?")))</f>
      </c>
      <c r="G550" s="16">
        <f>IF(OR(D550="",C550&lt;&gt;"Chi"),"",IFERROR(INDEX('Danh mục'!$C$39:$C$78,MATCH(D550,'Danh mục'!$A$39:$A$78,0))&amp;"",""))</f>
      </c>
      <c r="H550" s="11"/>
      <c r="I550" s="20"/>
      <c r="J550" s="11"/>
      <c r="K550" s="11"/>
      <c r="L550" s="11"/>
    </row>
    <row r="551" spans="1:12" x14ac:dyDescent="0.3">
      <c r="A551" s="31"/>
      <c r="B551" s="32">
        <f>IF(A551="","",DATE(YEAR(A551),MONTH(A551),1))</f>
      </c>
      <c r="C551" s="11"/>
      <c r="D551" s="11"/>
      <c r="E551" s="16">
        <f>IF(OR(D551="",C551&lt;&gt;"Chi"),"",IFERROR(INDEX('Danh mục'!$B$39:$B$78,MATCH(D551,'Danh mục'!$A$39:$A$78,0))&amp;"","?"))</f>
      </c>
      <c r="F551" s="16">
        <f>IF(D551="","",IF(C551="Thu",IFERROR(INDEX('Danh mục'!$B$26:$B$35,MATCH(D551,'Danh mục'!$A$26:$A$35,0))&amp;"","?"),IFERROR(INDEX('Danh mục'!$D$39:$D$78,MATCH(D551,'Danh mục'!$A$39:$A$78,0))&amp;"","?")))</f>
      </c>
      <c r="G551" s="16">
        <f>IF(OR(D551="",C551&lt;&gt;"Chi"),"",IFERROR(INDEX('Danh mục'!$C$39:$C$78,MATCH(D551,'Danh mục'!$A$39:$A$78,0))&amp;"",""))</f>
      </c>
      <c r="H551" s="11"/>
      <c r="I551" s="20"/>
      <c r="J551" s="11"/>
      <c r="K551" s="11"/>
      <c r="L551" s="11"/>
    </row>
    <row r="552" spans="1:12" x14ac:dyDescent="0.3">
      <c r="A552" s="31"/>
      <c r="B552" s="32">
        <f>IF(A552="","",DATE(YEAR(A552),MONTH(A552),1))</f>
      </c>
      <c r="C552" s="11"/>
      <c r="D552" s="11"/>
      <c r="E552" s="16">
        <f>IF(OR(D552="",C552&lt;&gt;"Chi"),"",IFERROR(INDEX('Danh mục'!$B$39:$B$78,MATCH(D552,'Danh mục'!$A$39:$A$78,0))&amp;"","?"))</f>
      </c>
      <c r="F552" s="16">
        <f>IF(D552="","",IF(C552="Thu",IFERROR(INDEX('Danh mục'!$B$26:$B$35,MATCH(D552,'Danh mục'!$A$26:$A$35,0))&amp;"","?"),IFERROR(INDEX('Danh mục'!$D$39:$D$78,MATCH(D552,'Danh mục'!$A$39:$A$78,0))&amp;"","?")))</f>
      </c>
      <c r="G552" s="16">
        <f>IF(OR(D552="",C552&lt;&gt;"Chi"),"",IFERROR(INDEX('Danh mục'!$C$39:$C$78,MATCH(D552,'Danh mục'!$A$39:$A$78,0))&amp;"",""))</f>
      </c>
      <c r="H552" s="11"/>
      <c r="I552" s="20"/>
      <c r="J552" s="11"/>
      <c r="K552" s="11"/>
      <c r="L552" s="11"/>
    </row>
    <row r="553" spans="1:12" x14ac:dyDescent="0.3">
      <c r="A553" s="31"/>
      <c r="B553" s="32">
        <f>IF(A553="","",DATE(YEAR(A553),MONTH(A553),1))</f>
      </c>
      <c r="C553" s="11"/>
      <c r="D553" s="11"/>
      <c r="E553" s="16">
        <f>IF(OR(D553="",C553&lt;&gt;"Chi"),"",IFERROR(INDEX('Danh mục'!$B$39:$B$78,MATCH(D553,'Danh mục'!$A$39:$A$78,0))&amp;"","?"))</f>
      </c>
      <c r="F553" s="16">
        <f>IF(D553="","",IF(C553="Thu",IFERROR(INDEX('Danh mục'!$B$26:$B$35,MATCH(D553,'Danh mục'!$A$26:$A$35,0))&amp;"","?"),IFERROR(INDEX('Danh mục'!$D$39:$D$78,MATCH(D553,'Danh mục'!$A$39:$A$78,0))&amp;"","?")))</f>
      </c>
      <c r="G553" s="16">
        <f>IF(OR(D553="",C553&lt;&gt;"Chi"),"",IFERROR(INDEX('Danh mục'!$C$39:$C$78,MATCH(D553,'Danh mục'!$A$39:$A$78,0))&amp;"",""))</f>
      </c>
      <c r="H553" s="11"/>
      <c r="I553" s="20"/>
      <c r="J553" s="11"/>
      <c r="K553" s="11"/>
      <c r="L553" s="11"/>
    </row>
    <row r="554" spans="1:12" x14ac:dyDescent="0.3">
      <c r="A554" s="31"/>
      <c r="B554" s="32">
        <f>IF(A554="","",DATE(YEAR(A554),MONTH(A554),1))</f>
      </c>
      <c r="C554" s="11"/>
      <c r="D554" s="11"/>
      <c r="E554" s="16">
        <f>IF(OR(D554="",C554&lt;&gt;"Chi"),"",IFERROR(INDEX('Danh mục'!$B$39:$B$78,MATCH(D554,'Danh mục'!$A$39:$A$78,0))&amp;"","?"))</f>
      </c>
      <c r="F554" s="16">
        <f>IF(D554="","",IF(C554="Thu",IFERROR(INDEX('Danh mục'!$B$26:$B$35,MATCH(D554,'Danh mục'!$A$26:$A$35,0))&amp;"","?"),IFERROR(INDEX('Danh mục'!$D$39:$D$78,MATCH(D554,'Danh mục'!$A$39:$A$78,0))&amp;"","?")))</f>
      </c>
      <c r="G554" s="16">
        <f>IF(OR(D554="",C554&lt;&gt;"Chi"),"",IFERROR(INDEX('Danh mục'!$C$39:$C$78,MATCH(D554,'Danh mục'!$A$39:$A$78,0))&amp;"",""))</f>
      </c>
      <c r="H554" s="11"/>
      <c r="I554" s="20"/>
      <c r="J554" s="11"/>
      <c r="K554" s="11"/>
      <c r="L554" s="11"/>
    </row>
    <row r="555" spans="1:12" x14ac:dyDescent="0.3">
      <c r="A555" s="31"/>
      <c r="B555" s="32">
        <f>IF(A555="","",DATE(YEAR(A555),MONTH(A555),1))</f>
      </c>
      <c r="C555" s="11"/>
      <c r="D555" s="11"/>
      <c r="E555" s="16">
        <f>IF(OR(D555="",C555&lt;&gt;"Chi"),"",IFERROR(INDEX('Danh mục'!$B$39:$B$78,MATCH(D555,'Danh mục'!$A$39:$A$78,0))&amp;"","?"))</f>
      </c>
      <c r="F555" s="16">
        <f>IF(D555="","",IF(C555="Thu",IFERROR(INDEX('Danh mục'!$B$26:$B$35,MATCH(D555,'Danh mục'!$A$26:$A$35,0))&amp;"","?"),IFERROR(INDEX('Danh mục'!$D$39:$D$78,MATCH(D555,'Danh mục'!$A$39:$A$78,0))&amp;"","?")))</f>
      </c>
      <c r="G555" s="16">
        <f>IF(OR(D555="",C555&lt;&gt;"Chi"),"",IFERROR(INDEX('Danh mục'!$C$39:$C$78,MATCH(D555,'Danh mục'!$A$39:$A$78,0))&amp;"",""))</f>
      </c>
      <c r="H555" s="11"/>
      <c r="I555" s="20"/>
      <c r="J555" s="11"/>
      <c r="K555" s="11"/>
      <c r="L555" s="11"/>
    </row>
    <row r="556" spans="1:12" x14ac:dyDescent="0.3">
      <c r="A556" s="31"/>
      <c r="B556" s="32">
        <f>IF(A556="","",DATE(YEAR(A556),MONTH(A556),1))</f>
      </c>
      <c r="C556" s="11"/>
      <c r="D556" s="11"/>
      <c r="E556" s="16">
        <f>IF(OR(D556="",C556&lt;&gt;"Chi"),"",IFERROR(INDEX('Danh mục'!$B$39:$B$78,MATCH(D556,'Danh mục'!$A$39:$A$78,0))&amp;"","?"))</f>
      </c>
      <c r="F556" s="16">
        <f>IF(D556="","",IF(C556="Thu",IFERROR(INDEX('Danh mục'!$B$26:$B$35,MATCH(D556,'Danh mục'!$A$26:$A$35,0))&amp;"","?"),IFERROR(INDEX('Danh mục'!$D$39:$D$78,MATCH(D556,'Danh mục'!$A$39:$A$78,0))&amp;"","?")))</f>
      </c>
      <c r="G556" s="16">
        <f>IF(OR(D556="",C556&lt;&gt;"Chi"),"",IFERROR(INDEX('Danh mục'!$C$39:$C$78,MATCH(D556,'Danh mục'!$A$39:$A$78,0))&amp;"",""))</f>
      </c>
      <c r="H556" s="11"/>
      <c r="I556" s="20"/>
      <c r="J556" s="11"/>
      <c r="K556" s="11"/>
      <c r="L556" s="11"/>
    </row>
    <row r="557" spans="1:12" x14ac:dyDescent="0.3">
      <c r="A557" s="31"/>
      <c r="B557" s="32">
        <f>IF(A557="","",DATE(YEAR(A557),MONTH(A557),1))</f>
      </c>
      <c r="C557" s="11"/>
      <c r="D557" s="11"/>
      <c r="E557" s="16">
        <f>IF(OR(D557="",C557&lt;&gt;"Chi"),"",IFERROR(INDEX('Danh mục'!$B$39:$B$78,MATCH(D557,'Danh mục'!$A$39:$A$78,0))&amp;"","?"))</f>
      </c>
      <c r="F557" s="16">
        <f>IF(D557="","",IF(C557="Thu",IFERROR(INDEX('Danh mục'!$B$26:$B$35,MATCH(D557,'Danh mục'!$A$26:$A$35,0))&amp;"","?"),IFERROR(INDEX('Danh mục'!$D$39:$D$78,MATCH(D557,'Danh mục'!$A$39:$A$78,0))&amp;"","?")))</f>
      </c>
      <c r="G557" s="16">
        <f>IF(OR(D557="",C557&lt;&gt;"Chi"),"",IFERROR(INDEX('Danh mục'!$C$39:$C$78,MATCH(D557,'Danh mục'!$A$39:$A$78,0))&amp;"",""))</f>
      </c>
      <c r="H557" s="11"/>
      <c r="I557" s="20"/>
      <c r="J557" s="11"/>
      <c r="K557" s="11"/>
      <c r="L557" s="11"/>
    </row>
    <row r="558" spans="1:12" x14ac:dyDescent="0.3">
      <c r="A558" s="31"/>
      <c r="B558" s="32">
        <f>IF(A558="","",DATE(YEAR(A558),MONTH(A558),1))</f>
      </c>
      <c r="C558" s="11"/>
      <c r="D558" s="11"/>
      <c r="E558" s="16">
        <f>IF(OR(D558="",C558&lt;&gt;"Chi"),"",IFERROR(INDEX('Danh mục'!$B$39:$B$78,MATCH(D558,'Danh mục'!$A$39:$A$78,0))&amp;"","?"))</f>
      </c>
      <c r="F558" s="16">
        <f>IF(D558="","",IF(C558="Thu",IFERROR(INDEX('Danh mục'!$B$26:$B$35,MATCH(D558,'Danh mục'!$A$26:$A$35,0))&amp;"","?"),IFERROR(INDEX('Danh mục'!$D$39:$D$78,MATCH(D558,'Danh mục'!$A$39:$A$78,0))&amp;"","?")))</f>
      </c>
      <c r="G558" s="16">
        <f>IF(OR(D558="",C558&lt;&gt;"Chi"),"",IFERROR(INDEX('Danh mục'!$C$39:$C$78,MATCH(D558,'Danh mục'!$A$39:$A$78,0))&amp;"",""))</f>
      </c>
      <c r="H558" s="11"/>
      <c r="I558" s="20"/>
      <c r="J558" s="11"/>
      <c r="K558" s="11"/>
      <c r="L558" s="11"/>
    </row>
    <row r="559" spans="1:12" x14ac:dyDescent="0.3">
      <c r="A559" s="31"/>
      <c r="B559" s="32">
        <f>IF(A559="","",DATE(YEAR(A559),MONTH(A559),1))</f>
      </c>
      <c r="C559" s="11"/>
      <c r="D559" s="11"/>
      <c r="E559" s="16">
        <f>IF(OR(D559="",C559&lt;&gt;"Chi"),"",IFERROR(INDEX('Danh mục'!$B$39:$B$78,MATCH(D559,'Danh mục'!$A$39:$A$78,0))&amp;"","?"))</f>
      </c>
      <c r="F559" s="16">
        <f>IF(D559="","",IF(C559="Thu",IFERROR(INDEX('Danh mục'!$B$26:$B$35,MATCH(D559,'Danh mục'!$A$26:$A$35,0))&amp;"","?"),IFERROR(INDEX('Danh mục'!$D$39:$D$78,MATCH(D559,'Danh mục'!$A$39:$A$78,0))&amp;"","?")))</f>
      </c>
      <c r="G559" s="16">
        <f>IF(OR(D559="",C559&lt;&gt;"Chi"),"",IFERROR(INDEX('Danh mục'!$C$39:$C$78,MATCH(D559,'Danh mục'!$A$39:$A$78,0))&amp;"",""))</f>
      </c>
      <c r="H559" s="11"/>
      <c r="I559" s="20"/>
      <c r="J559" s="11"/>
      <c r="K559" s="11"/>
      <c r="L559" s="11"/>
    </row>
    <row r="560" spans="1:12" x14ac:dyDescent="0.3">
      <c r="A560" s="31"/>
      <c r="B560" s="32">
        <f>IF(A560="","",DATE(YEAR(A560),MONTH(A560),1))</f>
      </c>
      <c r="C560" s="11"/>
      <c r="D560" s="11"/>
      <c r="E560" s="16">
        <f>IF(OR(D560="",C560&lt;&gt;"Chi"),"",IFERROR(INDEX('Danh mục'!$B$39:$B$78,MATCH(D560,'Danh mục'!$A$39:$A$78,0))&amp;"","?"))</f>
      </c>
      <c r="F560" s="16">
        <f>IF(D560="","",IF(C560="Thu",IFERROR(INDEX('Danh mục'!$B$26:$B$35,MATCH(D560,'Danh mục'!$A$26:$A$35,0))&amp;"","?"),IFERROR(INDEX('Danh mục'!$D$39:$D$78,MATCH(D560,'Danh mục'!$A$39:$A$78,0))&amp;"","?")))</f>
      </c>
      <c r="G560" s="16">
        <f>IF(OR(D560="",C560&lt;&gt;"Chi"),"",IFERROR(INDEX('Danh mục'!$C$39:$C$78,MATCH(D560,'Danh mục'!$A$39:$A$78,0))&amp;"",""))</f>
      </c>
      <c r="H560" s="11"/>
      <c r="I560" s="20"/>
      <c r="J560" s="11"/>
      <c r="K560" s="11"/>
      <c r="L560" s="11"/>
    </row>
    <row r="561" spans="1:12" x14ac:dyDescent="0.3">
      <c r="A561" s="31"/>
      <c r="B561" s="32">
        <f>IF(A561="","",DATE(YEAR(A561),MONTH(A561),1))</f>
      </c>
      <c r="C561" s="11"/>
      <c r="D561" s="11"/>
      <c r="E561" s="16">
        <f>IF(OR(D561="",C561&lt;&gt;"Chi"),"",IFERROR(INDEX('Danh mục'!$B$39:$B$78,MATCH(D561,'Danh mục'!$A$39:$A$78,0))&amp;"","?"))</f>
      </c>
      <c r="F561" s="16">
        <f>IF(D561="","",IF(C561="Thu",IFERROR(INDEX('Danh mục'!$B$26:$B$35,MATCH(D561,'Danh mục'!$A$26:$A$35,0))&amp;"","?"),IFERROR(INDEX('Danh mục'!$D$39:$D$78,MATCH(D561,'Danh mục'!$A$39:$A$78,0))&amp;"","?")))</f>
      </c>
      <c r="G561" s="16">
        <f>IF(OR(D561="",C561&lt;&gt;"Chi"),"",IFERROR(INDEX('Danh mục'!$C$39:$C$78,MATCH(D561,'Danh mục'!$A$39:$A$78,0))&amp;"",""))</f>
      </c>
      <c r="H561" s="11"/>
      <c r="I561" s="20"/>
      <c r="J561" s="11"/>
      <c r="K561" s="11"/>
      <c r="L561" s="11"/>
    </row>
    <row r="562" spans="1:12" x14ac:dyDescent="0.3">
      <c r="A562" s="31"/>
      <c r="B562" s="32">
        <f>IF(A562="","",DATE(YEAR(A562),MONTH(A562),1))</f>
      </c>
      <c r="C562" s="11"/>
      <c r="D562" s="11"/>
      <c r="E562" s="16">
        <f>IF(OR(D562="",C562&lt;&gt;"Chi"),"",IFERROR(INDEX('Danh mục'!$B$39:$B$78,MATCH(D562,'Danh mục'!$A$39:$A$78,0))&amp;"","?"))</f>
      </c>
      <c r="F562" s="16">
        <f>IF(D562="","",IF(C562="Thu",IFERROR(INDEX('Danh mục'!$B$26:$B$35,MATCH(D562,'Danh mục'!$A$26:$A$35,0))&amp;"","?"),IFERROR(INDEX('Danh mục'!$D$39:$D$78,MATCH(D562,'Danh mục'!$A$39:$A$78,0))&amp;"","?")))</f>
      </c>
      <c r="G562" s="16">
        <f>IF(OR(D562="",C562&lt;&gt;"Chi"),"",IFERROR(INDEX('Danh mục'!$C$39:$C$78,MATCH(D562,'Danh mục'!$A$39:$A$78,0))&amp;"",""))</f>
      </c>
      <c r="H562" s="11"/>
      <c r="I562" s="20"/>
      <c r="J562" s="11"/>
      <c r="K562" s="11"/>
      <c r="L562" s="11"/>
    </row>
    <row r="563" spans="1:12" x14ac:dyDescent="0.3">
      <c r="A563" s="31"/>
      <c r="B563" s="32">
        <f>IF(A563="","",DATE(YEAR(A563),MONTH(A563),1))</f>
      </c>
      <c r="C563" s="11"/>
      <c r="D563" s="11"/>
      <c r="E563" s="16">
        <f>IF(OR(D563="",C563&lt;&gt;"Chi"),"",IFERROR(INDEX('Danh mục'!$B$39:$B$78,MATCH(D563,'Danh mục'!$A$39:$A$78,0))&amp;"","?"))</f>
      </c>
      <c r="F563" s="16">
        <f>IF(D563="","",IF(C563="Thu",IFERROR(INDEX('Danh mục'!$B$26:$B$35,MATCH(D563,'Danh mục'!$A$26:$A$35,0))&amp;"","?"),IFERROR(INDEX('Danh mục'!$D$39:$D$78,MATCH(D563,'Danh mục'!$A$39:$A$78,0))&amp;"","?")))</f>
      </c>
      <c r="G563" s="16">
        <f>IF(OR(D563="",C563&lt;&gt;"Chi"),"",IFERROR(INDEX('Danh mục'!$C$39:$C$78,MATCH(D563,'Danh mục'!$A$39:$A$78,0))&amp;"",""))</f>
      </c>
      <c r="H563" s="11"/>
      <c r="I563" s="20"/>
      <c r="J563" s="11"/>
      <c r="K563" s="11"/>
      <c r="L563" s="11"/>
    </row>
    <row r="564" spans="1:12" x14ac:dyDescent="0.3">
      <c r="A564" s="31"/>
      <c r="B564" s="32">
        <f>IF(A564="","",DATE(YEAR(A564),MONTH(A564),1))</f>
      </c>
      <c r="C564" s="11"/>
      <c r="D564" s="11"/>
      <c r="E564" s="16">
        <f>IF(OR(D564="",C564&lt;&gt;"Chi"),"",IFERROR(INDEX('Danh mục'!$B$39:$B$78,MATCH(D564,'Danh mục'!$A$39:$A$78,0))&amp;"","?"))</f>
      </c>
      <c r="F564" s="16">
        <f>IF(D564="","",IF(C564="Thu",IFERROR(INDEX('Danh mục'!$B$26:$B$35,MATCH(D564,'Danh mục'!$A$26:$A$35,0))&amp;"","?"),IFERROR(INDEX('Danh mục'!$D$39:$D$78,MATCH(D564,'Danh mục'!$A$39:$A$78,0))&amp;"","?")))</f>
      </c>
      <c r="G564" s="16">
        <f>IF(OR(D564="",C564&lt;&gt;"Chi"),"",IFERROR(INDEX('Danh mục'!$C$39:$C$78,MATCH(D564,'Danh mục'!$A$39:$A$78,0))&amp;"",""))</f>
      </c>
      <c r="H564" s="11"/>
      <c r="I564" s="20"/>
      <c r="J564" s="11"/>
      <c r="K564" s="11"/>
      <c r="L564" s="11"/>
    </row>
    <row r="565" spans="1:12" x14ac:dyDescent="0.3">
      <c r="A565" s="31"/>
      <c r="B565" s="32">
        <f>IF(A565="","",DATE(YEAR(A565),MONTH(A565),1))</f>
      </c>
      <c r="C565" s="11"/>
      <c r="D565" s="11"/>
      <c r="E565" s="16">
        <f>IF(OR(D565="",C565&lt;&gt;"Chi"),"",IFERROR(INDEX('Danh mục'!$B$39:$B$78,MATCH(D565,'Danh mục'!$A$39:$A$78,0))&amp;"","?"))</f>
      </c>
      <c r="F565" s="16">
        <f>IF(D565="","",IF(C565="Thu",IFERROR(INDEX('Danh mục'!$B$26:$B$35,MATCH(D565,'Danh mục'!$A$26:$A$35,0))&amp;"","?"),IFERROR(INDEX('Danh mục'!$D$39:$D$78,MATCH(D565,'Danh mục'!$A$39:$A$78,0))&amp;"","?")))</f>
      </c>
      <c r="G565" s="16">
        <f>IF(OR(D565="",C565&lt;&gt;"Chi"),"",IFERROR(INDEX('Danh mục'!$C$39:$C$78,MATCH(D565,'Danh mục'!$A$39:$A$78,0))&amp;"",""))</f>
      </c>
      <c r="H565" s="11"/>
      <c r="I565" s="20"/>
      <c r="J565" s="11"/>
      <c r="K565" s="11"/>
      <c r="L565" s="11"/>
    </row>
    <row r="566" spans="1:12" x14ac:dyDescent="0.3">
      <c r="A566" s="31"/>
      <c r="B566" s="32">
        <f>IF(A566="","",DATE(YEAR(A566),MONTH(A566),1))</f>
      </c>
      <c r="C566" s="11"/>
      <c r="D566" s="11"/>
      <c r="E566" s="16">
        <f>IF(OR(D566="",C566&lt;&gt;"Chi"),"",IFERROR(INDEX('Danh mục'!$B$39:$B$78,MATCH(D566,'Danh mục'!$A$39:$A$78,0))&amp;"","?"))</f>
      </c>
      <c r="F566" s="16">
        <f>IF(D566="","",IF(C566="Thu",IFERROR(INDEX('Danh mục'!$B$26:$B$35,MATCH(D566,'Danh mục'!$A$26:$A$35,0))&amp;"","?"),IFERROR(INDEX('Danh mục'!$D$39:$D$78,MATCH(D566,'Danh mục'!$A$39:$A$78,0))&amp;"","?")))</f>
      </c>
      <c r="G566" s="16">
        <f>IF(OR(D566="",C566&lt;&gt;"Chi"),"",IFERROR(INDEX('Danh mục'!$C$39:$C$78,MATCH(D566,'Danh mục'!$A$39:$A$78,0))&amp;"",""))</f>
      </c>
      <c r="H566" s="11"/>
      <c r="I566" s="20"/>
      <c r="J566" s="11"/>
      <c r="K566" s="11"/>
      <c r="L566" s="11"/>
    </row>
    <row r="567" spans="1:12" x14ac:dyDescent="0.3">
      <c r="A567" s="31"/>
      <c r="B567" s="32">
        <f>IF(A567="","",DATE(YEAR(A567),MONTH(A567),1))</f>
      </c>
      <c r="C567" s="11"/>
      <c r="D567" s="11"/>
      <c r="E567" s="16">
        <f>IF(OR(D567="",C567&lt;&gt;"Chi"),"",IFERROR(INDEX('Danh mục'!$B$39:$B$78,MATCH(D567,'Danh mục'!$A$39:$A$78,0))&amp;"","?"))</f>
      </c>
      <c r="F567" s="16">
        <f>IF(D567="","",IF(C567="Thu",IFERROR(INDEX('Danh mục'!$B$26:$B$35,MATCH(D567,'Danh mục'!$A$26:$A$35,0))&amp;"","?"),IFERROR(INDEX('Danh mục'!$D$39:$D$78,MATCH(D567,'Danh mục'!$A$39:$A$78,0))&amp;"","?")))</f>
      </c>
      <c r="G567" s="16">
        <f>IF(OR(D567="",C567&lt;&gt;"Chi"),"",IFERROR(INDEX('Danh mục'!$C$39:$C$78,MATCH(D567,'Danh mục'!$A$39:$A$78,0))&amp;"",""))</f>
      </c>
      <c r="H567" s="11"/>
      <c r="I567" s="20"/>
      <c r="J567" s="11"/>
      <c r="K567" s="11"/>
      <c r="L567" s="11"/>
    </row>
    <row r="568" spans="1:12" x14ac:dyDescent="0.3">
      <c r="A568" s="31"/>
      <c r="B568" s="32">
        <f>IF(A568="","",DATE(YEAR(A568),MONTH(A568),1))</f>
      </c>
      <c r="C568" s="11"/>
      <c r="D568" s="11"/>
      <c r="E568" s="16">
        <f>IF(OR(D568="",C568&lt;&gt;"Chi"),"",IFERROR(INDEX('Danh mục'!$B$39:$B$78,MATCH(D568,'Danh mục'!$A$39:$A$78,0))&amp;"","?"))</f>
      </c>
      <c r="F568" s="16">
        <f>IF(D568="","",IF(C568="Thu",IFERROR(INDEX('Danh mục'!$B$26:$B$35,MATCH(D568,'Danh mục'!$A$26:$A$35,0))&amp;"","?"),IFERROR(INDEX('Danh mục'!$D$39:$D$78,MATCH(D568,'Danh mục'!$A$39:$A$78,0))&amp;"","?")))</f>
      </c>
      <c r="G568" s="16">
        <f>IF(OR(D568="",C568&lt;&gt;"Chi"),"",IFERROR(INDEX('Danh mục'!$C$39:$C$78,MATCH(D568,'Danh mục'!$A$39:$A$78,0))&amp;"",""))</f>
      </c>
      <c r="H568" s="11"/>
      <c r="I568" s="20"/>
      <c r="J568" s="11"/>
      <c r="K568" s="11"/>
      <c r="L568" s="11"/>
    </row>
    <row r="569" spans="1:12" x14ac:dyDescent="0.3">
      <c r="A569" s="31"/>
      <c r="B569" s="32">
        <f>IF(A569="","",DATE(YEAR(A569),MONTH(A569),1))</f>
      </c>
      <c r="C569" s="11"/>
      <c r="D569" s="11"/>
      <c r="E569" s="16">
        <f>IF(OR(D569="",C569&lt;&gt;"Chi"),"",IFERROR(INDEX('Danh mục'!$B$39:$B$78,MATCH(D569,'Danh mục'!$A$39:$A$78,0))&amp;"","?"))</f>
      </c>
      <c r="F569" s="16">
        <f>IF(D569="","",IF(C569="Thu",IFERROR(INDEX('Danh mục'!$B$26:$B$35,MATCH(D569,'Danh mục'!$A$26:$A$35,0))&amp;"","?"),IFERROR(INDEX('Danh mục'!$D$39:$D$78,MATCH(D569,'Danh mục'!$A$39:$A$78,0))&amp;"","?")))</f>
      </c>
      <c r="G569" s="16">
        <f>IF(OR(D569="",C569&lt;&gt;"Chi"),"",IFERROR(INDEX('Danh mục'!$C$39:$C$78,MATCH(D569,'Danh mục'!$A$39:$A$78,0))&amp;"",""))</f>
      </c>
      <c r="H569" s="11"/>
      <c r="I569" s="20"/>
      <c r="J569" s="11"/>
      <c r="K569" s="11"/>
      <c r="L569" s="11"/>
    </row>
    <row r="570" spans="1:12" x14ac:dyDescent="0.3">
      <c r="A570" s="31"/>
      <c r="B570" s="32">
        <f>IF(A570="","",DATE(YEAR(A570),MONTH(A570),1))</f>
      </c>
      <c r="C570" s="11"/>
      <c r="D570" s="11"/>
      <c r="E570" s="16">
        <f>IF(OR(D570="",C570&lt;&gt;"Chi"),"",IFERROR(INDEX('Danh mục'!$B$39:$B$78,MATCH(D570,'Danh mục'!$A$39:$A$78,0))&amp;"","?"))</f>
      </c>
      <c r="F570" s="16">
        <f>IF(D570="","",IF(C570="Thu",IFERROR(INDEX('Danh mục'!$B$26:$B$35,MATCH(D570,'Danh mục'!$A$26:$A$35,0))&amp;"","?"),IFERROR(INDEX('Danh mục'!$D$39:$D$78,MATCH(D570,'Danh mục'!$A$39:$A$78,0))&amp;"","?")))</f>
      </c>
      <c r="G570" s="16">
        <f>IF(OR(D570="",C570&lt;&gt;"Chi"),"",IFERROR(INDEX('Danh mục'!$C$39:$C$78,MATCH(D570,'Danh mục'!$A$39:$A$78,0))&amp;"",""))</f>
      </c>
      <c r="H570" s="11"/>
      <c r="I570" s="20"/>
      <c r="J570" s="11"/>
      <c r="K570" s="11"/>
      <c r="L570" s="11"/>
    </row>
    <row r="571" spans="1:12" x14ac:dyDescent="0.3">
      <c r="A571" s="31"/>
      <c r="B571" s="32">
        <f>IF(A571="","",DATE(YEAR(A571),MONTH(A571),1))</f>
      </c>
      <c r="C571" s="11"/>
      <c r="D571" s="11"/>
      <c r="E571" s="16">
        <f>IF(OR(D571="",C571&lt;&gt;"Chi"),"",IFERROR(INDEX('Danh mục'!$B$39:$B$78,MATCH(D571,'Danh mục'!$A$39:$A$78,0))&amp;"","?"))</f>
      </c>
      <c r="F571" s="16">
        <f>IF(D571="","",IF(C571="Thu",IFERROR(INDEX('Danh mục'!$B$26:$B$35,MATCH(D571,'Danh mục'!$A$26:$A$35,0))&amp;"","?"),IFERROR(INDEX('Danh mục'!$D$39:$D$78,MATCH(D571,'Danh mục'!$A$39:$A$78,0))&amp;"","?")))</f>
      </c>
      <c r="G571" s="16">
        <f>IF(OR(D571="",C571&lt;&gt;"Chi"),"",IFERROR(INDEX('Danh mục'!$C$39:$C$78,MATCH(D571,'Danh mục'!$A$39:$A$78,0))&amp;"",""))</f>
      </c>
      <c r="H571" s="11"/>
      <c r="I571" s="20"/>
      <c r="J571" s="11"/>
      <c r="K571" s="11"/>
      <c r="L571" s="11"/>
    </row>
    <row r="572" spans="1:12" x14ac:dyDescent="0.3">
      <c r="A572" s="31"/>
      <c r="B572" s="32">
        <f>IF(A572="","",DATE(YEAR(A572),MONTH(A572),1))</f>
      </c>
      <c r="C572" s="11"/>
      <c r="D572" s="11"/>
      <c r="E572" s="16">
        <f>IF(OR(D572="",C572&lt;&gt;"Chi"),"",IFERROR(INDEX('Danh mục'!$B$39:$B$78,MATCH(D572,'Danh mục'!$A$39:$A$78,0))&amp;"","?"))</f>
      </c>
      <c r="F572" s="16">
        <f>IF(D572="","",IF(C572="Thu",IFERROR(INDEX('Danh mục'!$B$26:$B$35,MATCH(D572,'Danh mục'!$A$26:$A$35,0))&amp;"","?"),IFERROR(INDEX('Danh mục'!$D$39:$D$78,MATCH(D572,'Danh mục'!$A$39:$A$78,0))&amp;"","?")))</f>
      </c>
      <c r="G572" s="16">
        <f>IF(OR(D572="",C572&lt;&gt;"Chi"),"",IFERROR(INDEX('Danh mục'!$C$39:$C$78,MATCH(D572,'Danh mục'!$A$39:$A$78,0))&amp;"",""))</f>
      </c>
      <c r="H572" s="11"/>
      <c r="I572" s="20"/>
      <c r="J572" s="11"/>
      <c r="K572" s="11"/>
      <c r="L572" s="11"/>
    </row>
    <row r="573" spans="1:12" x14ac:dyDescent="0.3">
      <c r="A573" s="31"/>
      <c r="B573" s="32">
        <f>IF(A573="","",DATE(YEAR(A573),MONTH(A573),1))</f>
      </c>
      <c r="C573" s="11"/>
      <c r="D573" s="11"/>
      <c r="E573" s="16">
        <f>IF(OR(D573="",C573&lt;&gt;"Chi"),"",IFERROR(INDEX('Danh mục'!$B$39:$B$78,MATCH(D573,'Danh mục'!$A$39:$A$78,0))&amp;"","?"))</f>
      </c>
      <c r="F573" s="16">
        <f>IF(D573="","",IF(C573="Thu",IFERROR(INDEX('Danh mục'!$B$26:$B$35,MATCH(D573,'Danh mục'!$A$26:$A$35,0))&amp;"","?"),IFERROR(INDEX('Danh mục'!$D$39:$D$78,MATCH(D573,'Danh mục'!$A$39:$A$78,0))&amp;"","?")))</f>
      </c>
      <c r="G573" s="16">
        <f>IF(OR(D573="",C573&lt;&gt;"Chi"),"",IFERROR(INDEX('Danh mục'!$C$39:$C$78,MATCH(D573,'Danh mục'!$A$39:$A$78,0))&amp;"",""))</f>
      </c>
      <c r="H573" s="11"/>
      <c r="I573" s="20"/>
      <c r="J573" s="11"/>
      <c r="K573" s="11"/>
      <c r="L573" s="11"/>
    </row>
    <row r="574" spans="1:12" x14ac:dyDescent="0.3">
      <c r="A574" s="31"/>
      <c r="B574" s="32">
        <f>IF(A574="","",DATE(YEAR(A574),MONTH(A574),1))</f>
      </c>
      <c r="C574" s="11"/>
      <c r="D574" s="11"/>
      <c r="E574" s="16">
        <f>IF(OR(D574="",C574&lt;&gt;"Chi"),"",IFERROR(INDEX('Danh mục'!$B$39:$B$78,MATCH(D574,'Danh mục'!$A$39:$A$78,0))&amp;"","?"))</f>
      </c>
      <c r="F574" s="16">
        <f>IF(D574="","",IF(C574="Thu",IFERROR(INDEX('Danh mục'!$B$26:$B$35,MATCH(D574,'Danh mục'!$A$26:$A$35,0))&amp;"","?"),IFERROR(INDEX('Danh mục'!$D$39:$D$78,MATCH(D574,'Danh mục'!$A$39:$A$78,0))&amp;"","?")))</f>
      </c>
      <c r="G574" s="16">
        <f>IF(OR(D574="",C574&lt;&gt;"Chi"),"",IFERROR(INDEX('Danh mục'!$C$39:$C$78,MATCH(D574,'Danh mục'!$A$39:$A$78,0))&amp;"",""))</f>
      </c>
      <c r="H574" s="11"/>
      <c r="I574" s="20"/>
      <c r="J574" s="11"/>
      <c r="K574" s="11"/>
      <c r="L574" s="11"/>
    </row>
    <row r="575" spans="1:12" x14ac:dyDescent="0.3">
      <c r="A575" s="31"/>
      <c r="B575" s="32">
        <f>IF(A575="","",DATE(YEAR(A575),MONTH(A575),1))</f>
      </c>
      <c r="C575" s="11"/>
      <c r="D575" s="11"/>
      <c r="E575" s="16">
        <f>IF(OR(D575="",C575&lt;&gt;"Chi"),"",IFERROR(INDEX('Danh mục'!$B$39:$B$78,MATCH(D575,'Danh mục'!$A$39:$A$78,0))&amp;"","?"))</f>
      </c>
      <c r="F575" s="16">
        <f>IF(D575="","",IF(C575="Thu",IFERROR(INDEX('Danh mục'!$B$26:$B$35,MATCH(D575,'Danh mục'!$A$26:$A$35,0))&amp;"","?"),IFERROR(INDEX('Danh mục'!$D$39:$D$78,MATCH(D575,'Danh mục'!$A$39:$A$78,0))&amp;"","?")))</f>
      </c>
      <c r="G575" s="16">
        <f>IF(OR(D575="",C575&lt;&gt;"Chi"),"",IFERROR(INDEX('Danh mục'!$C$39:$C$78,MATCH(D575,'Danh mục'!$A$39:$A$78,0))&amp;"",""))</f>
      </c>
      <c r="H575" s="11"/>
      <c r="I575" s="20"/>
      <c r="J575" s="11"/>
      <c r="K575" s="11"/>
      <c r="L575" s="11"/>
    </row>
    <row r="576" spans="1:12" x14ac:dyDescent="0.3">
      <c r="A576" s="31"/>
      <c r="B576" s="32">
        <f>IF(A576="","",DATE(YEAR(A576),MONTH(A576),1))</f>
      </c>
      <c r="C576" s="11"/>
      <c r="D576" s="11"/>
      <c r="E576" s="16">
        <f>IF(OR(D576="",C576&lt;&gt;"Chi"),"",IFERROR(INDEX('Danh mục'!$B$39:$B$78,MATCH(D576,'Danh mục'!$A$39:$A$78,0))&amp;"","?"))</f>
      </c>
      <c r="F576" s="16">
        <f>IF(D576="","",IF(C576="Thu",IFERROR(INDEX('Danh mục'!$B$26:$B$35,MATCH(D576,'Danh mục'!$A$26:$A$35,0))&amp;"","?"),IFERROR(INDEX('Danh mục'!$D$39:$D$78,MATCH(D576,'Danh mục'!$A$39:$A$78,0))&amp;"","?")))</f>
      </c>
      <c r="G576" s="16">
        <f>IF(OR(D576="",C576&lt;&gt;"Chi"),"",IFERROR(INDEX('Danh mục'!$C$39:$C$78,MATCH(D576,'Danh mục'!$A$39:$A$78,0))&amp;"",""))</f>
      </c>
      <c r="H576" s="11"/>
      <c r="I576" s="20"/>
      <c r="J576" s="11"/>
      <c r="K576" s="11"/>
      <c r="L576" s="11"/>
    </row>
    <row r="577" spans="1:12" x14ac:dyDescent="0.3">
      <c r="A577" s="31"/>
      <c r="B577" s="32">
        <f>IF(A577="","",DATE(YEAR(A577),MONTH(A577),1))</f>
      </c>
      <c r="C577" s="11"/>
      <c r="D577" s="11"/>
      <c r="E577" s="16">
        <f>IF(OR(D577="",C577&lt;&gt;"Chi"),"",IFERROR(INDEX('Danh mục'!$B$39:$B$78,MATCH(D577,'Danh mục'!$A$39:$A$78,0))&amp;"","?"))</f>
      </c>
      <c r="F577" s="16">
        <f>IF(D577="","",IF(C577="Thu",IFERROR(INDEX('Danh mục'!$B$26:$B$35,MATCH(D577,'Danh mục'!$A$26:$A$35,0))&amp;"","?"),IFERROR(INDEX('Danh mục'!$D$39:$D$78,MATCH(D577,'Danh mục'!$A$39:$A$78,0))&amp;"","?")))</f>
      </c>
      <c r="G577" s="16">
        <f>IF(OR(D577="",C577&lt;&gt;"Chi"),"",IFERROR(INDEX('Danh mục'!$C$39:$C$78,MATCH(D577,'Danh mục'!$A$39:$A$78,0))&amp;"",""))</f>
      </c>
      <c r="H577" s="11"/>
      <c r="I577" s="20"/>
      <c r="J577" s="11"/>
      <c r="K577" s="11"/>
      <c r="L577" s="11"/>
    </row>
    <row r="578" spans="1:12" x14ac:dyDescent="0.3">
      <c r="A578" s="31"/>
      <c r="B578" s="32">
        <f>IF(A578="","",DATE(YEAR(A578),MONTH(A578),1))</f>
      </c>
      <c r="C578" s="11"/>
      <c r="D578" s="11"/>
      <c r="E578" s="16">
        <f>IF(OR(D578="",C578&lt;&gt;"Chi"),"",IFERROR(INDEX('Danh mục'!$B$39:$B$78,MATCH(D578,'Danh mục'!$A$39:$A$78,0))&amp;"","?"))</f>
      </c>
      <c r="F578" s="16">
        <f>IF(D578="","",IF(C578="Thu",IFERROR(INDEX('Danh mục'!$B$26:$B$35,MATCH(D578,'Danh mục'!$A$26:$A$35,0))&amp;"","?"),IFERROR(INDEX('Danh mục'!$D$39:$D$78,MATCH(D578,'Danh mục'!$A$39:$A$78,0))&amp;"","?")))</f>
      </c>
      <c r="G578" s="16">
        <f>IF(OR(D578="",C578&lt;&gt;"Chi"),"",IFERROR(INDEX('Danh mục'!$C$39:$C$78,MATCH(D578,'Danh mục'!$A$39:$A$78,0))&amp;"",""))</f>
      </c>
      <c r="H578" s="11"/>
      <c r="I578" s="20"/>
      <c r="J578" s="11"/>
      <c r="K578" s="11"/>
      <c r="L578" s="11"/>
    </row>
    <row r="579" spans="1:12" x14ac:dyDescent="0.3">
      <c r="A579" s="31"/>
      <c r="B579" s="32">
        <f>IF(A579="","",DATE(YEAR(A579),MONTH(A579),1))</f>
      </c>
      <c r="C579" s="11"/>
      <c r="D579" s="11"/>
      <c r="E579" s="16">
        <f>IF(OR(D579="",C579&lt;&gt;"Chi"),"",IFERROR(INDEX('Danh mục'!$B$39:$B$78,MATCH(D579,'Danh mục'!$A$39:$A$78,0))&amp;"","?"))</f>
      </c>
      <c r="F579" s="16">
        <f>IF(D579="","",IF(C579="Thu",IFERROR(INDEX('Danh mục'!$B$26:$B$35,MATCH(D579,'Danh mục'!$A$26:$A$35,0))&amp;"","?"),IFERROR(INDEX('Danh mục'!$D$39:$D$78,MATCH(D579,'Danh mục'!$A$39:$A$78,0))&amp;"","?")))</f>
      </c>
      <c r="G579" s="16">
        <f>IF(OR(D579="",C579&lt;&gt;"Chi"),"",IFERROR(INDEX('Danh mục'!$C$39:$C$78,MATCH(D579,'Danh mục'!$A$39:$A$78,0))&amp;"",""))</f>
      </c>
      <c r="H579" s="11"/>
      <c r="I579" s="20"/>
      <c r="J579" s="11"/>
      <c r="K579" s="11"/>
      <c r="L579" s="11"/>
    </row>
    <row r="580" spans="1:12" x14ac:dyDescent="0.3">
      <c r="A580" s="31"/>
      <c r="B580" s="32">
        <f>IF(A580="","",DATE(YEAR(A580),MONTH(A580),1))</f>
      </c>
      <c r="C580" s="11"/>
      <c r="D580" s="11"/>
      <c r="E580" s="16">
        <f>IF(OR(D580="",C580&lt;&gt;"Chi"),"",IFERROR(INDEX('Danh mục'!$B$39:$B$78,MATCH(D580,'Danh mục'!$A$39:$A$78,0))&amp;"","?"))</f>
      </c>
      <c r="F580" s="16">
        <f>IF(D580="","",IF(C580="Thu",IFERROR(INDEX('Danh mục'!$B$26:$B$35,MATCH(D580,'Danh mục'!$A$26:$A$35,0))&amp;"","?"),IFERROR(INDEX('Danh mục'!$D$39:$D$78,MATCH(D580,'Danh mục'!$A$39:$A$78,0))&amp;"","?")))</f>
      </c>
      <c r="G580" s="16">
        <f>IF(OR(D580="",C580&lt;&gt;"Chi"),"",IFERROR(INDEX('Danh mục'!$C$39:$C$78,MATCH(D580,'Danh mục'!$A$39:$A$78,0))&amp;"",""))</f>
      </c>
      <c r="H580" s="11"/>
      <c r="I580" s="20"/>
      <c r="J580" s="11"/>
      <c r="K580" s="11"/>
      <c r="L580" s="11"/>
    </row>
    <row r="581" spans="1:12" x14ac:dyDescent="0.3">
      <c r="A581" s="31"/>
      <c r="B581" s="32">
        <f>IF(A581="","",DATE(YEAR(A581),MONTH(A581),1))</f>
      </c>
      <c r="C581" s="11"/>
      <c r="D581" s="11"/>
      <c r="E581" s="16">
        <f>IF(OR(D581="",C581&lt;&gt;"Chi"),"",IFERROR(INDEX('Danh mục'!$B$39:$B$78,MATCH(D581,'Danh mục'!$A$39:$A$78,0))&amp;"","?"))</f>
      </c>
      <c r="F581" s="16">
        <f>IF(D581="","",IF(C581="Thu",IFERROR(INDEX('Danh mục'!$B$26:$B$35,MATCH(D581,'Danh mục'!$A$26:$A$35,0))&amp;"","?"),IFERROR(INDEX('Danh mục'!$D$39:$D$78,MATCH(D581,'Danh mục'!$A$39:$A$78,0))&amp;"","?")))</f>
      </c>
      <c r="G581" s="16">
        <f>IF(OR(D581="",C581&lt;&gt;"Chi"),"",IFERROR(INDEX('Danh mục'!$C$39:$C$78,MATCH(D581,'Danh mục'!$A$39:$A$78,0))&amp;"",""))</f>
      </c>
      <c r="H581" s="11"/>
      <c r="I581" s="20"/>
      <c r="J581" s="11"/>
      <c r="K581" s="11"/>
      <c r="L581" s="11"/>
    </row>
    <row r="582" spans="1:12" x14ac:dyDescent="0.3">
      <c r="A582" s="31"/>
      <c r="B582" s="32">
        <f>IF(A582="","",DATE(YEAR(A582),MONTH(A582),1))</f>
      </c>
      <c r="C582" s="11"/>
      <c r="D582" s="11"/>
      <c r="E582" s="16">
        <f>IF(OR(D582="",C582&lt;&gt;"Chi"),"",IFERROR(INDEX('Danh mục'!$B$39:$B$78,MATCH(D582,'Danh mục'!$A$39:$A$78,0))&amp;"","?"))</f>
      </c>
      <c r="F582" s="16">
        <f>IF(D582="","",IF(C582="Thu",IFERROR(INDEX('Danh mục'!$B$26:$B$35,MATCH(D582,'Danh mục'!$A$26:$A$35,0))&amp;"","?"),IFERROR(INDEX('Danh mục'!$D$39:$D$78,MATCH(D582,'Danh mục'!$A$39:$A$78,0))&amp;"","?")))</f>
      </c>
      <c r="G582" s="16">
        <f>IF(OR(D582="",C582&lt;&gt;"Chi"),"",IFERROR(INDEX('Danh mục'!$C$39:$C$78,MATCH(D582,'Danh mục'!$A$39:$A$78,0))&amp;"",""))</f>
      </c>
      <c r="H582" s="11"/>
      <c r="I582" s="20"/>
      <c r="J582" s="11"/>
      <c r="K582" s="11"/>
      <c r="L582" s="11"/>
    </row>
    <row r="583" spans="1:12" x14ac:dyDescent="0.3">
      <c r="A583" s="31"/>
      <c r="B583" s="32">
        <f>IF(A583="","",DATE(YEAR(A583),MONTH(A583),1))</f>
      </c>
      <c r="C583" s="11"/>
      <c r="D583" s="11"/>
      <c r="E583" s="16">
        <f>IF(OR(D583="",C583&lt;&gt;"Chi"),"",IFERROR(INDEX('Danh mục'!$B$39:$B$78,MATCH(D583,'Danh mục'!$A$39:$A$78,0))&amp;"","?"))</f>
      </c>
      <c r="F583" s="16">
        <f>IF(D583="","",IF(C583="Thu",IFERROR(INDEX('Danh mục'!$B$26:$B$35,MATCH(D583,'Danh mục'!$A$26:$A$35,0))&amp;"","?"),IFERROR(INDEX('Danh mục'!$D$39:$D$78,MATCH(D583,'Danh mục'!$A$39:$A$78,0))&amp;"","?")))</f>
      </c>
      <c r="G583" s="16">
        <f>IF(OR(D583="",C583&lt;&gt;"Chi"),"",IFERROR(INDEX('Danh mục'!$C$39:$C$78,MATCH(D583,'Danh mục'!$A$39:$A$78,0))&amp;"",""))</f>
      </c>
      <c r="H583" s="11"/>
      <c r="I583" s="20"/>
      <c r="J583" s="11"/>
      <c r="K583" s="11"/>
      <c r="L583" s="11"/>
    </row>
    <row r="584" spans="1:12" x14ac:dyDescent="0.3">
      <c r="A584" s="31"/>
      <c r="B584" s="32">
        <f>IF(A584="","",DATE(YEAR(A584),MONTH(A584),1))</f>
      </c>
      <c r="C584" s="11"/>
      <c r="D584" s="11"/>
      <c r="E584" s="16">
        <f>IF(OR(D584="",C584&lt;&gt;"Chi"),"",IFERROR(INDEX('Danh mục'!$B$39:$B$78,MATCH(D584,'Danh mục'!$A$39:$A$78,0))&amp;"","?"))</f>
      </c>
      <c r="F584" s="16">
        <f>IF(D584="","",IF(C584="Thu",IFERROR(INDEX('Danh mục'!$B$26:$B$35,MATCH(D584,'Danh mục'!$A$26:$A$35,0))&amp;"","?"),IFERROR(INDEX('Danh mục'!$D$39:$D$78,MATCH(D584,'Danh mục'!$A$39:$A$78,0))&amp;"","?")))</f>
      </c>
      <c r="G584" s="16">
        <f>IF(OR(D584="",C584&lt;&gt;"Chi"),"",IFERROR(INDEX('Danh mục'!$C$39:$C$78,MATCH(D584,'Danh mục'!$A$39:$A$78,0))&amp;"",""))</f>
      </c>
      <c r="H584" s="11"/>
      <c r="I584" s="20"/>
      <c r="J584" s="11"/>
      <c r="K584" s="11"/>
      <c r="L584" s="11"/>
    </row>
    <row r="585" spans="1:12" x14ac:dyDescent="0.3">
      <c r="A585" s="31"/>
      <c r="B585" s="32">
        <f>IF(A585="","",DATE(YEAR(A585),MONTH(A585),1))</f>
      </c>
      <c r="C585" s="11"/>
      <c r="D585" s="11"/>
      <c r="E585" s="16">
        <f>IF(OR(D585="",C585&lt;&gt;"Chi"),"",IFERROR(INDEX('Danh mục'!$B$39:$B$78,MATCH(D585,'Danh mục'!$A$39:$A$78,0))&amp;"","?"))</f>
      </c>
      <c r="F585" s="16">
        <f>IF(D585="","",IF(C585="Thu",IFERROR(INDEX('Danh mục'!$B$26:$B$35,MATCH(D585,'Danh mục'!$A$26:$A$35,0))&amp;"","?"),IFERROR(INDEX('Danh mục'!$D$39:$D$78,MATCH(D585,'Danh mục'!$A$39:$A$78,0))&amp;"","?")))</f>
      </c>
      <c r="G585" s="16">
        <f>IF(OR(D585="",C585&lt;&gt;"Chi"),"",IFERROR(INDEX('Danh mục'!$C$39:$C$78,MATCH(D585,'Danh mục'!$A$39:$A$78,0))&amp;"",""))</f>
      </c>
      <c r="H585" s="11"/>
      <c r="I585" s="20"/>
      <c r="J585" s="11"/>
      <c r="K585" s="11"/>
      <c r="L585" s="11"/>
    </row>
    <row r="586" spans="1:12" x14ac:dyDescent="0.3">
      <c r="A586" s="31"/>
      <c r="B586" s="32">
        <f>IF(A586="","",DATE(YEAR(A586),MONTH(A586),1))</f>
      </c>
      <c r="C586" s="11"/>
      <c r="D586" s="11"/>
      <c r="E586" s="16">
        <f>IF(OR(D586="",C586&lt;&gt;"Chi"),"",IFERROR(INDEX('Danh mục'!$B$39:$B$78,MATCH(D586,'Danh mục'!$A$39:$A$78,0))&amp;"","?"))</f>
      </c>
      <c r="F586" s="16">
        <f>IF(D586="","",IF(C586="Thu",IFERROR(INDEX('Danh mục'!$B$26:$B$35,MATCH(D586,'Danh mục'!$A$26:$A$35,0))&amp;"","?"),IFERROR(INDEX('Danh mục'!$D$39:$D$78,MATCH(D586,'Danh mục'!$A$39:$A$78,0))&amp;"","?")))</f>
      </c>
      <c r="G586" s="16">
        <f>IF(OR(D586="",C586&lt;&gt;"Chi"),"",IFERROR(INDEX('Danh mục'!$C$39:$C$78,MATCH(D586,'Danh mục'!$A$39:$A$78,0))&amp;"",""))</f>
      </c>
      <c r="H586" s="11"/>
      <c r="I586" s="20"/>
      <c r="J586" s="11"/>
      <c r="K586" s="11"/>
      <c r="L586" s="11"/>
    </row>
    <row r="587" spans="1:12" x14ac:dyDescent="0.3">
      <c r="A587" s="31"/>
      <c r="B587" s="32">
        <f>IF(A587="","",DATE(YEAR(A587),MONTH(A587),1))</f>
      </c>
      <c r="C587" s="11"/>
      <c r="D587" s="11"/>
      <c r="E587" s="16">
        <f>IF(OR(D587="",C587&lt;&gt;"Chi"),"",IFERROR(INDEX('Danh mục'!$B$39:$B$78,MATCH(D587,'Danh mục'!$A$39:$A$78,0))&amp;"","?"))</f>
      </c>
      <c r="F587" s="16">
        <f>IF(D587="","",IF(C587="Thu",IFERROR(INDEX('Danh mục'!$B$26:$B$35,MATCH(D587,'Danh mục'!$A$26:$A$35,0))&amp;"","?"),IFERROR(INDEX('Danh mục'!$D$39:$D$78,MATCH(D587,'Danh mục'!$A$39:$A$78,0))&amp;"","?")))</f>
      </c>
      <c r="G587" s="16">
        <f>IF(OR(D587="",C587&lt;&gt;"Chi"),"",IFERROR(INDEX('Danh mục'!$C$39:$C$78,MATCH(D587,'Danh mục'!$A$39:$A$78,0))&amp;"",""))</f>
      </c>
      <c r="H587" s="11"/>
      <c r="I587" s="20"/>
      <c r="J587" s="11"/>
      <c r="K587" s="11"/>
      <c r="L587" s="11"/>
    </row>
    <row r="588" spans="1:12" x14ac:dyDescent="0.3">
      <c r="A588" s="31"/>
      <c r="B588" s="32">
        <f>IF(A588="","",DATE(YEAR(A588),MONTH(A588),1))</f>
      </c>
      <c r="C588" s="11"/>
      <c r="D588" s="11"/>
      <c r="E588" s="16">
        <f>IF(OR(D588="",C588&lt;&gt;"Chi"),"",IFERROR(INDEX('Danh mục'!$B$39:$B$78,MATCH(D588,'Danh mục'!$A$39:$A$78,0))&amp;"","?"))</f>
      </c>
      <c r="F588" s="16">
        <f>IF(D588="","",IF(C588="Thu",IFERROR(INDEX('Danh mục'!$B$26:$B$35,MATCH(D588,'Danh mục'!$A$26:$A$35,0))&amp;"","?"),IFERROR(INDEX('Danh mục'!$D$39:$D$78,MATCH(D588,'Danh mục'!$A$39:$A$78,0))&amp;"","?")))</f>
      </c>
      <c r="G588" s="16">
        <f>IF(OR(D588="",C588&lt;&gt;"Chi"),"",IFERROR(INDEX('Danh mục'!$C$39:$C$78,MATCH(D588,'Danh mục'!$A$39:$A$78,0))&amp;"",""))</f>
      </c>
      <c r="H588" s="11"/>
      <c r="I588" s="20"/>
      <c r="J588" s="11"/>
      <c r="K588" s="11"/>
      <c r="L588" s="11"/>
    </row>
    <row r="589" spans="1:12" x14ac:dyDescent="0.3">
      <c r="A589" s="31"/>
      <c r="B589" s="32">
        <f>IF(A589="","",DATE(YEAR(A589),MONTH(A589),1))</f>
      </c>
      <c r="C589" s="11"/>
      <c r="D589" s="11"/>
      <c r="E589" s="16">
        <f>IF(OR(D589="",C589&lt;&gt;"Chi"),"",IFERROR(INDEX('Danh mục'!$B$39:$B$78,MATCH(D589,'Danh mục'!$A$39:$A$78,0))&amp;"","?"))</f>
      </c>
      <c r="F589" s="16">
        <f>IF(D589="","",IF(C589="Thu",IFERROR(INDEX('Danh mục'!$B$26:$B$35,MATCH(D589,'Danh mục'!$A$26:$A$35,0))&amp;"","?"),IFERROR(INDEX('Danh mục'!$D$39:$D$78,MATCH(D589,'Danh mục'!$A$39:$A$78,0))&amp;"","?")))</f>
      </c>
      <c r="G589" s="16">
        <f>IF(OR(D589="",C589&lt;&gt;"Chi"),"",IFERROR(INDEX('Danh mục'!$C$39:$C$78,MATCH(D589,'Danh mục'!$A$39:$A$78,0))&amp;"",""))</f>
      </c>
      <c r="H589" s="11"/>
      <c r="I589" s="20"/>
      <c r="J589" s="11"/>
      <c r="K589" s="11"/>
      <c r="L589" s="11"/>
    </row>
    <row r="590" spans="1:12" x14ac:dyDescent="0.3">
      <c r="A590" s="31"/>
      <c r="B590" s="32">
        <f>IF(A590="","",DATE(YEAR(A590),MONTH(A590),1))</f>
      </c>
      <c r="C590" s="11"/>
      <c r="D590" s="11"/>
      <c r="E590" s="16">
        <f>IF(OR(D590="",C590&lt;&gt;"Chi"),"",IFERROR(INDEX('Danh mục'!$B$39:$B$78,MATCH(D590,'Danh mục'!$A$39:$A$78,0))&amp;"","?"))</f>
      </c>
      <c r="F590" s="16">
        <f>IF(D590="","",IF(C590="Thu",IFERROR(INDEX('Danh mục'!$B$26:$B$35,MATCH(D590,'Danh mục'!$A$26:$A$35,0))&amp;"","?"),IFERROR(INDEX('Danh mục'!$D$39:$D$78,MATCH(D590,'Danh mục'!$A$39:$A$78,0))&amp;"","?")))</f>
      </c>
      <c r="G590" s="16">
        <f>IF(OR(D590="",C590&lt;&gt;"Chi"),"",IFERROR(INDEX('Danh mục'!$C$39:$C$78,MATCH(D590,'Danh mục'!$A$39:$A$78,0))&amp;"",""))</f>
      </c>
      <c r="H590" s="11"/>
      <c r="I590" s="20"/>
      <c r="J590" s="11"/>
      <c r="K590" s="11"/>
      <c r="L590" s="11"/>
    </row>
    <row r="591" spans="1:12" x14ac:dyDescent="0.3">
      <c r="A591" s="31"/>
      <c r="B591" s="32">
        <f>IF(A591="","",DATE(YEAR(A591),MONTH(A591),1))</f>
      </c>
      <c r="C591" s="11"/>
      <c r="D591" s="11"/>
      <c r="E591" s="16">
        <f>IF(OR(D591="",C591&lt;&gt;"Chi"),"",IFERROR(INDEX('Danh mục'!$B$39:$B$78,MATCH(D591,'Danh mục'!$A$39:$A$78,0))&amp;"","?"))</f>
      </c>
      <c r="F591" s="16">
        <f>IF(D591="","",IF(C591="Thu",IFERROR(INDEX('Danh mục'!$B$26:$B$35,MATCH(D591,'Danh mục'!$A$26:$A$35,0))&amp;"","?"),IFERROR(INDEX('Danh mục'!$D$39:$D$78,MATCH(D591,'Danh mục'!$A$39:$A$78,0))&amp;"","?")))</f>
      </c>
      <c r="G591" s="16">
        <f>IF(OR(D591="",C591&lt;&gt;"Chi"),"",IFERROR(INDEX('Danh mục'!$C$39:$C$78,MATCH(D591,'Danh mục'!$A$39:$A$78,0))&amp;"",""))</f>
      </c>
      <c r="H591" s="11"/>
      <c r="I591" s="20"/>
      <c r="J591" s="11"/>
      <c r="K591" s="11"/>
      <c r="L591" s="11"/>
    </row>
    <row r="592" spans="1:12" x14ac:dyDescent="0.3">
      <c r="A592" s="31"/>
      <c r="B592" s="32">
        <f>IF(A592="","",DATE(YEAR(A592),MONTH(A592),1))</f>
      </c>
      <c r="C592" s="11"/>
      <c r="D592" s="11"/>
      <c r="E592" s="16">
        <f>IF(OR(D592="",C592&lt;&gt;"Chi"),"",IFERROR(INDEX('Danh mục'!$B$39:$B$78,MATCH(D592,'Danh mục'!$A$39:$A$78,0))&amp;"","?"))</f>
      </c>
      <c r="F592" s="16">
        <f>IF(D592="","",IF(C592="Thu",IFERROR(INDEX('Danh mục'!$B$26:$B$35,MATCH(D592,'Danh mục'!$A$26:$A$35,0))&amp;"","?"),IFERROR(INDEX('Danh mục'!$D$39:$D$78,MATCH(D592,'Danh mục'!$A$39:$A$78,0))&amp;"","?")))</f>
      </c>
      <c r="G592" s="16">
        <f>IF(OR(D592="",C592&lt;&gt;"Chi"),"",IFERROR(INDEX('Danh mục'!$C$39:$C$78,MATCH(D592,'Danh mục'!$A$39:$A$78,0))&amp;"",""))</f>
      </c>
      <c r="H592" s="11"/>
      <c r="I592" s="20"/>
      <c r="J592" s="11"/>
      <c r="K592" s="11"/>
      <c r="L592" s="11"/>
    </row>
    <row r="593" spans="1:12" x14ac:dyDescent="0.3">
      <c r="A593" s="31"/>
      <c r="B593" s="32">
        <f>IF(A593="","",DATE(YEAR(A593),MONTH(A593),1))</f>
      </c>
      <c r="C593" s="11"/>
      <c r="D593" s="11"/>
      <c r="E593" s="16">
        <f>IF(OR(D593="",C593&lt;&gt;"Chi"),"",IFERROR(INDEX('Danh mục'!$B$39:$B$78,MATCH(D593,'Danh mục'!$A$39:$A$78,0))&amp;"","?"))</f>
      </c>
      <c r="F593" s="16">
        <f>IF(D593="","",IF(C593="Thu",IFERROR(INDEX('Danh mục'!$B$26:$B$35,MATCH(D593,'Danh mục'!$A$26:$A$35,0))&amp;"","?"),IFERROR(INDEX('Danh mục'!$D$39:$D$78,MATCH(D593,'Danh mục'!$A$39:$A$78,0))&amp;"","?")))</f>
      </c>
      <c r="G593" s="16">
        <f>IF(OR(D593="",C593&lt;&gt;"Chi"),"",IFERROR(INDEX('Danh mục'!$C$39:$C$78,MATCH(D593,'Danh mục'!$A$39:$A$78,0))&amp;"",""))</f>
      </c>
      <c r="H593" s="11"/>
      <c r="I593" s="20"/>
      <c r="J593" s="11"/>
      <c r="K593" s="11"/>
      <c r="L593" s="11"/>
    </row>
    <row r="594" spans="1:12" x14ac:dyDescent="0.3">
      <c r="A594" s="31"/>
      <c r="B594" s="32">
        <f>IF(A594="","",DATE(YEAR(A594),MONTH(A594),1))</f>
      </c>
      <c r="C594" s="11"/>
      <c r="D594" s="11"/>
      <c r="E594" s="16">
        <f>IF(OR(D594="",C594&lt;&gt;"Chi"),"",IFERROR(INDEX('Danh mục'!$B$39:$B$78,MATCH(D594,'Danh mục'!$A$39:$A$78,0))&amp;"","?"))</f>
      </c>
      <c r="F594" s="16">
        <f>IF(D594="","",IF(C594="Thu",IFERROR(INDEX('Danh mục'!$B$26:$B$35,MATCH(D594,'Danh mục'!$A$26:$A$35,0))&amp;"","?"),IFERROR(INDEX('Danh mục'!$D$39:$D$78,MATCH(D594,'Danh mục'!$A$39:$A$78,0))&amp;"","?")))</f>
      </c>
      <c r="G594" s="16">
        <f>IF(OR(D594="",C594&lt;&gt;"Chi"),"",IFERROR(INDEX('Danh mục'!$C$39:$C$78,MATCH(D594,'Danh mục'!$A$39:$A$78,0))&amp;"",""))</f>
      </c>
      <c r="H594" s="11"/>
      <c r="I594" s="20"/>
      <c r="J594" s="11"/>
      <c r="K594" s="11"/>
      <c r="L594" s="11"/>
    </row>
    <row r="595" spans="1:12" x14ac:dyDescent="0.3">
      <c r="A595" s="31"/>
      <c r="B595" s="32">
        <f>IF(A595="","",DATE(YEAR(A595),MONTH(A595),1))</f>
      </c>
      <c r="C595" s="11"/>
      <c r="D595" s="11"/>
      <c r="E595" s="16">
        <f>IF(OR(D595="",C595&lt;&gt;"Chi"),"",IFERROR(INDEX('Danh mục'!$B$39:$B$78,MATCH(D595,'Danh mục'!$A$39:$A$78,0))&amp;"","?"))</f>
      </c>
      <c r="F595" s="16">
        <f>IF(D595="","",IF(C595="Thu",IFERROR(INDEX('Danh mục'!$B$26:$B$35,MATCH(D595,'Danh mục'!$A$26:$A$35,0))&amp;"","?"),IFERROR(INDEX('Danh mục'!$D$39:$D$78,MATCH(D595,'Danh mục'!$A$39:$A$78,0))&amp;"","?")))</f>
      </c>
      <c r="G595" s="16">
        <f>IF(OR(D595="",C595&lt;&gt;"Chi"),"",IFERROR(INDEX('Danh mục'!$C$39:$C$78,MATCH(D595,'Danh mục'!$A$39:$A$78,0))&amp;"",""))</f>
      </c>
      <c r="H595" s="11"/>
      <c r="I595" s="20"/>
      <c r="J595" s="11"/>
      <c r="K595" s="11"/>
      <c r="L595" s="11"/>
    </row>
    <row r="596" spans="1:12" x14ac:dyDescent="0.3">
      <c r="A596" s="31"/>
      <c r="B596" s="32">
        <f>IF(A596="","",DATE(YEAR(A596),MONTH(A596),1))</f>
      </c>
      <c r="C596" s="11"/>
      <c r="D596" s="11"/>
      <c r="E596" s="16">
        <f>IF(OR(D596="",C596&lt;&gt;"Chi"),"",IFERROR(INDEX('Danh mục'!$B$39:$B$78,MATCH(D596,'Danh mục'!$A$39:$A$78,0))&amp;"","?"))</f>
      </c>
      <c r="F596" s="16">
        <f>IF(D596="","",IF(C596="Thu",IFERROR(INDEX('Danh mục'!$B$26:$B$35,MATCH(D596,'Danh mục'!$A$26:$A$35,0))&amp;"","?"),IFERROR(INDEX('Danh mục'!$D$39:$D$78,MATCH(D596,'Danh mục'!$A$39:$A$78,0))&amp;"","?")))</f>
      </c>
      <c r="G596" s="16">
        <f>IF(OR(D596="",C596&lt;&gt;"Chi"),"",IFERROR(INDEX('Danh mục'!$C$39:$C$78,MATCH(D596,'Danh mục'!$A$39:$A$78,0))&amp;"",""))</f>
      </c>
      <c r="H596" s="11"/>
      <c r="I596" s="20"/>
      <c r="J596" s="11"/>
      <c r="K596" s="11"/>
      <c r="L596" s="11"/>
    </row>
    <row r="597" spans="1:12" x14ac:dyDescent="0.3">
      <c r="A597" s="31"/>
      <c r="B597" s="32">
        <f>IF(A597="","",DATE(YEAR(A597),MONTH(A597),1))</f>
      </c>
      <c r="C597" s="11"/>
      <c r="D597" s="11"/>
      <c r="E597" s="16">
        <f>IF(OR(D597="",C597&lt;&gt;"Chi"),"",IFERROR(INDEX('Danh mục'!$B$39:$B$78,MATCH(D597,'Danh mục'!$A$39:$A$78,0))&amp;"","?"))</f>
      </c>
      <c r="F597" s="16">
        <f>IF(D597="","",IF(C597="Thu",IFERROR(INDEX('Danh mục'!$B$26:$B$35,MATCH(D597,'Danh mục'!$A$26:$A$35,0))&amp;"","?"),IFERROR(INDEX('Danh mục'!$D$39:$D$78,MATCH(D597,'Danh mục'!$A$39:$A$78,0))&amp;"","?")))</f>
      </c>
      <c r="G597" s="16">
        <f>IF(OR(D597="",C597&lt;&gt;"Chi"),"",IFERROR(INDEX('Danh mục'!$C$39:$C$78,MATCH(D597,'Danh mục'!$A$39:$A$78,0))&amp;"",""))</f>
      </c>
      <c r="H597" s="11"/>
      <c r="I597" s="20"/>
      <c r="J597" s="11"/>
      <c r="K597" s="11"/>
      <c r="L597" s="11"/>
    </row>
    <row r="598" spans="1:12" x14ac:dyDescent="0.3">
      <c r="A598" s="31"/>
      <c r="B598" s="32">
        <f>IF(A598="","",DATE(YEAR(A598),MONTH(A598),1))</f>
      </c>
      <c r="C598" s="11"/>
      <c r="D598" s="11"/>
      <c r="E598" s="16">
        <f>IF(OR(D598="",C598&lt;&gt;"Chi"),"",IFERROR(INDEX('Danh mục'!$B$39:$B$78,MATCH(D598,'Danh mục'!$A$39:$A$78,0))&amp;"","?"))</f>
      </c>
      <c r="F598" s="16">
        <f>IF(D598="","",IF(C598="Thu",IFERROR(INDEX('Danh mục'!$B$26:$B$35,MATCH(D598,'Danh mục'!$A$26:$A$35,0))&amp;"","?"),IFERROR(INDEX('Danh mục'!$D$39:$D$78,MATCH(D598,'Danh mục'!$A$39:$A$78,0))&amp;"","?")))</f>
      </c>
      <c r="G598" s="16">
        <f>IF(OR(D598="",C598&lt;&gt;"Chi"),"",IFERROR(INDEX('Danh mục'!$C$39:$C$78,MATCH(D598,'Danh mục'!$A$39:$A$78,0))&amp;"",""))</f>
      </c>
      <c r="H598" s="11"/>
      <c r="I598" s="20"/>
      <c r="J598" s="11"/>
      <c r="K598" s="11"/>
      <c r="L598" s="11"/>
    </row>
    <row r="599" spans="1:12" x14ac:dyDescent="0.3">
      <c r="A599" s="31"/>
      <c r="B599" s="32">
        <f>IF(A599="","",DATE(YEAR(A599),MONTH(A599),1))</f>
      </c>
      <c r="C599" s="11"/>
      <c r="D599" s="11"/>
      <c r="E599" s="16">
        <f>IF(OR(D599="",C599&lt;&gt;"Chi"),"",IFERROR(INDEX('Danh mục'!$B$39:$B$78,MATCH(D599,'Danh mục'!$A$39:$A$78,0))&amp;"","?"))</f>
      </c>
      <c r="F599" s="16">
        <f>IF(D599="","",IF(C599="Thu",IFERROR(INDEX('Danh mục'!$B$26:$B$35,MATCH(D599,'Danh mục'!$A$26:$A$35,0))&amp;"","?"),IFERROR(INDEX('Danh mục'!$D$39:$D$78,MATCH(D599,'Danh mục'!$A$39:$A$78,0))&amp;"","?")))</f>
      </c>
      <c r="G599" s="16">
        <f>IF(OR(D599="",C599&lt;&gt;"Chi"),"",IFERROR(INDEX('Danh mục'!$C$39:$C$78,MATCH(D599,'Danh mục'!$A$39:$A$78,0))&amp;"",""))</f>
      </c>
      <c r="H599" s="11"/>
      <c r="I599" s="20"/>
      <c r="J599" s="11"/>
      <c r="K599" s="11"/>
      <c r="L599" s="11"/>
    </row>
    <row r="600" spans="1:12" x14ac:dyDescent="0.3">
      <c r="A600" s="31"/>
      <c r="B600" s="32">
        <f>IF(A600="","",DATE(YEAR(A600),MONTH(A600),1))</f>
      </c>
      <c r="C600" s="11"/>
      <c r="D600" s="11"/>
      <c r="E600" s="16">
        <f>IF(OR(D600="",C600&lt;&gt;"Chi"),"",IFERROR(INDEX('Danh mục'!$B$39:$B$78,MATCH(D600,'Danh mục'!$A$39:$A$78,0))&amp;"","?"))</f>
      </c>
      <c r="F600" s="16">
        <f>IF(D600="","",IF(C600="Thu",IFERROR(INDEX('Danh mục'!$B$26:$B$35,MATCH(D600,'Danh mục'!$A$26:$A$35,0))&amp;"","?"),IFERROR(INDEX('Danh mục'!$D$39:$D$78,MATCH(D600,'Danh mục'!$A$39:$A$78,0))&amp;"","?")))</f>
      </c>
      <c r="G600" s="16">
        <f>IF(OR(D600="",C600&lt;&gt;"Chi"),"",IFERROR(INDEX('Danh mục'!$C$39:$C$78,MATCH(D600,'Danh mục'!$A$39:$A$78,0))&amp;"",""))</f>
      </c>
      <c r="H600" s="11"/>
      <c r="I600" s="20"/>
      <c r="J600" s="11"/>
      <c r="K600" s="11"/>
      <c r="L600" s="11"/>
    </row>
    <row r="601" spans="1:12" x14ac:dyDescent="0.3">
      <c r="A601" s="31"/>
      <c r="B601" s="32">
        <f>IF(A601="","",DATE(YEAR(A601),MONTH(A601),1))</f>
      </c>
      <c r="C601" s="11"/>
      <c r="D601" s="11"/>
      <c r="E601" s="16">
        <f>IF(OR(D601="",C601&lt;&gt;"Chi"),"",IFERROR(INDEX('Danh mục'!$B$39:$B$78,MATCH(D601,'Danh mục'!$A$39:$A$78,0))&amp;"","?"))</f>
      </c>
      <c r="F601" s="16">
        <f>IF(D601="","",IF(C601="Thu",IFERROR(INDEX('Danh mục'!$B$26:$B$35,MATCH(D601,'Danh mục'!$A$26:$A$35,0))&amp;"","?"),IFERROR(INDEX('Danh mục'!$D$39:$D$78,MATCH(D601,'Danh mục'!$A$39:$A$78,0))&amp;"","?")))</f>
      </c>
      <c r="G601" s="16">
        <f>IF(OR(D601="",C601&lt;&gt;"Chi"),"",IFERROR(INDEX('Danh mục'!$C$39:$C$78,MATCH(D601,'Danh mục'!$A$39:$A$78,0))&amp;"",""))</f>
      </c>
      <c r="H601" s="11"/>
      <c r="I601" s="20"/>
      <c r="J601" s="11"/>
      <c r="K601" s="11"/>
      <c r="L601" s="11"/>
    </row>
    <row r="602" spans="1:12" x14ac:dyDescent="0.3">
      <c r="A602" s="31"/>
      <c r="B602" s="32">
        <f>IF(A602="","",DATE(YEAR(A602),MONTH(A602),1))</f>
      </c>
      <c r="C602" s="11"/>
      <c r="D602" s="11"/>
      <c r="E602" s="16">
        <f>IF(OR(D602="",C602&lt;&gt;"Chi"),"",IFERROR(INDEX('Danh mục'!$B$39:$B$78,MATCH(D602,'Danh mục'!$A$39:$A$78,0))&amp;"","?"))</f>
      </c>
      <c r="F602" s="16">
        <f>IF(D602="","",IF(C602="Thu",IFERROR(INDEX('Danh mục'!$B$26:$B$35,MATCH(D602,'Danh mục'!$A$26:$A$35,0))&amp;"","?"),IFERROR(INDEX('Danh mục'!$D$39:$D$78,MATCH(D602,'Danh mục'!$A$39:$A$78,0))&amp;"","?")))</f>
      </c>
      <c r="G602" s="16">
        <f>IF(OR(D602="",C602&lt;&gt;"Chi"),"",IFERROR(INDEX('Danh mục'!$C$39:$C$78,MATCH(D602,'Danh mục'!$A$39:$A$78,0))&amp;"",""))</f>
      </c>
      <c r="H602" s="11"/>
      <c r="I602" s="20"/>
      <c r="J602" s="11"/>
      <c r="K602" s="11"/>
      <c r="L602" s="11"/>
    </row>
    <row r="603" spans="1:12" x14ac:dyDescent="0.3">
      <c r="A603" s="31"/>
      <c r="B603" s="32">
        <f>IF(A603="","",DATE(YEAR(A603),MONTH(A603),1))</f>
      </c>
      <c r="C603" s="11"/>
      <c r="D603" s="11"/>
      <c r="E603" s="16">
        <f>IF(OR(D603="",C603&lt;&gt;"Chi"),"",IFERROR(INDEX('Danh mục'!$B$39:$B$78,MATCH(D603,'Danh mục'!$A$39:$A$78,0))&amp;"","?"))</f>
      </c>
      <c r="F603" s="16">
        <f>IF(D603="","",IF(C603="Thu",IFERROR(INDEX('Danh mục'!$B$26:$B$35,MATCH(D603,'Danh mục'!$A$26:$A$35,0))&amp;"","?"),IFERROR(INDEX('Danh mục'!$D$39:$D$78,MATCH(D603,'Danh mục'!$A$39:$A$78,0))&amp;"","?")))</f>
      </c>
      <c r="G603" s="16">
        <f>IF(OR(D603="",C603&lt;&gt;"Chi"),"",IFERROR(INDEX('Danh mục'!$C$39:$C$78,MATCH(D603,'Danh mục'!$A$39:$A$78,0))&amp;"",""))</f>
      </c>
      <c r="H603" s="11"/>
      <c r="I603" s="20"/>
      <c r="J603" s="11"/>
      <c r="K603" s="11"/>
      <c r="L603" s="11"/>
    </row>
    <row r="604" spans="1:12" x14ac:dyDescent="0.3">
      <c r="A604" s="31"/>
      <c r="B604" s="32">
        <f>IF(A604="","",DATE(YEAR(A604),MONTH(A604),1))</f>
      </c>
      <c r="C604" s="11"/>
      <c r="D604" s="11"/>
      <c r="E604" s="16">
        <f>IF(OR(D604="",C604&lt;&gt;"Chi"),"",IFERROR(INDEX('Danh mục'!$B$39:$B$78,MATCH(D604,'Danh mục'!$A$39:$A$78,0))&amp;"","?"))</f>
      </c>
      <c r="F604" s="16">
        <f>IF(D604="","",IF(C604="Thu",IFERROR(INDEX('Danh mục'!$B$26:$B$35,MATCH(D604,'Danh mục'!$A$26:$A$35,0))&amp;"","?"),IFERROR(INDEX('Danh mục'!$D$39:$D$78,MATCH(D604,'Danh mục'!$A$39:$A$78,0))&amp;"","?")))</f>
      </c>
      <c r="G604" s="16">
        <f>IF(OR(D604="",C604&lt;&gt;"Chi"),"",IFERROR(INDEX('Danh mục'!$C$39:$C$78,MATCH(D604,'Danh mục'!$A$39:$A$78,0))&amp;"",""))</f>
      </c>
      <c r="H604" s="11"/>
      <c r="I604" s="20"/>
      <c r="J604" s="11"/>
      <c r="K604" s="11"/>
      <c r="L604" s="11"/>
    </row>
    <row r="605" spans="1:12" x14ac:dyDescent="0.3">
      <c r="A605" s="31"/>
      <c r="B605" s="32">
        <f>IF(A605="","",DATE(YEAR(A605),MONTH(A605),1))</f>
      </c>
      <c r="C605" s="11"/>
      <c r="D605" s="11"/>
      <c r="E605" s="16">
        <f>IF(OR(D605="",C605&lt;&gt;"Chi"),"",IFERROR(INDEX('Danh mục'!$B$39:$B$78,MATCH(D605,'Danh mục'!$A$39:$A$78,0))&amp;"","?"))</f>
      </c>
      <c r="F605" s="16">
        <f>IF(D605="","",IF(C605="Thu",IFERROR(INDEX('Danh mục'!$B$26:$B$35,MATCH(D605,'Danh mục'!$A$26:$A$35,0))&amp;"","?"),IFERROR(INDEX('Danh mục'!$D$39:$D$78,MATCH(D605,'Danh mục'!$A$39:$A$78,0))&amp;"","?")))</f>
      </c>
      <c r="G605" s="16">
        <f>IF(OR(D605="",C605&lt;&gt;"Chi"),"",IFERROR(INDEX('Danh mục'!$C$39:$C$78,MATCH(D605,'Danh mục'!$A$39:$A$78,0))&amp;"",""))</f>
      </c>
      <c r="H605" s="11"/>
      <c r="I605" s="20"/>
      <c r="J605" s="11"/>
      <c r="K605" s="11"/>
      <c r="L605" s="11"/>
    </row>
    <row r="606" spans="1:12" x14ac:dyDescent="0.3">
      <c r="A606" s="31"/>
      <c r="B606" s="32">
        <f>IF(A606="","",DATE(YEAR(A606),MONTH(A606),1))</f>
      </c>
      <c r="C606" s="11"/>
      <c r="D606" s="11"/>
      <c r="E606" s="16">
        <f>IF(OR(D606="",C606&lt;&gt;"Chi"),"",IFERROR(INDEX('Danh mục'!$B$39:$B$78,MATCH(D606,'Danh mục'!$A$39:$A$78,0))&amp;"","?"))</f>
      </c>
      <c r="F606" s="16">
        <f>IF(D606="","",IF(C606="Thu",IFERROR(INDEX('Danh mục'!$B$26:$B$35,MATCH(D606,'Danh mục'!$A$26:$A$35,0))&amp;"","?"),IFERROR(INDEX('Danh mục'!$D$39:$D$78,MATCH(D606,'Danh mục'!$A$39:$A$78,0))&amp;"","?")))</f>
      </c>
      <c r="G606" s="16">
        <f>IF(OR(D606="",C606&lt;&gt;"Chi"),"",IFERROR(INDEX('Danh mục'!$C$39:$C$78,MATCH(D606,'Danh mục'!$A$39:$A$78,0))&amp;"",""))</f>
      </c>
      <c r="H606" s="11"/>
      <c r="I606" s="20"/>
      <c r="J606" s="11"/>
      <c r="K606" s="11"/>
      <c r="L606" s="11"/>
    </row>
    <row r="607" spans="1:12" x14ac:dyDescent="0.3">
      <c r="A607" s="31"/>
      <c r="B607" s="32">
        <f>IF(A607="","",DATE(YEAR(A607),MONTH(A607),1))</f>
      </c>
      <c r="C607" s="11"/>
      <c r="D607" s="11"/>
      <c r="E607" s="16">
        <f>IF(OR(D607="",C607&lt;&gt;"Chi"),"",IFERROR(INDEX('Danh mục'!$B$39:$B$78,MATCH(D607,'Danh mục'!$A$39:$A$78,0))&amp;"","?"))</f>
      </c>
      <c r="F607" s="16">
        <f>IF(D607="","",IF(C607="Thu",IFERROR(INDEX('Danh mục'!$B$26:$B$35,MATCH(D607,'Danh mục'!$A$26:$A$35,0))&amp;"","?"),IFERROR(INDEX('Danh mục'!$D$39:$D$78,MATCH(D607,'Danh mục'!$A$39:$A$78,0))&amp;"","?")))</f>
      </c>
      <c r="G607" s="16">
        <f>IF(OR(D607="",C607&lt;&gt;"Chi"),"",IFERROR(INDEX('Danh mục'!$C$39:$C$78,MATCH(D607,'Danh mục'!$A$39:$A$78,0))&amp;"",""))</f>
      </c>
      <c r="H607" s="11"/>
      <c r="I607" s="20"/>
      <c r="J607" s="11"/>
      <c r="K607" s="11"/>
      <c r="L607" s="11"/>
    </row>
    <row r="608" spans="1:12" x14ac:dyDescent="0.3">
      <c r="A608" s="31"/>
      <c r="B608" s="32">
        <f>IF(A608="","",DATE(YEAR(A608),MONTH(A608),1))</f>
      </c>
      <c r="C608" s="11"/>
      <c r="D608" s="11"/>
      <c r="E608" s="16">
        <f>IF(OR(D608="",C608&lt;&gt;"Chi"),"",IFERROR(INDEX('Danh mục'!$B$39:$B$78,MATCH(D608,'Danh mục'!$A$39:$A$78,0))&amp;"","?"))</f>
      </c>
      <c r="F608" s="16">
        <f>IF(D608="","",IF(C608="Thu",IFERROR(INDEX('Danh mục'!$B$26:$B$35,MATCH(D608,'Danh mục'!$A$26:$A$35,0))&amp;"","?"),IFERROR(INDEX('Danh mục'!$D$39:$D$78,MATCH(D608,'Danh mục'!$A$39:$A$78,0))&amp;"","?")))</f>
      </c>
      <c r="G608" s="16">
        <f>IF(OR(D608="",C608&lt;&gt;"Chi"),"",IFERROR(INDEX('Danh mục'!$C$39:$C$78,MATCH(D608,'Danh mục'!$A$39:$A$78,0))&amp;"",""))</f>
      </c>
      <c r="H608" s="11"/>
      <c r="I608" s="20"/>
      <c r="J608" s="11"/>
      <c r="K608" s="11"/>
      <c r="L608" s="11"/>
    </row>
    <row r="609" spans="1:12" x14ac:dyDescent="0.3">
      <c r="A609" s="31"/>
      <c r="B609" s="32">
        <f>IF(A609="","",DATE(YEAR(A609),MONTH(A609),1))</f>
      </c>
      <c r="C609" s="11"/>
      <c r="D609" s="11"/>
      <c r="E609" s="16">
        <f>IF(OR(D609="",C609&lt;&gt;"Chi"),"",IFERROR(INDEX('Danh mục'!$B$39:$B$78,MATCH(D609,'Danh mục'!$A$39:$A$78,0))&amp;"","?"))</f>
      </c>
      <c r="F609" s="16">
        <f>IF(D609="","",IF(C609="Thu",IFERROR(INDEX('Danh mục'!$B$26:$B$35,MATCH(D609,'Danh mục'!$A$26:$A$35,0))&amp;"","?"),IFERROR(INDEX('Danh mục'!$D$39:$D$78,MATCH(D609,'Danh mục'!$A$39:$A$78,0))&amp;"","?")))</f>
      </c>
      <c r="G609" s="16">
        <f>IF(OR(D609="",C609&lt;&gt;"Chi"),"",IFERROR(INDEX('Danh mục'!$C$39:$C$78,MATCH(D609,'Danh mục'!$A$39:$A$78,0))&amp;"",""))</f>
      </c>
      <c r="H609" s="11"/>
      <c r="I609" s="20"/>
      <c r="J609" s="11"/>
      <c r="K609" s="11"/>
      <c r="L609" s="11"/>
    </row>
    <row r="610" spans="1:12" x14ac:dyDescent="0.3">
      <c r="A610" s="31"/>
      <c r="B610" s="32">
        <f>IF(A610="","",DATE(YEAR(A610),MONTH(A610),1))</f>
      </c>
      <c r="C610" s="11"/>
      <c r="D610" s="11"/>
      <c r="E610" s="16">
        <f>IF(OR(D610="",C610&lt;&gt;"Chi"),"",IFERROR(INDEX('Danh mục'!$B$39:$B$78,MATCH(D610,'Danh mục'!$A$39:$A$78,0))&amp;"","?"))</f>
      </c>
      <c r="F610" s="16">
        <f>IF(D610="","",IF(C610="Thu",IFERROR(INDEX('Danh mục'!$B$26:$B$35,MATCH(D610,'Danh mục'!$A$26:$A$35,0))&amp;"","?"),IFERROR(INDEX('Danh mục'!$D$39:$D$78,MATCH(D610,'Danh mục'!$A$39:$A$78,0))&amp;"","?")))</f>
      </c>
      <c r="G610" s="16">
        <f>IF(OR(D610="",C610&lt;&gt;"Chi"),"",IFERROR(INDEX('Danh mục'!$C$39:$C$78,MATCH(D610,'Danh mục'!$A$39:$A$78,0))&amp;"",""))</f>
      </c>
      <c r="H610" s="11"/>
      <c r="I610" s="20"/>
      <c r="J610" s="11"/>
      <c r="K610" s="11"/>
      <c r="L610" s="11"/>
    </row>
    <row r="611" spans="1:12" x14ac:dyDescent="0.3">
      <c r="A611" s="31"/>
      <c r="B611" s="32">
        <f>IF(A611="","",DATE(YEAR(A611),MONTH(A611),1))</f>
      </c>
      <c r="C611" s="11"/>
      <c r="D611" s="11"/>
      <c r="E611" s="16">
        <f>IF(OR(D611="",C611&lt;&gt;"Chi"),"",IFERROR(INDEX('Danh mục'!$B$39:$B$78,MATCH(D611,'Danh mục'!$A$39:$A$78,0))&amp;"","?"))</f>
      </c>
      <c r="F611" s="16">
        <f>IF(D611="","",IF(C611="Thu",IFERROR(INDEX('Danh mục'!$B$26:$B$35,MATCH(D611,'Danh mục'!$A$26:$A$35,0))&amp;"","?"),IFERROR(INDEX('Danh mục'!$D$39:$D$78,MATCH(D611,'Danh mục'!$A$39:$A$78,0))&amp;"","?")))</f>
      </c>
      <c r="G611" s="16">
        <f>IF(OR(D611="",C611&lt;&gt;"Chi"),"",IFERROR(INDEX('Danh mục'!$C$39:$C$78,MATCH(D611,'Danh mục'!$A$39:$A$78,0))&amp;"",""))</f>
      </c>
      <c r="H611" s="11"/>
      <c r="I611" s="20"/>
      <c r="J611" s="11"/>
      <c r="K611" s="11"/>
      <c r="L611" s="11"/>
    </row>
    <row r="612" spans="1:12" x14ac:dyDescent="0.3">
      <c r="A612" s="31"/>
      <c r="B612" s="32">
        <f>IF(A612="","",DATE(YEAR(A612),MONTH(A612),1))</f>
      </c>
      <c r="C612" s="11"/>
      <c r="D612" s="11"/>
      <c r="E612" s="16">
        <f>IF(OR(D612="",C612&lt;&gt;"Chi"),"",IFERROR(INDEX('Danh mục'!$B$39:$B$78,MATCH(D612,'Danh mục'!$A$39:$A$78,0))&amp;"","?"))</f>
      </c>
      <c r="F612" s="16">
        <f>IF(D612="","",IF(C612="Thu",IFERROR(INDEX('Danh mục'!$B$26:$B$35,MATCH(D612,'Danh mục'!$A$26:$A$35,0))&amp;"","?"),IFERROR(INDEX('Danh mục'!$D$39:$D$78,MATCH(D612,'Danh mục'!$A$39:$A$78,0))&amp;"","?")))</f>
      </c>
      <c r="G612" s="16">
        <f>IF(OR(D612="",C612&lt;&gt;"Chi"),"",IFERROR(INDEX('Danh mục'!$C$39:$C$78,MATCH(D612,'Danh mục'!$A$39:$A$78,0))&amp;"",""))</f>
      </c>
      <c r="H612" s="11"/>
      <c r="I612" s="20"/>
      <c r="J612" s="11"/>
      <c r="K612" s="11"/>
      <c r="L612" s="11"/>
    </row>
    <row r="613" spans="1:12" x14ac:dyDescent="0.3">
      <c r="A613" s="31"/>
      <c r="B613" s="32">
        <f>IF(A613="","",DATE(YEAR(A613),MONTH(A613),1))</f>
      </c>
      <c r="C613" s="11"/>
      <c r="D613" s="11"/>
      <c r="E613" s="16">
        <f>IF(OR(D613="",C613&lt;&gt;"Chi"),"",IFERROR(INDEX('Danh mục'!$B$39:$B$78,MATCH(D613,'Danh mục'!$A$39:$A$78,0))&amp;"","?"))</f>
      </c>
      <c r="F613" s="16">
        <f>IF(D613="","",IF(C613="Thu",IFERROR(INDEX('Danh mục'!$B$26:$B$35,MATCH(D613,'Danh mục'!$A$26:$A$35,0))&amp;"","?"),IFERROR(INDEX('Danh mục'!$D$39:$D$78,MATCH(D613,'Danh mục'!$A$39:$A$78,0))&amp;"","?")))</f>
      </c>
      <c r="G613" s="16">
        <f>IF(OR(D613="",C613&lt;&gt;"Chi"),"",IFERROR(INDEX('Danh mục'!$C$39:$C$78,MATCH(D613,'Danh mục'!$A$39:$A$78,0))&amp;"",""))</f>
      </c>
      <c r="H613" s="11"/>
      <c r="I613" s="20"/>
      <c r="J613" s="11"/>
      <c r="K613" s="11"/>
      <c r="L613" s="11"/>
    </row>
    <row r="614" spans="1:12" x14ac:dyDescent="0.3">
      <c r="A614" s="31"/>
      <c r="B614" s="32">
        <f>IF(A614="","",DATE(YEAR(A614),MONTH(A614),1))</f>
      </c>
      <c r="C614" s="11"/>
      <c r="D614" s="11"/>
      <c r="E614" s="16">
        <f>IF(OR(D614="",C614&lt;&gt;"Chi"),"",IFERROR(INDEX('Danh mục'!$B$39:$B$78,MATCH(D614,'Danh mục'!$A$39:$A$78,0))&amp;"","?"))</f>
      </c>
      <c r="F614" s="16">
        <f>IF(D614="","",IF(C614="Thu",IFERROR(INDEX('Danh mục'!$B$26:$B$35,MATCH(D614,'Danh mục'!$A$26:$A$35,0))&amp;"","?"),IFERROR(INDEX('Danh mục'!$D$39:$D$78,MATCH(D614,'Danh mục'!$A$39:$A$78,0))&amp;"","?")))</f>
      </c>
      <c r="G614" s="16">
        <f>IF(OR(D614="",C614&lt;&gt;"Chi"),"",IFERROR(INDEX('Danh mục'!$C$39:$C$78,MATCH(D614,'Danh mục'!$A$39:$A$78,0))&amp;"",""))</f>
      </c>
      <c r="H614" s="11"/>
      <c r="I614" s="20"/>
      <c r="J614" s="11"/>
      <c r="K614" s="11"/>
      <c r="L614" s="11"/>
    </row>
    <row r="615" spans="1:12" x14ac:dyDescent="0.3">
      <c r="A615" s="31"/>
      <c r="B615" s="32">
        <f>IF(A615="","",DATE(YEAR(A615),MONTH(A615),1))</f>
      </c>
      <c r="C615" s="11"/>
      <c r="D615" s="11"/>
      <c r="E615" s="16">
        <f>IF(OR(D615="",C615&lt;&gt;"Chi"),"",IFERROR(INDEX('Danh mục'!$B$39:$B$78,MATCH(D615,'Danh mục'!$A$39:$A$78,0))&amp;"","?"))</f>
      </c>
      <c r="F615" s="16">
        <f>IF(D615="","",IF(C615="Thu",IFERROR(INDEX('Danh mục'!$B$26:$B$35,MATCH(D615,'Danh mục'!$A$26:$A$35,0))&amp;"","?"),IFERROR(INDEX('Danh mục'!$D$39:$D$78,MATCH(D615,'Danh mục'!$A$39:$A$78,0))&amp;"","?")))</f>
      </c>
      <c r="G615" s="16">
        <f>IF(OR(D615="",C615&lt;&gt;"Chi"),"",IFERROR(INDEX('Danh mục'!$C$39:$C$78,MATCH(D615,'Danh mục'!$A$39:$A$78,0))&amp;"",""))</f>
      </c>
      <c r="H615" s="11"/>
      <c r="I615" s="20"/>
      <c r="J615" s="11"/>
      <c r="K615" s="11"/>
      <c r="L615" s="11"/>
    </row>
    <row r="616" spans="1:12" x14ac:dyDescent="0.3">
      <c r="A616" s="31"/>
      <c r="B616" s="32">
        <f>IF(A616="","",DATE(YEAR(A616),MONTH(A616),1))</f>
      </c>
      <c r="C616" s="11"/>
      <c r="D616" s="11"/>
      <c r="E616" s="16">
        <f>IF(OR(D616="",C616&lt;&gt;"Chi"),"",IFERROR(INDEX('Danh mục'!$B$39:$B$78,MATCH(D616,'Danh mục'!$A$39:$A$78,0))&amp;"","?"))</f>
      </c>
      <c r="F616" s="16">
        <f>IF(D616="","",IF(C616="Thu",IFERROR(INDEX('Danh mục'!$B$26:$B$35,MATCH(D616,'Danh mục'!$A$26:$A$35,0))&amp;"","?"),IFERROR(INDEX('Danh mục'!$D$39:$D$78,MATCH(D616,'Danh mục'!$A$39:$A$78,0))&amp;"","?")))</f>
      </c>
      <c r="G616" s="16">
        <f>IF(OR(D616="",C616&lt;&gt;"Chi"),"",IFERROR(INDEX('Danh mục'!$C$39:$C$78,MATCH(D616,'Danh mục'!$A$39:$A$78,0))&amp;"",""))</f>
      </c>
      <c r="H616" s="11"/>
      <c r="I616" s="20"/>
      <c r="J616" s="11"/>
      <c r="K616" s="11"/>
      <c r="L616" s="11"/>
    </row>
    <row r="617" spans="1:12" x14ac:dyDescent="0.3">
      <c r="A617" s="31"/>
      <c r="B617" s="32">
        <f>IF(A617="","",DATE(YEAR(A617),MONTH(A617),1))</f>
      </c>
      <c r="C617" s="11"/>
      <c r="D617" s="11"/>
      <c r="E617" s="16">
        <f>IF(OR(D617="",C617&lt;&gt;"Chi"),"",IFERROR(INDEX('Danh mục'!$B$39:$B$78,MATCH(D617,'Danh mục'!$A$39:$A$78,0))&amp;"","?"))</f>
      </c>
      <c r="F617" s="16">
        <f>IF(D617="","",IF(C617="Thu",IFERROR(INDEX('Danh mục'!$B$26:$B$35,MATCH(D617,'Danh mục'!$A$26:$A$35,0))&amp;"","?"),IFERROR(INDEX('Danh mục'!$D$39:$D$78,MATCH(D617,'Danh mục'!$A$39:$A$78,0))&amp;"","?")))</f>
      </c>
      <c r="G617" s="16">
        <f>IF(OR(D617="",C617&lt;&gt;"Chi"),"",IFERROR(INDEX('Danh mục'!$C$39:$C$78,MATCH(D617,'Danh mục'!$A$39:$A$78,0))&amp;"",""))</f>
      </c>
      <c r="H617" s="11"/>
      <c r="I617" s="20"/>
      <c r="J617" s="11"/>
      <c r="K617" s="11"/>
      <c r="L617" s="11"/>
    </row>
    <row r="618" spans="1:12" x14ac:dyDescent="0.3">
      <c r="A618" s="31"/>
      <c r="B618" s="32">
        <f>IF(A618="","",DATE(YEAR(A618),MONTH(A618),1))</f>
      </c>
      <c r="C618" s="11"/>
      <c r="D618" s="11"/>
      <c r="E618" s="16">
        <f>IF(OR(D618="",C618&lt;&gt;"Chi"),"",IFERROR(INDEX('Danh mục'!$B$39:$B$78,MATCH(D618,'Danh mục'!$A$39:$A$78,0))&amp;"","?"))</f>
      </c>
      <c r="F618" s="16">
        <f>IF(D618="","",IF(C618="Thu",IFERROR(INDEX('Danh mục'!$B$26:$B$35,MATCH(D618,'Danh mục'!$A$26:$A$35,0))&amp;"","?"),IFERROR(INDEX('Danh mục'!$D$39:$D$78,MATCH(D618,'Danh mục'!$A$39:$A$78,0))&amp;"","?")))</f>
      </c>
      <c r="G618" s="16">
        <f>IF(OR(D618="",C618&lt;&gt;"Chi"),"",IFERROR(INDEX('Danh mục'!$C$39:$C$78,MATCH(D618,'Danh mục'!$A$39:$A$78,0))&amp;"",""))</f>
      </c>
      <c r="H618" s="11"/>
      <c r="I618" s="20"/>
      <c r="J618" s="11"/>
      <c r="K618" s="11"/>
      <c r="L618" s="11"/>
    </row>
    <row r="619" spans="1:12" x14ac:dyDescent="0.3">
      <c r="A619" s="31"/>
      <c r="B619" s="32">
        <f>IF(A619="","",DATE(YEAR(A619),MONTH(A619),1))</f>
      </c>
      <c r="C619" s="11"/>
      <c r="D619" s="11"/>
      <c r="E619" s="16">
        <f>IF(OR(D619="",C619&lt;&gt;"Chi"),"",IFERROR(INDEX('Danh mục'!$B$39:$B$78,MATCH(D619,'Danh mục'!$A$39:$A$78,0))&amp;"","?"))</f>
      </c>
      <c r="F619" s="16">
        <f>IF(D619="","",IF(C619="Thu",IFERROR(INDEX('Danh mục'!$B$26:$B$35,MATCH(D619,'Danh mục'!$A$26:$A$35,0))&amp;"","?"),IFERROR(INDEX('Danh mục'!$D$39:$D$78,MATCH(D619,'Danh mục'!$A$39:$A$78,0))&amp;"","?")))</f>
      </c>
      <c r="G619" s="16">
        <f>IF(OR(D619="",C619&lt;&gt;"Chi"),"",IFERROR(INDEX('Danh mục'!$C$39:$C$78,MATCH(D619,'Danh mục'!$A$39:$A$78,0))&amp;"",""))</f>
      </c>
      <c r="H619" s="11"/>
      <c r="I619" s="20"/>
      <c r="J619" s="11"/>
      <c r="K619" s="11"/>
      <c r="L619" s="11"/>
    </row>
    <row r="620" spans="1:12" x14ac:dyDescent="0.3">
      <c r="A620" s="31"/>
      <c r="B620" s="32">
        <f>IF(A620="","",DATE(YEAR(A620),MONTH(A620),1))</f>
      </c>
      <c r="C620" s="11"/>
      <c r="D620" s="11"/>
      <c r="E620" s="16">
        <f>IF(OR(D620="",C620&lt;&gt;"Chi"),"",IFERROR(INDEX('Danh mục'!$B$39:$B$78,MATCH(D620,'Danh mục'!$A$39:$A$78,0))&amp;"","?"))</f>
      </c>
      <c r="F620" s="16">
        <f>IF(D620="","",IF(C620="Thu",IFERROR(INDEX('Danh mục'!$B$26:$B$35,MATCH(D620,'Danh mục'!$A$26:$A$35,0))&amp;"","?"),IFERROR(INDEX('Danh mục'!$D$39:$D$78,MATCH(D620,'Danh mục'!$A$39:$A$78,0))&amp;"","?")))</f>
      </c>
      <c r="G620" s="16">
        <f>IF(OR(D620="",C620&lt;&gt;"Chi"),"",IFERROR(INDEX('Danh mục'!$C$39:$C$78,MATCH(D620,'Danh mục'!$A$39:$A$78,0))&amp;"",""))</f>
      </c>
      <c r="H620" s="11"/>
      <c r="I620" s="20"/>
      <c r="J620" s="11"/>
      <c r="K620" s="11"/>
      <c r="L620" s="11"/>
    </row>
    <row r="621" spans="1:12" x14ac:dyDescent="0.3">
      <c r="A621" s="31"/>
      <c r="B621" s="32">
        <f>IF(A621="","",DATE(YEAR(A621),MONTH(A621),1))</f>
      </c>
      <c r="C621" s="11"/>
      <c r="D621" s="11"/>
      <c r="E621" s="16">
        <f>IF(OR(D621="",C621&lt;&gt;"Chi"),"",IFERROR(INDEX('Danh mục'!$B$39:$B$78,MATCH(D621,'Danh mục'!$A$39:$A$78,0))&amp;"","?"))</f>
      </c>
      <c r="F621" s="16">
        <f>IF(D621="","",IF(C621="Thu",IFERROR(INDEX('Danh mục'!$B$26:$B$35,MATCH(D621,'Danh mục'!$A$26:$A$35,0))&amp;"","?"),IFERROR(INDEX('Danh mục'!$D$39:$D$78,MATCH(D621,'Danh mục'!$A$39:$A$78,0))&amp;"","?")))</f>
      </c>
      <c r="G621" s="16">
        <f>IF(OR(D621="",C621&lt;&gt;"Chi"),"",IFERROR(INDEX('Danh mục'!$C$39:$C$78,MATCH(D621,'Danh mục'!$A$39:$A$78,0))&amp;"",""))</f>
      </c>
      <c r="H621" s="11"/>
      <c r="I621" s="20"/>
      <c r="J621" s="11"/>
      <c r="K621" s="11"/>
      <c r="L621" s="11"/>
    </row>
    <row r="622" spans="1:12" x14ac:dyDescent="0.3">
      <c r="A622" s="31"/>
      <c r="B622" s="32">
        <f>IF(A622="","",DATE(YEAR(A622),MONTH(A622),1))</f>
      </c>
      <c r="C622" s="11"/>
      <c r="D622" s="11"/>
      <c r="E622" s="16">
        <f>IF(OR(D622="",C622&lt;&gt;"Chi"),"",IFERROR(INDEX('Danh mục'!$B$39:$B$78,MATCH(D622,'Danh mục'!$A$39:$A$78,0))&amp;"","?"))</f>
      </c>
      <c r="F622" s="16">
        <f>IF(D622="","",IF(C622="Thu",IFERROR(INDEX('Danh mục'!$B$26:$B$35,MATCH(D622,'Danh mục'!$A$26:$A$35,0))&amp;"","?"),IFERROR(INDEX('Danh mục'!$D$39:$D$78,MATCH(D622,'Danh mục'!$A$39:$A$78,0))&amp;"","?")))</f>
      </c>
      <c r="G622" s="16">
        <f>IF(OR(D622="",C622&lt;&gt;"Chi"),"",IFERROR(INDEX('Danh mục'!$C$39:$C$78,MATCH(D622,'Danh mục'!$A$39:$A$78,0))&amp;"",""))</f>
      </c>
      <c r="H622" s="11"/>
      <c r="I622" s="20"/>
      <c r="J622" s="11"/>
      <c r="K622" s="11"/>
      <c r="L622" s="11"/>
    </row>
    <row r="623" spans="1:12" x14ac:dyDescent="0.3">
      <c r="A623" s="31"/>
      <c r="B623" s="32">
        <f>IF(A623="","",DATE(YEAR(A623),MONTH(A623),1))</f>
      </c>
      <c r="C623" s="11"/>
      <c r="D623" s="11"/>
      <c r="E623" s="16">
        <f>IF(OR(D623="",C623&lt;&gt;"Chi"),"",IFERROR(INDEX('Danh mục'!$B$39:$B$78,MATCH(D623,'Danh mục'!$A$39:$A$78,0))&amp;"","?"))</f>
      </c>
      <c r="F623" s="16">
        <f>IF(D623="","",IF(C623="Thu",IFERROR(INDEX('Danh mục'!$B$26:$B$35,MATCH(D623,'Danh mục'!$A$26:$A$35,0))&amp;"","?"),IFERROR(INDEX('Danh mục'!$D$39:$D$78,MATCH(D623,'Danh mục'!$A$39:$A$78,0))&amp;"","?")))</f>
      </c>
      <c r="G623" s="16">
        <f>IF(OR(D623="",C623&lt;&gt;"Chi"),"",IFERROR(INDEX('Danh mục'!$C$39:$C$78,MATCH(D623,'Danh mục'!$A$39:$A$78,0))&amp;"",""))</f>
      </c>
      <c r="H623" s="11"/>
      <c r="I623" s="20"/>
      <c r="J623" s="11"/>
      <c r="K623" s="11"/>
      <c r="L623" s="11"/>
    </row>
    <row r="624" spans="1:12" x14ac:dyDescent="0.3">
      <c r="A624" s="31"/>
      <c r="B624" s="32">
        <f>IF(A624="","",DATE(YEAR(A624),MONTH(A624),1))</f>
      </c>
      <c r="C624" s="11"/>
      <c r="D624" s="11"/>
      <c r="E624" s="16">
        <f>IF(OR(D624="",C624&lt;&gt;"Chi"),"",IFERROR(INDEX('Danh mục'!$B$39:$B$78,MATCH(D624,'Danh mục'!$A$39:$A$78,0))&amp;"","?"))</f>
      </c>
      <c r="F624" s="16">
        <f>IF(D624="","",IF(C624="Thu",IFERROR(INDEX('Danh mục'!$B$26:$B$35,MATCH(D624,'Danh mục'!$A$26:$A$35,0))&amp;"","?"),IFERROR(INDEX('Danh mục'!$D$39:$D$78,MATCH(D624,'Danh mục'!$A$39:$A$78,0))&amp;"","?")))</f>
      </c>
      <c r="G624" s="16">
        <f>IF(OR(D624="",C624&lt;&gt;"Chi"),"",IFERROR(INDEX('Danh mục'!$C$39:$C$78,MATCH(D624,'Danh mục'!$A$39:$A$78,0))&amp;"",""))</f>
      </c>
      <c r="H624" s="11"/>
      <c r="I624" s="20"/>
      <c r="J624" s="11"/>
      <c r="K624" s="11"/>
      <c r="L624" s="11"/>
    </row>
    <row r="625" spans="1:12" x14ac:dyDescent="0.3">
      <c r="A625" s="31"/>
      <c r="B625" s="32">
        <f>IF(A625="","",DATE(YEAR(A625),MONTH(A625),1))</f>
      </c>
      <c r="C625" s="11"/>
      <c r="D625" s="11"/>
      <c r="E625" s="16">
        <f>IF(OR(D625="",C625&lt;&gt;"Chi"),"",IFERROR(INDEX('Danh mục'!$B$39:$B$78,MATCH(D625,'Danh mục'!$A$39:$A$78,0))&amp;"","?"))</f>
      </c>
      <c r="F625" s="16">
        <f>IF(D625="","",IF(C625="Thu",IFERROR(INDEX('Danh mục'!$B$26:$B$35,MATCH(D625,'Danh mục'!$A$26:$A$35,0))&amp;"","?"),IFERROR(INDEX('Danh mục'!$D$39:$D$78,MATCH(D625,'Danh mục'!$A$39:$A$78,0))&amp;"","?")))</f>
      </c>
      <c r="G625" s="16">
        <f>IF(OR(D625="",C625&lt;&gt;"Chi"),"",IFERROR(INDEX('Danh mục'!$C$39:$C$78,MATCH(D625,'Danh mục'!$A$39:$A$78,0))&amp;"",""))</f>
      </c>
      <c r="H625" s="11"/>
      <c r="I625" s="20"/>
      <c r="J625" s="11"/>
      <c r="K625" s="11"/>
      <c r="L625" s="11"/>
    </row>
    <row r="626" spans="1:12" x14ac:dyDescent="0.3">
      <c r="A626" s="31"/>
      <c r="B626" s="32">
        <f>IF(A626="","",DATE(YEAR(A626),MONTH(A626),1))</f>
      </c>
      <c r="C626" s="11"/>
      <c r="D626" s="11"/>
      <c r="E626" s="16">
        <f>IF(OR(D626="",C626&lt;&gt;"Chi"),"",IFERROR(INDEX('Danh mục'!$B$39:$B$78,MATCH(D626,'Danh mục'!$A$39:$A$78,0))&amp;"","?"))</f>
      </c>
      <c r="F626" s="16">
        <f>IF(D626="","",IF(C626="Thu",IFERROR(INDEX('Danh mục'!$B$26:$B$35,MATCH(D626,'Danh mục'!$A$26:$A$35,0))&amp;"","?"),IFERROR(INDEX('Danh mục'!$D$39:$D$78,MATCH(D626,'Danh mục'!$A$39:$A$78,0))&amp;"","?")))</f>
      </c>
      <c r="G626" s="16">
        <f>IF(OR(D626="",C626&lt;&gt;"Chi"),"",IFERROR(INDEX('Danh mục'!$C$39:$C$78,MATCH(D626,'Danh mục'!$A$39:$A$78,0))&amp;"",""))</f>
      </c>
      <c r="H626" s="11"/>
      <c r="I626" s="20"/>
      <c r="J626" s="11"/>
      <c r="K626" s="11"/>
      <c r="L626" s="11"/>
    </row>
    <row r="627" spans="1:12" x14ac:dyDescent="0.3">
      <c r="A627" s="31"/>
      <c r="B627" s="32">
        <f>IF(A627="","",DATE(YEAR(A627),MONTH(A627),1))</f>
      </c>
      <c r="C627" s="11"/>
      <c r="D627" s="11"/>
      <c r="E627" s="16">
        <f>IF(OR(D627="",C627&lt;&gt;"Chi"),"",IFERROR(INDEX('Danh mục'!$B$39:$B$78,MATCH(D627,'Danh mục'!$A$39:$A$78,0))&amp;"","?"))</f>
      </c>
      <c r="F627" s="16">
        <f>IF(D627="","",IF(C627="Thu",IFERROR(INDEX('Danh mục'!$B$26:$B$35,MATCH(D627,'Danh mục'!$A$26:$A$35,0))&amp;"","?"),IFERROR(INDEX('Danh mục'!$D$39:$D$78,MATCH(D627,'Danh mục'!$A$39:$A$78,0))&amp;"","?")))</f>
      </c>
      <c r="G627" s="16">
        <f>IF(OR(D627="",C627&lt;&gt;"Chi"),"",IFERROR(INDEX('Danh mục'!$C$39:$C$78,MATCH(D627,'Danh mục'!$A$39:$A$78,0))&amp;"",""))</f>
      </c>
      <c r="H627" s="11"/>
      <c r="I627" s="20"/>
      <c r="J627" s="11"/>
      <c r="K627" s="11"/>
      <c r="L627" s="11"/>
    </row>
    <row r="628" spans="1:12" x14ac:dyDescent="0.3">
      <c r="A628" s="31"/>
      <c r="B628" s="32">
        <f>IF(A628="","",DATE(YEAR(A628),MONTH(A628),1))</f>
      </c>
      <c r="C628" s="11"/>
      <c r="D628" s="11"/>
      <c r="E628" s="16">
        <f>IF(OR(D628="",C628&lt;&gt;"Chi"),"",IFERROR(INDEX('Danh mục'!$B$39:$B$78,MATCH(D628,'Danh mục'!$A$39:$A$78,0))&amp;"","?"))</f>
      </c>
      <c r="F628" s="16">
        <f>IF(D628="","",IF(C628="Thu",IFERROR(INDEX('Danh mục'!$B$26:$B$35,MATCH(D628,'Danh mục'!$A$26:$A$35,0))&amp;"","?"),IFERROR(INDEX('Danh mục'!$D$39:$D$78,MATCH(D628,'Danh mục'!$A$39:$A$78,0))&amp;"","?")))</f>
      </c>
      <c r="G628" s="16">
        <f>IF(OR(D628="",C628&lt;&gt;"Chi"),"",IFERROR(INDEX('Danh mục'!$C$39:$C$78,MATCH(D628,'Danh mục'!$A$39:$A$78,0))&amp;"",""))</f>
      </c>
      <c r="H628" s="11"/>
      <c r="I628" s="20"/>
      <c r="J628" s="11"/>
      <c r="K628" s="11"/>
      <c r="L628" s="11"/>
    </row>
    <row r="629" spans="1:12" x14ac:dyDescent="0.3">
      <c r="A629" s="31"/>
      <c r="B629" s="32">
        <f>IF(A629="","",DATE(YEAR(A629),MONTH(A629),1))</f>
      </c>
      <c r="C629" s="11"/>
      <c r="D629" s="11"/>
      <c r="E629" s="16">
        <f>IF(OR(D629="",C629&lt;&gt;"Chi"),"",IFERROR(INDEX('Danh mục'!$B$39:$B$78,MATCH(D629,'Danh mục'!$A$39:$A$78,0))&amp;"","?"))</f>
      </c>
      <c r="F629" s="16">
        <f>IF(D629="","",IF(C629="Thu",IFERROR(INDEX('Danh mục'!$B$26:$B$35,MATCH(D629,'Danh mục'!$A$26:$A$35,0))&amp;"","?"),IFERROR(INDEX('Danh mục'!$D$39:$D$78,MATCH(D629,'Danh mục'!$A$39:$A$78,0))&amp;"","?")))</f>
      </c>
      <c r="G629" s="16">
        <f>IF(OR(D629="",C629&lt;&gt;"Chi"),"",IFERROR(INDEX('Danh mục'!$C$39:$C$78,MATCH(D629,'Danh mục'!$A$39:$A$78,0))&amp;"",""))</f>
      </c>
      <c r="H629" s="11"/>
      <c r="I629" s="20"/>
      <c r="J629" s="11"/>
      <c r="K629" s="11"/>
      <c r="L629" s="11"/>
    </row>
    <row r="630" spans="1:12" x14ac:dyDescent="0.3">
      <c r="A630" s="31"/>
      <c r="B630" s="32">
        <f>IF(A630="","",DATE(YEAR(A630),MONTH(A630),1))</f>
      </c>
      <c r="C630" s="11"/>
      <c r="D630" s="11"/>
      <c r="E630" s="16">
        <f>IF(OR(D630="",C630&lt;&gt;"Chi"),"",IFERROR(INDEX('Danh mục'!$B$39:$B$78,MATCH(D630,'Danh mục'!$A$39:$A$78,0))&amp;"","?"))</f>
      </c>
      <c r="F630" s="16">
        <f>IF(D630="","",IF(C630="Thu",IFERROR(INDEX('Danh mục'!$B$26:$B$35,MATCH(D630,'Danh mục'!$A$26:$A$35,0))&amp;"","?"),IFERROR(INDEX('Danh mục'!$D$39:$D$78,MATCH(D630,'Danh mục'!$A$39:$A$78,0))&amp;"","?")))</f>
      </c>
      <c r="G630" s="16">
        <f>IF(OR(D630="",C630&lt;&gt;"Chi"),"",IFERROR(INDEX('Danh mục'!$C$39:$C$78,MATCH(D630,'Danh mục'!$A$39:$A$78,0))&amp;"",""))</f>
      </c>
      <c r="H630" s="11"/>
      <c r="I630" s="20"/>
      <c r="J630" s="11"/>
      <c r="K630" s="11"/>
      <c r="L630" s="11"/>
    </row>
    <row r="631" spans="1:12" x14ac:dyDescent="0.3">
      <c r="A631" s="31"/>
      <c r="B631" s="32">
        <f>IF(A631="","",DATE(YEAR(A631),MONTH(A631),1))</f>
      </c>
      <c r="C631" s="11"/>
      <c r="D631" s="11"/>
      <c r="E631" s="16">
        <f>IF(OR(D631="",C631&lt;&gt;"Chi"),"",IFERROR(INDEX('Danh mục'!$B$39:$B$78,MATCH(D631,'Danh mục'!$A$39:$A$78,0))&amp;"","?"))</f>
      </c>
      <c r="F631" s="16">
        <f>IF(D631="","",IF(C631="Thu",IFERROR(INDEX('Danh mục'!$B$26:$B$35,MATCH(D631,'Danh mục'!$A$26:$A$35,0))&amp;"","?"),IFERROR(INDEX('Danh mục'!$D$39:$D$78,MATCH(D631,'Danh mục'!$A$39:$A$78,0))&amp;"","?")))</f>
      </c>
      <c r="G631" s="16">
        <f>IF(OR(D631="",C631&lt;&gt;"Chi"),"",IFERROR(INDEX('Danh mục'!$C$39:$C$78,MATCH(D631,'Danh mục'!$A$39:$A$78,0))&amp;"",""))</f>
      </c>
      <c r="H631" s="11"/>
      <c r="I631" s="20"/>
      <c r="J631" s="11"/>
      <c r="K631" s="11"/>
      <c r="L631" s="11"/>
    </row>
    <row r="632" spans="1:12" x14ac:dyDescent="0.3">
      <c r="A632" s="31"/>
      <c r="B632" s="32">
        <f>IF(A632="","",DATE(YEAR(A632),MONTH(A632),1))</f>
      </c>
      <c r="C632" s="11"/>
      <c r="D632" s="11"/>
      <c r="E632" s="16">
        <f>IF(OR(D632="",C632&lt;&gt;"Chi"),"",IFERROR(INDEX('Danh mục'!$B$39:$B$78,MATCH(D632,'Danh mục'!$A$39:$A$78,0))&amp;"","?"))</f>
      </c>
      <c r="F632" s="16">
        <f>IF(D632="","",IF(C632="Thu",IFERROR(INDEX('Danh mục'!$B$26:$B$35,MATCH(D632,'Danh mục'!$A$26:$A$35,0))&amp;"","?"),IFERROR(INDEX('Danh mục'!$D$39:$D$78,MATCH(D632,'Danh mục'!$A$39:$A$78,0))&amp;"","?")))</f>
      </c>
      <c r="G632" s="16">
        <f>IF(OR(D632="",C632&lt;&gt;"Chi"),"",IFERROR(INDEX('Danh mục'!$C$39:$C$78,MATCH(D632,'Danh mục'!$A$39:$A$78,0))&amp;"",""))</f>
      </c>
      <c r="H632" s="11"/>
      <c r="I632" s="20"/>
      <c r="J632" s="11"/>
      <c r="K632" s="11"/>
      <c r="L632" s="11"/>
    </row>
    <row r="633" spans="1:12" x14ac:dyDescent="0.3">
      <c r="A633" s="31"/>
      <c r="B633" s="32">
        <f>IF(A633="","",DATE(YEAR(A633),MONTH(A633),1))</f>
      </c>
      <c r="C633" s="11"/>
      <c r="D633" s="11"/>
      <c r="E633" s="16">
        <f>IF(OR(D633="",C633&lt;&gt;"Chi"),"",IFERROR(INDEX('Danh mục'!$B$39:$B$78,MATCH(D633,'Danh mục'!$A$39:$A$78,0))&amp;"","?"))</f>
      </c>
      <c r="F633" s="16">
        <f>IF(D633="","",IF(C633="Thu",IFERROR(INDEX('Danh mục'!$B$26:$B$35,MATCH(D633,'Danh mục'!$A$26:$A$35,0))&amp;"","?"),IFERROR(INDEX('Danh mục'!$D$39:$D$78,MATCH(D633,'Danh mục'!$A$39:$A$78,0))&amp;"","?")))</f>
      </c>
      <c r="G633" s="16">
        <f>IF(OR(D633="",C633&lt;&gt;"Chi"),"",IFERROR(INDEX('Danh mục'!$C$39:$C$78,MATCH(D633,'Danh mục'!$A$39:$A$78,0))&amp;"",""))</f>
      </c>
      <c r="H633" s="11"/>
      <c r="I633" s="20"/>
      <c r="J633" s="11"/>
      <c r="K633" s="11"/>
      <c r="L633" s="11"/>
    </row>
    <row r="634" spans="1:12" x14ac:dyDescent="0.3">
      <c r="A634" s="31"/>
      <c r="B634" s="32">
        <f>IF(A634="","",DATE(YEAR(A634),MONTH(A634),1))</f>
      </c>
      <c r="C634" s="11"/>
      <c r="D634" s="11"/>
      <c r="E634" s="16">
        <f>IF(OR(D634="",C634&lt;&gt;"Chi"),"",IFERROR(INDEX('Danh mục'!$B$39:$B$78,MATCH(D634,'Danh mục'!$A$39:$A$78,0))&amp;"","?"))</f>
      </c>
      <c r="F634" s="16">
        <f>IF(D634="","",IF(C634="Thu",IFERROR(INDEX('Danh mục'!$B$26:$B$35,MATCH(D634,'Danh mục'!$A$26:$A$35,0))&amp;"","?"),IFERROR(INDEX('Danh mục'!$D$39:$D$78,MATCH(D634,'Danh mục'!$A$39:$A$78,0))&amp;"","?")))</f>
      </c>
      <c r="G634" s="16">
        <f>IF(OR(D634="",C634&lt;&gt;"Chi"),"",IFERROR(INDEX('Danh mục'!$C$39:$C$78,MATCH(D634,'Danh mục'!$A$39:$A$78,0))&amp;"",""))</f>
      </c>
      <c r="H634" s="11"/>
      <c r="I634" s="20"/>
      <c r="J634" s="11"/>
      <c r="K634" s="11"/>
      <c r="L634" s="11"/>
    </row>
    <row r="635" spans="1:12" x14ac:dyDescent="0.3">
      <c r="A635" s="31"/>
      <c r="B635" s="32">
        <f>IF(A635="","",DATE(YEAR(A635),MONTH(A635),1))</f>
      </c>
      <c r="C635" s="11"/>
      <c r="D635" s="11"/>
      <c r="E635" s="16">
        <f>IF(OR(D635="",C635&lt;&gt;"Chi"),"",IFERROR(INDEX('Danh mục'!$B$39:$B$78,MATCH(D635,'Danh mục'!$A$39:$A$78,0))&amp;"","?"))</f>
      </c>
      <c r="F635" s="16">
        <f>IF(D635="","",IF(C635="Thu",IFERROR(INDEX('Danh mục'!$B$26:$B$35,MATCH(D635,'Danh mục'!$A$26:$A$35,0))&amp;"","?"),IFERROR(INDEX('Danh mục'!$D$39:$D$78,MATCH(D635,'Danh mục'!$A$39:$A$78,0))&amp;"","?")))</f>
      </c>
      <c r="G635" s="16">
        <f>IF(OR(D635="",C635&lt;&gt;"Chi"),"",IFERROR(INDEX('Danh mục'!$C$39:$C$78,MATCH(D635,'Danh mục'!$A$39:$A$78,0))&amp;"",""))</f>
      </c>
      <c r="H635" s="11"/>
      <c r="I635" s="20"/>
      <c r="J635" s="11"/>
      <c r="K635" s="11"/>
      <c r="L635" s="11"/>
    </row>
    <row r="636" spans="1:12" x14ac:dyDescent="0.3">
      <c r="A636" s="31"/>
      <c r="B636" s="32">
        <f>IF(A636="","",DATE(YEAR(A636),MONTH(A636),1))</f>
      </c>
      <c r="C636" s="11"/>
      <c r="D636" s="11"/>
      <c r="E636" s="16">
        <f>IF(OR(D636="",C636&lt;&gt;"Chi"),"",IFERROR(INDEX('Danh mục'!$B$39:$B$78,MATCH(D636,'Danh mục'!$A$39:$A$78,0))&amp;"","?"))</f>
      </c>
      <c r="F636" s="16">
        <f>IF(D636="","",IF(C636="Thu",IFERROR(INDEX('Danh mục'!$B$26:$B$35,MATCH(D636,'Danh mục'!$A$26:$A$35,0))&amp;"","?"),IFERROR(INDEX('Danh mục'!$D$39:$D$78,MATCH(D636,'Danh mục'!$A$39:$A$78,0))&amp;"","?")))</f>
      </c>
      <c r="G636" s="16">
        <f>IF(OR(D636="",C636&lt;&gt;"Chi"),"",IFERROR(INDEX('Danh mục'!$C$39:$C$78,MATCH(D636,'Danh mục'!$A$39:$A$78,0))&amp;"",""))</f>
      </c>
      <c r="H636" s="11"/>
      <c r="I636" s="20"/>
      <c r="J636" s="11"/>
      <c r="K636" s="11"/>
      <c r="L636" s="11"/>
    </row>
    <row r="637" spans="1:12" x14ac:dyDescent="0.3">
      <c r="A637" s="31"/>
      <c r="B637" s="32">
        <f>IF(A637="","",DATE(YEAR(A637),MONTH(A637),1))</f>
      </c>
      <c r="C637" s="11"/>
      <c r="D637" s="11"/>
      <c r="E637" s="16">
        <f>IF(OR(D637="",C637&lt;&gt;"Chi"),"",IFERROR(INDEX('Danh mục'!$B$39:$B$78,MATCH(D637,'Danh mục'!$A$39:$A$78,0))&amp;"","?"))</f>
      </c>
      <c r="F637" s="16">
        <f>IF(D637="","",IF(C637="Thu",IFERROR(INDEX('Danh mục'!$B$26:$B$35,MATCH(D637,'Danh mục'!$A$26:$A$35,0))&amp;"","?"),IFERROR(INDEX('Danh mục'!$D$39:$D$78,MATCH(D637,'Danh mục'!$A$39:$A$78,0))&amp;"","?")))</f>
      </c>
      <c r="G637" s="16">
        <f>IF(OR(D637="",C637&lt;&gt;"Chi"),"",IFERROR(INDEX('Danh mục'!$C$39:$C$78,MATCH(D637,'Danh mục'!$A$39:$A$78,0))&amp;"",""))</f>
      </c>
      <c r="H637" s="11"/>
      <c r="I637" s="20"/>
      <c r="J637" s="11"/>
      <c r="K637" s="11"/>
      <c r="L637" s="11"/>
    </row>
    <row r="638" spans="1:12" x14ac:dyDescent="0.3">
      <c r="A638" s="31"/>
      <c r="B638" s="32">
        <f>IF(A638="","",DATE(YEAR(A638),MONTH(A638),1))</f>
      </c>
      <c r="C638" s="11"/>
      <c r="D638" s="11"/>
      <c r="E638" s="16">
        <f>IF(OR(D638="",C638&lt;&gt;"Chi"),"",IFERROR(INDEX('Danh mục'!$B$39:$B$78,MATCH(D638,'Danh mục'!$A$39:$A$78,0))&amp;"","?"))</f>
      </c>
      <c r="F638" s="16">
        <f>IF(D638="","",IF(C638="Thu",IFERROR(INDEX('Danh mục'!$B$26:$B$35,MATCH(D638,'Danh mục'!$A$26:$A$35,0))&amp;"","?"),IFERROR(INDEX('Danh mục'!$D$39:$D$78,MATCH(D638,'Danh mục'!$A$39:$A$78,0))&amp;"","?")))</f>
      </c>
      <c r="G638" s="16">
        <f>IF(OR(D638="",C638&lt;&gt;"Chi"),"",IFERROR(INDEX('Danh mục'!$C$39:$C$78,MATCH(D638,'Danh mục'!$A$39:$A$78,0))&amp;"",""))</f>
      </c>
      <c r="H638" s="11"/>
      <c r="I638" s="20"/>
      <c r="J638" s="11"/>
      <c r="K638" s="11"/>
      <c r="L638" s="11"/>
    </row>
    <row r="639" spans="1:12" x14ac:dyDescent="0.3">
      <c r="A639" s="31"/>
      <c r="B639" s="32">
        <f>IF(A639="","",DATE(YEAR(A639),MONTH(A639),1))</f>
      </c>
      <c r="C639" s="11"/>
      <c r="D639" s="11"/>
      <c r="E639" s="16">
        <f>IF(OR(D639="",C639&lt;&gt;"Chi"),"",IFERROR(INDEX('Danh mục'!$B$39:$B$78,MATCH(D639,'Danh mục'!$A$39:$A$78,0))&amp;"","?"))</f>
      </c>
      <c r="F639" s="16">
        <f>IF(D639="","",IF(C639="Thu",IFERROR(INDEX('Danh mục'!$B$26:$B$35,MATCH(D639,'Danh mục'!$A$26:$A$35,0))&amp;"","?"),IFERROR(INDEX('Danh mục'!$D$39:$D$78,MATCH(D639,'Danh mục'!$A$39:$A$78,0))&amp;"","?")))</f>
      </c>
      <c r="G639" s="16">
        <f>IF(OR(D639="",C639&lt;&gt;"Chi"),"",IFERROR(INDEX('Danh mục'!$C$39:$C$78,MATCH(D639,'Danh mục'!$A$39:$A$78,0))&amp;"",""))</f>
      </c>
      <c r="H639" s="11"/>
      <c r="I639" s="20"/>
      <c r="J639" s="11"/>
      <c r="K639" s="11"/>
      <c r="L639" s="11"/>
    </row>
    <row r="640" spans="1:12" x14ac:dyDescent="0.3">
      <c r="A640" s="31"/>
      <c r="B640" s="32">
        <f>IF(A640="","",DATE(YEAR(A640),MONTH(A640),1))</f>
      </c>
      <c r="C640" s="11"/>
      <c r="D640" s="11"/>
      <c r="E640" s="16">
        <f>IF(OR(D640="",C640&lt;&gt;"Chi"),"",IFERROR(INDEX('Danh mục'!$B$39:$B$78,MATCH(D640,'Danh mục'!$A$39:$A$78,0))&amp;"","?"))</f>
      </c>
      <c r="F640" s="16">
        <f>IF(D640="","",IF(C640="Thu",IFERROR(INDEX('Danh mục'!$B$26:$B$35,MATCH(D640,'Danh mục'!$A$26:$A$35,0))&amp;"","?"),IFERROR(INDEX('Danh mục'!$D$39:$D$78,MATCH(D640,'Danh mục'!$A$39:$A$78,0))&amp;"","?")))</f>
      </c>
      <c r="G640" s="16">
        <f>IF(OR(D640="",C640&lt;&gt;"Chi"),"",IFERROR(INDEX('Danh mục'!$C$39:$C$78,MATCH(D640,'Danh mục'!$A$39:$A$78,0))&amp;"",""))</f>
      </c>
      <c r="H640" s="11"/>
      <c r="I640" s="20"/>
      <c r="J640" s="11"/>
      <c r="K640" s="11"/>
      <c r="L640" s="11"/>
    </row>
    <row r="641" spans="1:12" x14ac:dyDescent="0.3">
      <c r="A641" s="31"/>
      <c r="B641" s="32">
        <f>IF(A641="","",DATE(YEAR(A641),MONTH(A641),1))</f>
      </c>
      <c r="C641" s="11"/>
      <c r="D641" s="11"/>
      <c r="E641" s="16">
        <f>IF(OR(D641="",C641&lt;&gt;"Chi"),"",IFERROR(INDEX('Danh mục'!$B$39:$B$78,MATCH(D641,'Danh mục'!$A$39:$A$78,0))&amp;"","?"))</f>
      </c>
      <c r="F641" s="16">
        <f>IF(D641="","",IF(C641="Thu",IFERROR(INDEX('Danh mục'!$B$26:$B$35,MATCH(D641,'Danh mục'!$A$26:$A$35,0))&amp;"","?"),IFERROR(INDEX('Danh mục'!$D$39:$D$78,MATCH(D641,'Danh mục'!$A$39:$A$78,0))&amp;"","?")))</f>
      </c>
      <c r="G641" s="16">
        <f>IF(OR(D641="",C641&lt;&gt;"Chi"),"",IFERROR(INDEX('Danh mục'!$C$39:$C$78,MATCH(D641,'Danh mục'!$A$39:$A$78,0))&amp;"",""))</f>
      </c>
      <c r="H641" s="11"/>
      <c r="I641" s="20"/>
      <c r="J641" s="11"/>
      <c r="K641" s="11"/>
      <c r="L641" s="11"/>
    </row>
    <row r="642" spans="1:12" x14ac:dyDescent="0.3">
      <c r="A642" s="31"/>
      <c r="B642" s="32">
        <f>IF(A642="","",DATE(YEAR(A642),MONTH(A642),1))</f>
      </c>
      <c r="C642" s="11"/>
      <c r="D642" s="11"/>
      <c r="E642" s="16">
        <f>IF(OR(D642="",C642&lt;&gt;"Chi"),"",IFERROR(INDEX('Danh mục'!$B$39:$B$78,MATCH(D642,'Danh mục'!$A$39:$A$78,0))&amp;"","?"))</f>
      </c>
      <c r="F642" s="16">
        <f>IF(D642="","",IF(C642="Thu",IFERROR(INDEX('Danh mục'!$B$26:$B$35,MATCH(D642,'Danh mục'!$A$26:$A$35,0))&amp;"","?"),IFERROR(INDEX('Danh mục'!$D$39:$D$78,MATCH(D642,'Danh mục'!$A$39:$A$78,0))&amp;"","?")))</f>
      </c>
      <c r="G642" s="16">
        <f>IF(OR(D642="",C642&lt;&gt;"Chi"),"",IFERROR(INDEX('Danh mục'!$C$39:$C$78,MATCH(D642,'Danh mục'!$A$39:$A$78,0))&amp;"",""))</f>
      </c>
      <c r="H642" s="11"/>
      <c r="I642" s="20"/>
      <c r="J642" s="11"/>
      <c r="K642" s="11"/>
      <c r="L642" s="11"/>
    </row>
    <row r="643" spans="1:12" x14ac:dyDescent="0.3">
      <c r="A643" s="31"/>
      <c r="B643" s="32">
        <f>IF(A643="","",DATE(YEAR(A643),MONTH(A643),1))</f>
      </c>
      <c r="C643" s="11"/>
      <c r="D643" s="11"/>
      <c r="E643" s="16">
        <f>IF(OR(D643="",C643&lt;&gt;"Chi"),"",IFERROR(INDEX('Danh mục'!$B$39:$B$78,MATCH(D643,'Danh mục'!$A$39:$A$78,0))&amp;"","?"))</f>
      </c>
      <c r="F643" s="16">
        <f>IF(D643="","",IF(C643="Thu",IFERROR(INDEX('Danh mục'!$B$26:$B$35,MATCH(D643,'Danh mục'!$A$26:$A$35,0))&amp;"","?"),IFERROR(INDEX('Danh mục'!$D$39:$D$78,MATCH(D643,'Danh mục'!$A$39:$A$78,0))&amp;"","?")))</f>
      </c>
      <c r="G643" s="16">
        <f>IF(OR(D643="",C643&lt;&gt;"Chi"),"",IFERROR(INDEX('Danh mục'!$C$39:$C$78,MATCH(D643,'Danh mục'!$A$39:$A$78,0))&amp;"",""))</f>
      </c>
      <c r="H643" s="11"/>
      <c r="I643" s="20"/>
      <c r="J643" s="11"/>
      <c r="K643" s="11"/>
      <c r="L643" s="11"/>
    </row>
    <row r="644" spans="1:12" x14ac:dyDescent="0.3">
      <c r="A644" s="31"/>
      <c r="B644" s="32">
        <f>IF(A644="","",DATE(YEAR(A644),MONTH(A644),1))</f>
      </c>
      <c r="C644" s="11"/>
      <c r="D644" s="11"/>
      <c r="E644" s="16">
        <f>IF(OR(D644="",C644&lt;&gt;"Chi"),"",IFERROR(INDEX('Danh mục'!$B$39:$B$78,MATCH(D644,'Danh mục'!$A$39:$A$78,0))&amp;"","?"))</f>
      </c>
      <c r="F644" s="16">
        <f>IF(D644="","",IF(C644="Thu",IFERROR(INDEX('Danh mục'!$B$26:$B$35,MATCH(D644,'Danh mục'!$A$26:$A$35,0))&amp;"","?"),IFERROR(INDEX('Danh mục'!$D$39:$D$78,MATCH(D644,'Danh mục'!$A$39:$A$78,0))&amp;"","?")))</f>
      </c>
      <c r="G644" s="16">
        <f>IF(OR(D644="",C644&lt;&gt;"Chi"),"",IFERROR(INDEX('Danh mục'!$C$39:$C$78,MATCH(D644,'Danh mục'!$A$39:$A$78,0))&amp;"",""))</f>
      </c>
      <c r="H644" s="11"/>
      <c r="I644" s="20"/>
      <c r="J644" s="11"/>
      <c r="K644" s="11"/>
      <c r="L644" s="11"/>
    </row>
    <row r="645" spans="1:12" x14ac:dyDescent="0.3">
      <c r="A645" s="31"/>
      <c r="B645" s="32">
        <f>IF(A645="","",DATE(YEAR(A645),MONTH(A645),1))</f>
      </c>
      <c r="C645" s="11"/>
      <c r="D645" s="11"/>
      <c r="E645" s="16">
        <f>IF(OR(D645="",C645&lt;&gt;"Chi"),"",IFERROR(INDEX('Danh mục'!$B$39:$B$78,MATCH(D645,'Danh mục'!$A$39:$A$78,0))&amp;"","?"))</f>
      </c>
      <c r="F645" s="16">
        <f>IF(D645="","",IF(C645="Thu",IFERROR(INDEX('Danh mục'!$B$26:$B$35,MATCH(D645,'Danh mục'!$A$26:$A$35,0))&amp;"","?"),IFERROR(INDEX('Danh mục'!$D$39:$D$78,MATCH(D645,'Danh mục'!$A$39:$A$78,0))&amp;"","?")))</f>
      </c>
      <c r="G645" s="16">
        <f>IF(OR(D645="",C645&lt;&gt;"Chi"),"",IFERROR(INDEX('Danh mục'!$C$39:$C$78,MATCH(D645,'Danh mục'!$A$39:$A$78,0))&amp;"",""))</f>
      </c>
      <c r="H645" s="11"/>
      <c r="I645" s="20"/>
      <c r="J645" s="11"/>
      <c r="K645" s="11"/>
      <c r="L645" s="11"/>
    </row>
    <row r="646" spans="1:12" x14ac:dyDescent="0.3">
      <c r="A646" s="31"/>
      <c r="B646" s="32">
        <f>IF(A646="","",DATE(YEAR(A646),MONTH(A646),1))</f>
      </c>
      <c r="C646" s="11"/>
      <c r="D646" s="11"/>
      <c r="E646" s="16">
        <f>IF(OR(D646="",C646&lt;&gt;"Chi"),"",IFERROR(INDEX('Danh mục'!$B$39:$B$78,MATCH(D646,'Danh mục'!$A$39:$A$78,0))&amp;"","?"))</f>
      </c>
      <c r="F646" s="16">
        <f>IF(D646="","",IF(C646="Thu",IFERROR(INDEX('Danh mục'!$B$26:$B$35,MATCH(D646,'Danh mục'!$A$26:$A$35,0))&amp;"","?"),IFERROR(INDEX('Danh mục'!$D$39:$D$78,MATCH(D646,'Danh mục'!$A$39:$A$78,0))&amp;"","?")))</f>
      </c>
      <c r="G646" s="16">
        <f>IF(OR(D646="",C646&lt;&gt;"Chi"),"",IFERROR(INDEX('Danh mục'!$C$39:$C$78,MATCH(D646,'Danh mục'!$A$39:$A$78,0))&amp;"",""))</f>
      </c>
      <c r="H646" s="11"/>
      <c r="I646" s="20"/>
      <c r="J646" s="11"/>
      <c r="K646" s="11"/>
      <c r="L646" s="11"/>
    </row>
    <row r="647" spans="1:12" x14ac:dyDescent="0.3">
      <c r="A647" s="31"/>
      <c r="B647" s="32">
        <f>IF(A647="","",DATE(YEAR(A647),MONTH(A647),1))</f>
      </c>
      <c r="C647" s="11"/>
      <c r="D647" s="11"/>
      <c r="E647" s="16">
        <f>IF(OR(D647="",C647&lt;&gt;"Chi"),"",IFERROR(INDEX('Danh mục'!$B$39:$B$78,MATCH(D647,'Danh mục'!$A$39:$A$78,0))&amp;"","?"))</f>
      </c>
      <c r="F647" s="16">
        <f>IF(D647="","",IF(C647="Thu",IFERROR(INDEX('Danh mục'!$B$26:$B$35,MATCH(D647,'Danh mục'!$A$26:$A$35,0))&amp;"","?"),IFERROR(INDEX('Danh mục'!$D$39:$D$78,MATCH(D647,'Danh mục'!$A$39:$A$78,0))&amp;"","?")))</f>
      </c>
      <c r="G647" s="16">
        <f>IF(OR(D647="",C647&lt;&gt;"Chi"),"",IFERROR(INDEX('Danh mục'!$C$39:$C$78,MATCH(D647,'Danh mục'!$A$39:$A$78,0))&amp;"",""))</f>
      </c>
      <c r="H647" s="11"/>
      <c r="I647" s="20"/>
      <c r="J647" s="11"/>
      <c r="K647" s="11"/>
      <c r="L647" s="11"/>
    </row>
    <row r="648" spans="1:12" x14ac:dyDescent="0.3">
      <c r="A648" s="31"/>
      <c r="B648" s="32">
        <f>IF(A648="","",DATE(YEAR(A648),MONTH(A648),1))</f>
      </c>
      <c r="C648" s="11"/>
      <c r="D648" s="11"/>
      <c r="E648" s="16">
        <f>IF(OR(D648="",C648&lt;&gt;"Chi"),"",IFERROR(INDEX('Danh mục'!$B$39:$B$78,MATCH(D648,'Danh mục'!$A$39:$A$78,0))&amp;"","?"))</f>
      </c>
      <c r="F648" s="16">
        <f>IF(D648="","",IF(C648="Thu",IFERROR(INDEX('Danh mục'!$B$26:$B$35,MATCH(D648,'Danh mục'!$A$26:$A$35,0))&amp;"","?"),IFERROR(INDEX('Danh mục'!$D$39:$D$78,MATCH(D648,'Danh mục'!$A$39:$A$78,0))&amp;"","?")))</f>
      </c>
      <c r="G648" s="16">
        <f>IF(OR(D648="",C648&lt;&gt;"Chi"),"",IFERROR(INDEX('Danh mục'!$C$39:$C$78,MATCH(D648,'Danh mục'!$A$39:$A$78,0))&amp;"",""))</f>
      </c>
      <c r="H648" s="11"/>
      <c r="I648" s="20"/>
      <c r="J648" s="11"/>
      <c r="K648" s="11"/>
      <c r="L648" s="11"/>
    </row>
    <row r="649" spans="1:12" x14ac:dyDescent="0.3">
      <c r="A649" s="31"/>
      <c r="B649" s="32">
        <f>IF(A649="","",DATE(YEAR(A649),MONTH(A649),1))</f>
      </c>
      <c r="C649" s="11"/>
      <c r="D649" s="11"/>
      <c r="E649" s="16">
        <f>IF(OR(D649="",C649&lt;&gt;"Chi"),"",IFERROR(INDEX('Danh mục'!$B$39:$B$78,MATCH(D649,'Danh mục'!$A$39:$A$78,0))&amp;"","?"))</f>
      </c>
      <c r="F649" s="16">
        <f>IF(D649="","",IF(C649="Thu",IFERROR(INDEX('Danh mục'!$B$26:$B$35,MATCH(D649,'Danh mục'!$A$26:$A$35,0))&amp;"","?"),IFERROR(INDEX('Danh mục'!$D$39:$D$78,MATCH(D649,'Danh mục'!$A$39:$A$78,0))&amp;"","?")))</f>
      </c>
      <c r="G649" s="16">
        <f>IF(OR(D649="",C649&lt;&gt;"Chi"),"",IFERROR(INDEX('Danh mục'!$C$39:$C$78,MATCH(D649,'Danh mục'!$A$39:$A$78,0))&amp;"",""))</f>
      </c>
      <c r="H649" s="11"/>
      <c r="I649" s="20"/>
      <c r="J649" s="11"/>
      <c r="K649" s="11"/>
      <c r="L649" s="11"/>
    </row>
    <row r="650" spans="1:12" x14ac:dyDescent="0.3">
      <c r="A650" s="31"/>
      <c r="B650" s="32">
        <f>IF(A650="","",DATE(YEAR(A650),MONTH(A650),1))</f>
      </c>
      <c r="C650" s="11"/>
      <c r="D650" s="11"/>
      <c r="E650" s="16">
        <f>IF(OR(D650="",C650&lt;&gt;"Chi"),"",IFERROR(INDEX('Danh mục'!$B$39:$B$78,MATCH(D650,'Danh mục'!$A$39:$A$78,0))&amp;"","?"))</f>
      </c>
      <c r="F650" s="16">
        <f>IF(D650="","",IF(C650="Thu",IFERROR(INDEX('Danh mục'!$B$26:$B$35,MATCH(D650,'Danh mục'!$A$26:$A$35,0))&amp;"","?"),IFERROR(INDEX('Danh mục'!$D$39:$D$78,MATCH(D650,'Danh mục'!$A$39:$A$78,0))&amp;"","?")))</f>
      </c>
      <c r="G650" s="16">
        <f>IF(OR(D650="",C650&lt;&gt;"Chi"),"",IFERROR(INDEX('Danh mục'!$C$39:$C$78,MATCH(D650,'Danh mục'!$A$39:$A$78,0))&amp;"",""))</f>
      </c>
      <c r="H650" s="11"/>
      <c r="I650" s="20"/>
      <c r="J650" s="11"/>
      <c r="K650" s="11"/>
      <c r="L650" s="11"/>
    </row>
    <row r="651" spans="1:12" x14ac:dyDescent="0.3">
      <c r="A651" s="31"/>
      <c r="B651" s="32">
        <f>IF(A651="","",DATE(YEAR(A651),MONTH(A651),1))</f>
      </c>
      <c r="C651" s="11"/>
      <c r="D651" s="11"/>
      <c r="E651" s="16">
        <f>IF(OR(D651="",C651&lt;&gt;"Chi"),"",IFERROR(INDEX('Danh mục'!$B$39:$B$78,MATCH(D651,'Danh mục'!$A$39:$A$78,0))&amp;"","?"))</f>
      </c>
      <c r="F651" s="16">
        <f>IF(D651="","",IF(C651="Thu",IFERROR(INDEX('Danh mục'!$B$26:$B$35,MATCH(D651,'Danh mục'!$A$26:$A$35,0))&amp;"","?"),IFERROR(INDEX('Danh mục'!$D$39:$D$78,MATCH(D651,'Danh mục'!$A$39:$A$78,0))&amp;"","?")))</f>
      </c>
      <c r="G651" s="16">
        <f>IF(OR(D651="",C651&lt;&gt;"Chi"),"",IFERROR(INDEX('Danh mục'!$C$39:$C$78,MATCH(D651,'Danh mục'!$A$39:$A$78,0))&amp;"",""))</f>
      </c>
      <c r="H651" s="11"/>
      <c r="I651" s="20"/>
      <c r="J651" s="11"/>
      <c r="K651" s="11"/>
      <c r="L651" s="11"/>
    </row>
    <row r="652" spans="1:12" x14ac:dyDescent="0.3">
      <c r="A652" s="31"/>
      <c r="B652" s="32">
        <f>IF(A652="","",DATE(YEAR(A652),MONTH(A652),1))</f>
      </c>
      <c r="C652" s="11"/>
      <c r="D652" s="11"/>
      <c r="E652" s="16">
        <f>IF(OR(D652="",C652&lt;&gt;"Chi"),"",IFERROR(INDEX('Danh mục'!$B$39:$B$78,MATCH(D652,'Danh mục'!$A$39:$A$78,0))&amp;"","?"))</f>
      </c>
      <c r="F652" s="16">
        <f>IF(D652="","",IF(C652="Thu",IFERROR(INDEX('Danh mục'!$B$26:$B$35,MATCH(D652,'Danh mục'!$A$26:$A$35,0))&amp;"","?"),IFERROR(INDEX('Danh mục'!$D$39:$D$78,MATCH(D652,'Danh mục'!$A$39:$A$78,0))&amp;"","?")))</f>
      </c>
      <c r="G652" s="16">
        <f>IF(OR(D652="",C652&lt;&gt;"Chi"),"",IFERROR(INDEX('Danh mục'!$C$39:$C$78,MATCH(D652,'Danh mục'!$A$39:$A$78,0))&amp;"",""))</f>
      </c>
      <c r="H652" s="11"/>
      <c r="I652" s="20"/>
      <c r="J652" s="11"/>
      <c r="K652" s="11"/>
      <c r="L652" s="11"/>
    </row>
    <row r="653" spans="1:12" x14ac:dyDescent="0.3">
      <c r="A653" s="31"/>
      <c r="B653" s="32">
        <f>IF(A653="","",DATE(YEAR(A653),MONTH(A653),1))</f>
      </c>
      <c r="C653" s="11"/>
      <c r="D653" s="11"/>
      <c r="E653" s="16">
        <f>IF(OR(D653="",C653&lt;&gt;"Chi"),"",IFERROR(INDEX('Danh mục'!$B$39:$B$78,MATCH(D653,'Danh mục'!$A$39:$A$78,0))&amp;"","?"))</f>
      </c>
      <c r="F653" s="16">
        <f>IF(D653="","",IF(C653="Thu",IFERROR(INDEX('Danh mục'!$B$26:$B$35,MATCH(D653,'Danh mục'!$A$26:$A$35,0))&amp;"","?"),IFERROR(INDEX('Danh mục'!$D$39:$D$78,MATCH(D653,'Danh mục'!$A$39:$A$78,0))&amp;"","?")))</f>
      </c>
      <c r="G653" s="16">
        <f>IF(OR(D653="",C653&lt;&gt;"Chi"),"",IFERROR(INDEX('Danh mục'!$C$39:$C$78,MATCH(D653,'Danh mục'!$A$39:$A$78,0))&amp;"",""))</f>
      </c>
      <c r="H653" s="11"/>
      <c r="I653" s="20"/>
      <c r="J653" s="11"/>
      <c r="K653" s="11"/>
      <c r="L653" s="11"/>
    </row>
    <row r="654" spans="1:12" x14ac:dyDescent="0.3">
      <c r="A654" s="31"/>
      <c r="B654" s="32">
        <f>IF(A654="","",DATE(YEAR(A654),MONTH(A654),1))</f>
      </c>
      <c r="C654" s="11"/>
      <c r="D654" s="11"/>
      <c r="E654" s="16">
        <f>IF(OR(D654="",C654&lt;&gt;"Chi"),"",IFERROR(INDEX('Danh mục'!$B$39:$B$78,MATCH(D654,'Danh mục'!$A$39:$A$78,0))&amp;"","?"))</f>
      </c>
      <c r="F654" s="16">
        <f>IF(D654="","",IF(C654="Thu",IFERROR(INDEX('Danh mục'!$B$26:$B$35,MATCH(D654,'Danh mục'!$A$26:$A$35,0))&amp;"","?"),IFERROR(INDEX('Danh mục'!$D$39:$D$78,MATCH(D654,'Danh mục'!$A$39:$A$78,0))&amp;"","?")))</f>
      </c>
      <c r="G654" s="16">
        <f>IF(OR(D654="",C654&lt;&gt;"Chi"),"",IFERROR(INDEX('Danh mục'!$C$39:$C$78,MATCH(D654,'Danh mục'!$A$39:$A$78,0))&amp;"",""))</f>
      </c>
      <c r="H654" s="11"/>
      <c r="I654" s="20"/>
      <c r="J654" s="11"/>
      <c r="K654" s="11"/>
      <c r="L654" s="11"/>
    </row>
    <row r="655" spans="1:12" x14ac:dyDescent="0.3">
      <c r="A655" s="31"/>
      <c r="B655" s="32">
        <f>IF(A655="","",DATE(YEAR(A655),MONTH(A655),1))</f>
      </c>
      <c r="C655" s="11"/>
      <c r="D655" s="11"/>
      <c r="E655" s="16">
        <f>IF(OR(D655="",C655&lt;&gt;"Chi"),"",IFERROR(INDEX('Danh mục'!$B$39:$B$78,MATCH(D655,'Danh mục'!$A$39:$A$78,0))&amp;"","?"))</f>
      </c>
      <c r="F655" s="16">
        <f>IF(D655="","",IF(C655="Thu",IFERROR(INDEX('Danh mục'!$B$26:$B$35,MATCH(D655,'Danh mục'!$A$26:$A$35,0))&amp;"","?"),IFERROR(INDEX('Danh mục'!$D$39:$D$78,MATCH(D655,'Danh mục'!$A$39:$A$78,0))&amp;"","?")))</f>
      </c>
      <c r="G655" s="16">
        <f>IF(OR(D655="",C655&lt;&gt;"Chi"),"",IFERROR(INDEX('Danh mục'!$C$39:$C$78,MATCH(D655,'Danh mục'!$A$39:$A$78,0))&amp;"",""))</f>
      </c>
      <c r="H655" s="11"/>
      <c r="I655" s="20"/>
      <c r="J655" s="11"/>
      <c r="K655" s="11"/>
      <c r="L655" s="11"/>
    </row>
    <row r="656" spans="1:12" x14ac:dyDescent="0.3">
      <c r="A656" s="31"/>
      <c r="B656" s="32">
        <f>IF(A656="","",DATE(YEAR(A656),MONTH(A656),1))</f>
      </c>
      <c r="C656" s="11"/>
      <c r="D656" s="11"/>
      <c r="E656" s="16">
        <f>IF(OR(D656="",C656&lt;&gt;"Chi"),"",IFERROR(INDEX('Danh mục'!$B$39:$B$78,MATCH(D656,'Danh mục'!$A$39:$A$78,0))&amp;"","?"))</f>
      </c>
      <c r="F656" s="16">
        <f>IF(D656="","",IF(C656="Thu",IFERROR(INDEX('Danh mục'!$B$26:$B$35,MATCH(D656,'Danh mục'!$A$26:$A$35,0))&amp;"","?"),IFERROR(INDEX('Danh mục'!$D$39:$D$78,MATCH(D656,'Danh mục'!$A$39:$A$78,0))&amp;"","?")))</f>
      </c>
      <c r="G656" s="16">
        <f>IF(OR(D656="",C656&lt;&gt;"Chi"),"",IFERROR(INDEX('Danh mục'!$C$39:$C$78,MATCH(D656,'Danh mục'!$A$39:$A$78,0))&amp;"",""))</f>
      </c>
      <c r="H656" s="11"/>
      <c r="I656" s="20"/>
      <c r="J656" s="11"/>
      <c r="K656" s="11"/>
      <c r="L656" s="11"/>
    </row>
    <row r="657" spans="1:12" x14ac:dyDescent="0.3">
      <c r="A657" s="31"/>
      <c r="B657" s="32">
        <f>IF(A657="","",DATE(YEAR(A657),MONTH(A657),1))</f>
      </c>
      <c r="C657" s="11"/>
      <c r="D657" s="11"/>
      <c r="E657" s="16">
        <f>IF(OR(D657="",C657&lt;&gt;"Chi"),"",IFERROR(INDEX('Danh mục'!$B$39:$B$78,MATCH(D657,'Danh mục'!$A$39:$A$78,0))&amp;"","?"))</f>
      </c>
      <c r="F657" s="16">
        <f>IF(D657="","",IF(C657="Thu",IFERROR(INDEX('Danh mục'!$B$26:$B$35,MATCH(D657,'Danh mục'!$A$26:$A$35,0))&amp;"","?"),IFERROR(INDEX('Danh mục'!$D$39:$D$78,MATCH(D657,'Danh mục'!$A$39:$A$78,0))&amp;"","?")))</f>
      </c>
      <c r="G657" s="16">
        <f>IF(OR(D657="",C657&lt;&gt;"Chi"),"",IFERROR(INDEX('Danh mục'!$C$39:$C$78,MATCH(D657,'Danh mục'!$A$39:$A$78,0))&amp;"",""))</f>
      </c>
      <c r="H657" s="11"/>
      <c r="I657" s="20"/>
      <c r="J657" s="11"/>
      <c r="K657" s="11"/>
      <c r="L657" s="11"/>
    </row>
    <row r="658" spans="1:12" x14ac:dyDescent="0.3">
      <c r="A658" s="31"/>
      <c r="B658" s="32">
        <f>IF(A658="","",DATE(YEAR(A658),MONTH(A658),1))</f>
      </c>
      <c r="C658" s="11"/>
      <c r="D658" s="11"/>
      <c r="E658" s="16">
        <f>IF(OR(D658="",C658&lt;&gt;"Chi"),"",IFERROR(INDEX('Danh mục'!$B$39:$B$78,MATCH(D658,'Danh mục'!$A$39:$A$78,0))&amp;"","?"))</f>
      </c>
      <c r="F658" s="16">
        <f>IF(D658="","",IF(C658="Thu",IFERROR(INDEX('Danh mục'!$B$26:$B$35,MATCH(D658,'Danh mục'!$A$26:$A$35,0))&amp;"","?"),IFERROR(INDEX('Danh mục'!$D$39:$D$78,MATCH(D658,'Danh mục'!$A$39:$A$78,0))&amp;"","?")))</f>
      </c>
      <c r="G658" s="16">
        <f>IF(OR(D658="",C658&lt;&gt;"Chi"),"",IFERROR(INDEX('Danh mục'!$C$39:$C$78,MATCH(D658,'Danh mục'!$A$39:$A$78,0))&amp;"",""))</f>
      </c>
      <c r="H658" s="11"/>
      <c r="I658" s="20"/>
      <c r="J658" s="11"/>
      <c r="K658" s="11"/>
      <c r="L658" s="11"/>
    </row>
    <row r="659" spans="1:12" x14ac:dyDescent="0.3">
      <c r="A659" s="31"/>
      <c r="B659" s="32">
        <f>IF(A659="","",DATE(YEAR(A659),MONTH(A659),1))</f>
      </c>
      <c r="C659" s="11"/>
      <c r="D659" s="11"/>
      <c r="E659" s="16">
        <f>IF(OR(D659="",C659&lt;&gt;"Chi"),"",IFERROR(INDEX('Danh mục'!$B$39:$B$78,MATCH(D659,'Danh mục'!$A$39:$A$78,0))&amp;"","?"))</f>
      </c>
      <c r="F659" s="16">
        <f>IF(D659="","",IF(C659="Thu",IFERROR(INDEX('Danh mục'!$B$26:$B$35,MATCH(D659,'Danh mục'!$A$26:$A$35,0))&amp;"","?"),IFERROR(INDEX('Danh mục'!$D$39:$D$78,MATCH(D659,'Danh mục'!$A$39:$A$78,0))&amp;"","?")))</f>
      </c>
      <c r="G659" s="16">
        <f>IF(OR(D659="",C659&lt;&gt;"Chi"),"",IFERROR(INDEX('Danh mục'!$C$39:$C$78,MATCH(D659,'Danh mục'!$A$39:$A$78,0))&amp;"",""))</f>
      </c>
      <c r="H659" s="11"/>
      <c r="I659" s="20"/>
      <c r="J659" s="11"/>
      <c r="K659" s="11"/>
      <c r="L659" s="11"/>
    </row>
    <row r="660" spans="1:12" x14ac:dyDescent="0.3">
      <c r="A660" s="31"/>
      <c r="B660" s="32">
        <f>IF(A660="","",DATE(YEAR(A660),MONTH(A660),1))</f>
      </c>
      <c r="C660" s="11"/>
      <c r="D660" s="11"/>
      <c r="E660" s="16">
        <f>IF(OR(D660="",C660&lt;&gt;"Chi"),"",IFERROR(INDEX('Danh mục'!$B$39:$B$78,MATCH(D660,'Danh mục'!$A$39:$A$78,0))&amp;"","?"))</f>
      </c>
      <c r="F660" s="16">
        <f>IF(D660="","",IF(C660="Thu",IFERROR(INDEX('Danh mục'!$B$26:$B$35,MATCH(D660,'Danh mục'!$A$26:$A$35,0))&amp;"","?"),IFERROR(INDEX('Danh mục'!$D$39:$D$78,MATCH(D660,'Danh mục'!$A$39:$A$78,0))&amp;"","?")))</f>
      </c>
      <c r="G660" s="16">
        <f>IF(OR(D660="",C660&lt;&gt;"Chi"),"",IFERROR(INDEX('Danh mục'!$C$39:$C$78,MATCH(D660,'Danh mục'!$A$39:$A$78,0))&amp;"",""))</f>
      </c>
      <c r="H660" s="11"/>
      <c r="I660" s="20"/>
      <c r="J660" s="11"/>
      <c r="K660" s="11"/>
      <c r="L660" s="11"/>
    </row>
    <row r="661" spans="1:12" x14ac:dyDescent="0.3">
      <c r="A661" s="31"/>
      <c r="B661" s="32">
        <f>IF(A661="","",DATE(YEAR(A661),MONTH(A661),1))</f>
      </c>
      <c r="C661" s="11"/>
      <c r="D661" s="11"/>
      <c r="E661" s="16">
        <f>IF(OR(D661="",C661&lt;&gt;"Chi"),"",IFERROR(INDEX('Danh mục'!$B$39:$B$78,MATCH(D661,'Danh mục'!$A$39:$A$78,0))&amp;"","?"))</f>
      </c>
      <c r="F661" s="16">
        <f>IF(D661="","",IF(C661="Thu",IFERROR(INDEX('Danh mục'!$B$26:$B$35,MATCH(D661,'Danh mục'!$A$26:$A$35,0))&amp;"","?"),IFERROR(INDEX('Danh mục'!$D$39:$D$78,MATCH(D661,'Danh mục'!$A$39:$A$78,0))&amp;"","?")))</f>
      </c>
      <c r="G661" s="16">
        <f>IF(OR(D661="",C661&lt;&gt;"Chi"),"",IFERROR(INDEX('Danh mục'!$C$39:$C$78,MATCH(D661,'Danh mục'!$A$39:$A$78,0))&amp;"",""))</f>
      </c>
      <c r="H661" s="11"/>
      <c r="I661" s="20"/>
      <c r="J661" s="11"/>
      <c r="K661" s="11"/>
      <c r="L661" s="11"/>
    </row>
    <row r="662" spans="1:12" x14ac:dyDescent="0.3">
      <c r="A662" s="31"/>
      <c r="B662" s="32">
        <f>IF(A662="","",DATE(YEAR(A662),MONTH(A662),1))</f>
      </c>
      <c r="C662" s="11"/>
      <c r="D662" s="11"/>
      <c r="E662" s="16">
        <f>IF(OR(D662="",C662&lt;&gt;"Chi"),"",IFERROR(INDEX('Danh mục'!$B$39:$B$78,MATCH(D662,'Danh mục'!$A$39:$A$78,0))&amp;"","?"))</f>
      </c>
      <c r="F662" s="16">
        <f>IF(D662="","",IF(C662="Thu",IFERROR(INDEX('Danh mục'!$B$26:$B$35,MATCH(D662,'Danh mục'!$A$26:$A$35,0))&amp;"","?"),IFERROR(INDEX('Danh mục'!$D$39:$D$78,MATCH(D662,'Danh mục'!$A$39:$A$78,0))&amp;"","?")))</f>
      </c>
      <c r="G662" s="16">
        <f>IF(OR(D662="",C662&lt;&gt;"Chi"),"",IFERROR(INDEX('Danh mục'!$C$39:$C$78,MATCH(D662,'Danh mục'!$A$39:$A$78,0))&amp;"",""))</f>
      </c>
      <c r="H662" s="11"/>
      <c r="I662" s="20"/>
      <c r="J662" s="11"/>
      <c r="K662" s="11"/>
      <c r="L662" s="11"/>
    </row>
    <row r="663" spans="1:12" x14ac:dyDescent="0.3">
      <c r="A663" s="31"/>
      <c r="B663" s="32">
        <f>IF(A663="","",DATE(YEAR(A663),MONTH(A663),1))</f>
      </c>
      <c r="C663" s="11"/>
      <c r="D663" s="11"/>
      <c r="E663" s="16">
        <f>IF(OR(D663="",C663&lt;&gt;"Chi"),"",IFERROR(INDEX('Danh mục'!$B$39:$B$78,MATCH(D663,'Danh mục'!$A$39:$A$78,0))&amp;"","?"))</f>
      </c>
      <c r="F663" s="16">
        <f>IF(D663="","",IF(C663="Thu",IFERROR(INDEX('Danh mục'!$B$26:$B$35,MATCH(D663,'Danh mục'!$A$26:$A$35,0))&amp;"","?"),IFERROR(INDEX('Danh mục'!$D$39:$D$78,MATCH(D663,'Danh mục'!$A$39:$A$78,0))&amp;"","?")))</f>
      </c>
      <c r="G663" s="16">
        <f>IF(OR(D663="",C663&lt;&gt;"Chi"),"",IFERROR(INDEX('Danh mục'!$C$39:$C$78,MATCH(D663,'Danh mục'!$A$39:$A$78,0))&amp;"",""))</f>
      </c>
      <c r="H663" s="11"/>
      <c r="I663" s="20"/>
      <c r="J663" s="11"/>
      <c r="K663" s="11"/>
      <c r="L663" s="11"/>
    </row>
    <row r="664" spans="1:12" x14ac:dyDescent="0.3">
      <c r="A664" s="31"/>
      <c r="B664" s="32">
        <f>IF(A664="","",DATE(YEAR(A664),MONTH(A664),1))</f>
      </c>
      <c r="C664" s="11"/>
      <c r="D664" s="11"/>
      <c r="E664" s="16">
        <f>IF(OR(D664="",C664&lt;&gt;"Chi"),"",IFERROR(INDEX('Danh mục'!$B$39:$B$78,MATCH(D664,'Danh mục'!$A$39:$A$78,0))&amp;"","?"))</f>
      </c>
      <c r="F664" s="16">
        <f>IF(D664="","",IF(C664="Thu",IFERROR(INDEX('Danh mục'!$B$26:$B$35,MATCH(D664,'Danh mục'!$A$26:$A$35,0))&amp;"","?"),IFERROR(INDEX('Danh mục'!$D$39:$D$78,MATCH(D664,'Danh mục'!$A$39:$A$78,0))&amp;"","?")))</f>
      </c>
      <c r="G664" s="16">
        <f>IF(OR(D664="",C664&lt;&gt;"Chi"),"",IFERROR(INDEX('Danh mục'!$C$39:$C$78,MATCH(D664,'Danh mục'!$A$39:$A$78,0))&amp;"",""))</f>
      </c>
      <c r="H664" s="11"/>
      <c r="I664" s="20"/>
      <c r="J664" s="11"/>
      <c r="K664" s="11"/>
      <c r="L664" s="11"/>
    </row>
    <row r="665" spans="1:12" x14ac:dyDescent="0.3">
      <c r="A665" s="31"/>
      <c r="B665" s="32">
        <f>IF(A665="","",DATE(YEAR(A665),MONTH(A665),1))</f>
      </c>
      <c r="C665" s="11"/>
      <c r="D665" s="11"/>
      <c r="E665" s="16">
        <f>IF(OR(D665="",C665&lt;&gt;"Chi"),"",IFERROR(INDEX('Danh mục'!$B$39:$B$78,MATCH(D665,'Danh mục'!$A$39:$A$78,0))&amp;"","?"))</f>
      </c>
      <c r="F665" s="16">
        <f>IF(D665="","",IF(C665="Thu",IFERROR(INDEX('Danh mục'!$B$26:$B$35,MATCH(D665,'Danh mục'!$A$26:$A$35,0))&amp;"","?"),IFERROR(INDEX('Danh mục'!$D$39:$D$78,MATCH(D665,'Danh mục'!$A$39:$A$78,0))&amp;"","?")))</f>
      </c>
      <c r="G665" s="16">
        <f>IF(OR(D665="",C665&lt;&gt;"Chi"),"",IFERROR(INDEX('Danh mục'!$C$39:$C$78,MATCH(D665,'Danh mục'!$A$39:$A$78,0))&amp;"",""))</f>
      </c>
      <c r="H665" s="11"/>
      <c r="I665" s="20"/>
      <c r="J665" s="11"/>
      <c r="K665" s="11"/>
      <c r="L665" s="11"/>
    </row>
    <row r="666" spans="1:12" x14ac:dyDescent="0.3">
      <c r="A666" s="31"/>
      <c r="B666" s="32">
        <f>IF(A666="","",DATE(YEAR(A666),MONTH(A666),1))</f>
      </c>
      <c r="C666" s="11"/>
      <c r="D666" s="11"/>
      <c r="E666" s="16">
        <f>IF(OR(D666="",C666&lt;&gt;"Chi"),"",IFERROR(INDEX('Danh mục'!$B$39:$B$78,MATCH(D666,'Danh mục'!$A$39:$A$78,0))&amp;"","?"))</f>
      </c>
      <c r="F666" s="16">
        <f>IF(D666="","",IF(C666="Thu",IFERROR(INDEX('Danh mục'!$B$26:$B$35,MATCH(D666,'Danh mục'!$A$26:$A$35,0))&amp;"","?"),IFERROR(INDEX('Danh mục'!$D$39:$D$78,MATCH(D666,'Danh mục'!$A$39:$A$78,0))&amp;"","?")))</f>
      </c>
      <c r="G666" s="16">
        <f>IF(OR(D666="",C666&lt;&gt;"Chi"),"",IFERROR(INDEX('Danh mục'!$C$39:$C$78,MATCH(D666,'Danh mục'!$A$39:$A$78,0))&amp;"",""))</f>
      </c>
      <c r="H666" s="11"/>
      <c r="I666" s="20"/>
      <c r="J666" s="11"/>
      <c r="K666" s="11"/>
      <c r="L666" s="11"/>
    </row>
    <row r="667" spans="1:12" x14ac:dyDescent="0.3">
      <c r="A667" s="31"/>
      <c r="B667" s="32">
        <f>IF(A667="","",DATE(YEAR(A667),MONTH(A667),1))</f>
      </c>
      <c r="C667" s="11"/>
      <c r="D667" s="11"/>
      <c r="E667" s="16">
        <f>IF(OR(D667="",C667&lt;&gt;"Chi"),"",IFERROR(INDEX('Danh mục'!$B$39:$B$78,MATCH(D667,'Danh mục'!$A$39:$A$78,0))&amp;"","?"))</f>
      </c>
      <c r="F667" s="16">
        <f>IF(D667="","",IF(C667="Thu",IFERROR(INDEX('Danh mục'!$B$26:$B$35,MATCH(D667,'Danh mục'!$A$26:$A$35,0))&amp;"","?"),IFERROR(INDEX('Danh mục'!$D$39:$D$78,MATCH(D667,'Danh mục'!$A$39:$A$78,0))&amp;"","?")))</f>
      </c>
      <c r="G667" s="16">
        <f>IF(OR(D667="",C667&lt;&gt;"Chi"),"",IFERROR(INDEX('Danh mục'!$C$39:$C$78,MATCH(D667,'Danh mục'!$A$39:$A$78,0))&amp;"",""))</f>
      </c>
      <c r="H667" s="11"/>
      <c r="I667" s="20"/>
      <c r="J667" s="11"/>
      <c r="K667" s="11"/>
      <c r="L667" s="11"/>
    </row>
    <row r="668" spans="1:12" x14ac:dyDescent="0.3">
      <c r="A668" s="31"/>
      <c r="B668" s="32">
        <f>IF(A668="","",DATE(YEAR(A668),MONTH(A668),1))</f>
      </c>
      <c r="C668" s="11"/>
      <c r="D668" s="11"/>
      <c r="E668" s="16">
        <f>IF(OR(D668="",C668&lt;&gt;"Chi"),"",IFERROR(INDEX('Danh mục'!$B$39:$B$78,MATCH(D668,'Danh mục'!$A$39:$A$78,0))&amp;"","?"))</f>
      </c>
      <c r="F668" s="16">
        <f>IF(D668="","",IF(C668="Thu",IFERROR(INDEX('Danh mục'!$B$26:$B$35,MATCH(D668,'Danh mục'!$A$26:$A$35,0))&amp;"","?"),IFERROR(INDEX('Danh mục'!$D$39:$D$78,MATCH(D668,'Danh mục'!$A$39:$A$78,0))&amp;"","?")))</f>
      </c>
      <c r="G668" s="16">
        <f>IF(OR(D668="",C668&lt;&gt;"Chi"),"",IFERROR(INDEX('Danh mục'!$C$39:$C$78,MATCH(D668,'Danh mục'!$A$39:$A$78,0))&amp;"",""))</f>
      </c>
      <c r="H668" s="11"/>
      <c r="I668" s="20"/>
      <c r="J668" s="11"/>
      <c r="K668" s="11"/>
      <c r="L668" s="11"/>
    </row>
    <row r="669" spans="1:12" x14ac:dyDescent="0.3">
      <c r="A669" s="31"/>
      <c r="B669" s="32">
        <f>IF(A669="","",DATE(YEAR(A669),MONTH(A669),1))</f>
      </c>
      <c r="C669" s="11"/>
      <c r="D669" s="11"/>
      <c r="E669" s="16">
        <f>IF(OR(D669="",C669&lt;&gt;"Chi"),"",IFERROR(INDEX('Danh mục'!$B$39:$B$78,MATCH(D669,'Danh mục'!$A$39:$A$78,0))&amp;"","?"))</f>
      </c>
      <c r="F669" s="16">
        <f>IF(D669="","",IF(C669="Thu",IFERROR(INDEX('Danh mục'!$B$26:$B$35,MATCH(D669,'Danh mục'!$A$26:$A$35,0))&amp;"","?"),IFERROR(INDEX('Danh mục'!$D$39:$D$78,MATCH(D669,'Danh mục'!$A$39:$A$78,0))&amp;"","?")))</f>
      </c>
      <c r="G669" s="16">
        <f>IF(OR(D669="",C669&lt;&gt;"Chi"),"",IFERROR(INDEX('Danh mục'!$C$39:$C$78,MATCH(D669,'Danh mục'!$A$39:$A$78,0))&amp;"",""))</f>
      </c>
      <c r="H669" s="11"/>
      <c r="I669" s="20"/>
      <c r="J669" s="11"/>
      <c r="K669" s="11"/>
      <c r="L669" s="11"/>
    </row>
    <row r="670" spans="1:12" x14ac:dyDescent="0.3">
      <c r="A670" s="31"/>
      <c r="B670" s="32">
        <f>IF(A670="","",DATE(YEAR(A670),MONTH(A670),1))</f>
      </c>
      <c r="C670" s="11"/>
      <c r="D670" s="11"/>
      <c r="E670" s="16">
        <f>IF(OR(D670="",C670&lt;&gt;"Chi"),"",IFERROR(INDEX('Danh mục'!$B$39:$B$78,MATCH(D670,'Danh mục'!$A$39:$A$78,0))&amp;"","?"))</f>
      </c>
      <c r="F670" s="16">
        <f>IF(D670="","",IF(C670="Thu",IFERROR(INDEX('Danh mục'!$B$26:$B$35,MATCH(D670,'Danh mục'!$A$26:$A$35,0))&amp;"","?"),IFERROR(INDEX('Danh mục'!$D$39:$D$78,MATCH(D670,'Danh mục'!$A$39:$A$78,0))&amp;"","?")))</f>
      </c>
      <c r="G670" s="16">
        <f>IF(OR(D670="",C670&lt;&gt;"Chi"),"",IFERROR(INDEX('Danh mục'!$C$39:$C$78,MATCH(D670,'Danh mục'!$A$39:$A$78,0))&amp;"",""))</f>
      </c>
      <c r="H670" s="11"/>
      <c r="I670" s="20"/>
      <c r="J670" s="11"/>
      <c r="K670" s="11"/>
      <c r="L670" s="11"/>
    </row>
    <row r="671" spans="1:12" x14ac:dyDescent="0.3">
      <c r="A671" s="31"/>
      <c r="B671" s="32">
        <f>IF(A671="","",DATE(YEAR(A671),MONTH(A671),1))</f>
      </c>
      <c r="C671" s="11"/>
      <c r="D671" s="11"/>
      <c r="E671" s="16">
        <f>IF(OR(D671="",C671&lt;&gt;"Chi"),"",IFERROR(INDEX('Danh mục'!$B$39:$B$78,MATCH(D671,'Danh mục'!$A$39:$A$78,0))&amp;"","?"))</f>
      </c>
      <c r="F671" s="16">
        <f>IF(D671="","",IF(C671="Thu",IFERROR(INDEX('Danh mục'!$B$26:$B$35,MATCH(D671,'Danh mục'!$A$26:$A$35,0))&amp;"","?"),IFERROR(INDEX('Danh mục'!$D$39:$D$78,MATCH(D671,'Danh mục'!$A$39:$A$78,0))&amp;"","?")))</f>
      </c>
      <c r="G671" s="16">
        <f>IF(OR(D671="",C671&lt;&gt;"Chi"),"",IFERROR(INDEX('Danh mục'!$C$39:$C$78,MATCH(D671,'Danh mục'!$A$39:$A$78,0))&amp;"",""))</f>
      </c>
      <c r="H671" s="11"/>
      <c r="I671" s="20"/>
      <c r="J671" s="11"/>
      <c r="K671" s="11"/>
      <c r="L671" s="11"/>
    </row>
    <row r="672" spans="1:12" x14ac:dyDescent="0.3">
      <c r="A672" s="31"/>
      <c r="B672" s="32">
        <f>IF(A672="","",DATE(YEAR(A672),MONTH(A672),1))</f>
      </c>
      <c r="C672" s="11"/>
      <c r="D672" s="11"/>
      <c r="E672" s="16">
        <f>IF(OR(D672="",C672&lt;&gt;"Chi"),"",IFERROR(INDEX('Danh mục'!$B$39:$B$78,MATCH(D672,'Danh mục'!$A$39:$A$78,0))&amp;"","?"))</f>
      </c>
      <c r="F672" s="16">
        <f>IF(D672="","",IF(C672="Thu",IFERROR(INDEX('Danh mục'!$B$26:$B$35,MATCH(D672,'Danh mục'!$A$26:$A$35,0))&amp;"","?"),IFERROR(INDEX('Danh mục'!$D$39:$D$78,MATCH(D672,'Danh mục'!$A$39:$A$78,0))&amp;"","?")))</f>
      </c>
      <c r="G672" s="16">
        <f>IF(OR(D672="",C672&lt;&gt;"Chi"),"",IFERROR(INDEX('Danh mục'!$C$39:$C$78,MATCH(D672,'Danh mục'!$A$39:$A$78,0))&amp;"",""))</f>
      </c>
      <c r="H672" s="11"/>
      <c r="I672" s="20"/>
      <c r="J672" s="11"/>
      <c r="K672" s="11"/>
      <c r="L672" s="11"/>
    </row>
    <row r="673" spans="1:12" x14ac:dyDescent="0.3">
      <c r="A673" s="31"/>
      <c r="B673" s="32">
        <f>IF(A673="","",DATE(YEAR(A673),MONTH(A673),1))</f>
      </c>
      <c r="C673" s="11"/>
      <c r="D673" s="11"/>
      <c r="E673" s="16">
        <f>IF(OR(D673="",C673&lt;&gt;"Chi"),"",IFERROR(INDEX('Danh mục'!$B$39:$B$78,MATCH(D673,'Danh mục'!$A$39:$A$78,0))&amp;"","?"))</f>
      </c>
      <c r="F673" s="16">
        <f>IF(D673="","",IF(C673="Thu",IFERROR(INDEX('Danh mục'!$B$26:$B$35,MATCH(D673,'Danh mục'!$A$26:$A$35,0))&amp;"","?"),IFERROR(INDEX('Danh mục'!$D$39:$D$78,MATCH(D673,'Danh mục'!$A$39:$A$78,0))&amp;"","?")))</f>
      </c>
      <c r="G673" s="16">
        <f>IF(OR(D673="",C673&lt;&gt;"Chi"),"",IFERROR(INDEX('Danh mục'!$C$39:$C$78,MATCH(D673,'Danh mục'!$A$39:$A$78,0))&amp;"",""))</f>
      </c>
      <c r="H673" s="11"/>
      <c r="I673" s="20"/>
      <c r="J673" s="11"/>
      <c r="K673" s="11"/>
      <c r="L673" s="11"/>
    </row>
    <row r="674" spans="1:12" x14ac:dyDescent="0.3">
      <c r="A674" s="31"/>
      <c r="B674" s="32">
        <f>IF(A674="","",DATE(YEAR(A674),MONTH(A674),1))</f>
      </c>
      <c r="C674" s="11"/>
      <c r="D674" s="11"/>
      <c r="E674" s="16">
        <f>IF(OR(D674="",C674&lt;&gt;"Chi"),"",IFERROR(INDEX('Danh mục'!$B$39:$B$78,MATCH(D674,'Danh mục'!$A$39:$A$78,0))&amp;"","?"))</f>
      </c>
      <c r="F674" s="16">
        <f>IF(D674="","",IF(C674="Thu",IFERROR(INDEX('Danh mục'!$B$26:$B$35,MATCH(D674,'Danh mục'!$A$26:$A$35,0))&amp;"","?"),IFERROR(INDEX('Danh mục'!$D$39:$D$78,MATCH(D674,'Danh mục'!$A$39:$A$78,0))&amp;"","?")))</f>
      </c>
      <c r="G674" s="16">
        <f>IF(OR(D674="",C674&lt;&gt;"Chi"),"",IFERROR(INDEX('Danh mục'!$C$39:$C$78,MATCH(D674,'Danh mục'!$A$39:$A$78,0))&amp;"",""))</f>
      </c>
      <c r="H674" s="11"/>
      <c r="I674" s="20"/>
      <c r="J674" s="11"/>
      <c r="K674" s="11"/>
      <c r="L674" s="11"/>
    </row>
    <row r="675" spans="1:12" x14ac:dyDescent="0.3">
      <c r="A675" s="31"/>
      <c r="B675" s="32">
        <f>IF(A675="","",DATE(YEAR(A675),MONTH(A675),1))</f>
      </c>
      <c r="C675" s="11"/>
      <c r="D675" s="11"/>
      <c r="E675" s="16">
        <f>IF(OR(D675="",C675&lt;&gt;"Chi"),"",IFERROR(INDEX('Danh mục'!$B$39:$B$78,MATCH(D675,'Danh mục'!$A$39:$A$78,0))&amp;"","?"))</f>
      </c>
      <c r="F675" s="16">
        <f>IF(D675="","",IF(C675="Thu",IFERROR(INDEX('Danh mục'!$B$26:$B$35,MATCH(D675,'Danh mục'!$A$26:$A$35,0))&amp;"","?"),IFERROR(INDEX('Danh mục'!$D$39:$D$78,MATCH(D675,'Danh mục'!$A$39:$A$78,0))&amp;"","?")))</f>
      </c>
      <c r="G675" s="16">
        <f>IF(OR(D675="",C675&lt;&gt;"Chi"),"",IFERROR(INDEX('Danh mục'!$C$39:$C$78,MATCH(D675,'Danh mục'!$A$39:$A$78,0))&amp;"",""))</f>
      </c>
      <c r="H675" s="11"/>
      <c r="I675" s="20"/>
      <c r="J675" s="11"/>
      <c r="K675" s="11"/>
      <c r="L675" s="11"/>
    </row>
    <row r="676" spans="1:12" x14ac:dyDescent="0.3">
      <c r="A676" s="31"/>
      <c r="B676" s="32">
        <f>IF(A676="","",DATE(YEAR(A676),MONTH(A676),1))</f>
      </c>
      <c r="C676" s="11"/>
      <c r="D676" s="11"/>
      <c r="E676" s="16">
        <f>IF(OR(D676="",C676&lt;&gt;"Chi"),"",IFERROR(INDEX('Danh mục'!$B$39:$B$78,MATCH(D676,'Danh mục'!$A$39:$A$78,0))&amp;"","?"))</f>
      </c>
      <c r="F676" s="16">
        <f>IF(D676="","",IF(C676="Thu",IFERROR(INDEX('Danh mục'!$B$26:$B$35,MATCH(D676,'Danh mục'!$A$26:$A$35,0))&amp;"","?"),IFERROR(INDEX('Danh mục'!$D$39:$D$78,MATCH(D676,'Danh mục'!$A$39:$A$78,0))&amp;"","?")))</f>
      </c>
      <c r="G676" s="16">
        <f>IF(OR(D676="",C676&lt;&gt;"Chi"),"",IFERROR(INDEX('Danh mục'!$C$39:$C$78,MATCH(D676,'Danh mục'!$A$39:$A$78,0))&amp;"",""))</f>
      </c>
      <c r="H676" s="11"/>
      <c r="I676" s="20"/>
      <c r="J676" s="11"/>
      <c r="K676" s="11"/>
      <c r="L676" s="11"/>
    </row>
    <row r="677" spans="1:12" x14ac:dyDescent="0.3">
      <c r="A677" s="31"/>
      <c r="B677" s="32">
        <f>IF(A677="","",DATE(YEAR(A677),MONTH(A677),1))</f>
      </c>
      <c r="C677" s="11"/>
      <c r="D677" s="11"/>
      <c r="E677" s="16">
        <f>IF(OR(D677="",C677&lt;&gt;"Chi"),"",IFERROR(INDEX('Danh mục'!$B$39:$B$78,MATCH(D677,'Danh mục'!$A$39:$A$78,0))&amp;"","?"))</f>
      </c>
      <c r="F677" s="16">
        <f>IF(D677="","",IF(C677="Thu",IFERROR(INDEX('Danh mục'!$B$26:$B$35,MATCH(D677,'Danh mục'!$A$26:$A$35,0))&amp;"","?"),IFERROR(INDEX('Danh mục'!$D$39:$D$78,MATCH(D677,'Danh mục'!$A$39:$A$78,0))&amp;"","?")))</f>
      </c>
      <c r="G677" s="16">
        <f>IF(OR(D677="",C677&lt;&gt;"Chi"),"",IFERROR(INDEX('Danh mục'!$C$39:$C$78,MATCH(D677,'Danh mục'!$A$39:$A$78,0))&amp;"",""))</f>
      </c>
      <c r="H677" s="11"/>
      <c r="I677" s="20"/>
      <c r="J677" s="11"/>
      <c r="K677" s="11"/>
      <c r="L677" s="11"/>
    </row>
    <row r="678" spans="1:12" x14ac:dyDescent="0.3">
      <c r="A678" s="31"/>
      <c r="B678" s="32">
        <f>IF(A678="","",DATE(YEAR(A678),MONTH(A678),1))</f>
      </c>
      <c r="C678" s="11"/>
      <c r="D678" s="11"/>
      <c r="E678" s="16">
        <f>IF(OR(D678="",C678&lt;&gt;"Chi"),"",IFERROR(INDEX('Danh mục'!$B$39:$B$78,MATCH(D678,'Danh mục'!$A$39:$A$78,0))&amp;"","?"))</f>
      </c>
      <c r="F678" s="16">
        <f>IF(D678="","",IF(C678="Thu",IFERROR(INDEX('Danh mục'!$B$26:$B$35,MATCH(D678,'Danh mục'!$A$26:$A$35,0))&amp;"","?"),IFERROR(INDEX('Danh mục'!$D$39:$D$78,MATCH(D678,'Danh mục'!$A$39:$A$78,0))&amp;"","?")))</f>
      </c>
      <c r="G678" s="16">
        <f>IF(OR(D678="",C678&lt;&gt;"Chi"),"",IFERROR(INDEX('Danh mục'!$C$39:$C$78,MATCH(D678,'Danh mục'!$A$39:$A$78,0))&amp;"",""))</f>
      </c>
      <c r="H678" s="11"/>
      <c r="I678" s="20"/>
      <c r="J678" s="11"/>
      <c r="K678" s="11"/>
      <c r="L678" s="11"/>
    </row>
    <row r="679" spans="1:12" x14ac:dyDescent="0.3">
      <c r="A679" s="31"/>
      <c r="B679" s="32">
        <f>IF(A679="","",DATE(YEAR(A679),MONTH(A679),1))</f>
      </c>
      <c r="C679" s="11"/>
      <c r="D679" s="11"/>
      <c r="E679" s="16">
        <f>IF(OR(D679="",C679&lt;&gt;"Chi"),"",IFERROR(INDEX('Danh mục'!$B$39:$B$78,MATCH(D679,'Danh mục'!$A$39:$A$78,0))&amp;"","?"))</f>
      </c>
      <c r="F679" s="16">
        <f>IF(D679="","",IF(C679="Thu",IFERROR(INDEX('Danh mục'!$B$26:$B$35,MATCH(D679,'Danh mục'!$A$26:$A$35,0))&amp;"","?"),IFERROR(INDEX('Danh mục'!$D$39:$D$78,MATCH(D679,'Danh mục'!$A$39:$A$78,0))&amp;"","?")))</f>
      </c>
      <c r="G679" s="16">
        <f>IF(OR(D679="",C679&lt;&gt;"Chi"),"",IFERROR(INDEX('Danh mục'!$C$39:$C$78,MATCH(D679,'Danh mục'!$A$39:$A$78,0))&amp;"",""))</f>
      </c>
      <c r="H679" s="11"/>
      <c r="I679" s="20"/>
      <c r="J679" s="11"/>
      <c r="K679" s="11"/>
      <c r="L679" s="11"/>
    </row>
    <row r="680" spans="1:12" x14ac:dyDescent="0.3">
      <c r="A680" s="31"/>
      <c r="B680" s="32">
        <f>IF(A680="","",DATE(YEAR(A680),MONTH(A680),1))</f>
      </c>
      <c r="C680" s="11"/>
      <c r="D680" s="11"/>
      <c r="E680" s="16">
        <f>IF(OR(D680="",C680&lt;&gt;"Chi"),"",IFERROR(INDEX('Danh mục'!$B$39:$B$78,MATCH(D680,'Danh mục'!$A$39:$A$78,0))&amp;"","?"))</f>
      </c>
      <c r="F680" s="16">
        <f>IF(D680="","",IF(C680="Thu",IFERROR(INDEX('Danh mục'!$B$26:$B$35,MATCH(D680,'Danh mục'!$A$26:$A$35,0))&amp;"","?"),IFERROR(INDEX('Danh mục'!$D$39:$D$78,MATCH(D680,'Danh mục'!$A$39:$A$78,0))&amp;"","?")))</f>
      </c>
      <c r="G680" s="16">
        <f>IF(OR(D680="",C680&lt;&gt;"Chi"),"",IFERROR(INDEX('Danh mục'!$C$39:$C$78,MATCH(D680,'Danh mục'!$A$39:$A$78,0))&amp;"",""))</f>
      </c>
      <c r="H680" s="11"/>
      <c r="I680" s="20"/>
      <c r="J680" s="11"/>
      <c r="K680" s="11"/>
      <c r="L680" s="11"/>
    </row>
    <row r="681" spans="1:12" x14ac:dyDescent="0.3">
      <c r="A681" s="31"/>
      <c r="B681" s="32">
        <f>IF(A681="","",DATE(YEAR(A681),MONTH(A681),1))</f>
      </c>
      <c r="C681" s="11"/>
      <c r="D681" s="11"/>
      <c r="E681" s="16">
        <f>IF(OR(D681="",C681&lt;&gt;"Chi"),"",IFERROR(INDEX('Danh mục'!$B$39:$B$78,MATCH(D681,'Danh mục'!$A$39:$A$78,0))&amp;"","?"))</f>
      </c>
      <c r="F681" s="16">
        <f>IF(D681="","",IF(C681="Thu",IFERROR(INDEX('Danh mục'!$B$26:$B$35,MATCH(D681,'Danh mục'!$A$26:$A$35,0))&amp;"","?"),IFERROR(INDEX('Danh mục'!$D$39:$D$78,MATCH(D681,'Danh mục'!$A$39:$A$78,0))&amp;"","?")))</f>
      </c>
      <c r="G681" s="16">
        <f>IF(OR(D681="",C681&lt;&gt;"Chi"),"",IFERROR(INDEX('Danh mục'!$C$39:$C$78,MATCH(D681,'Danh mục'!$A$39:$A$78,0))&amp;"",""))</f>
      </c>
      <c r="H681" s="11"/>
      <c r="I681" s="20"/>
      <c r="J681" s="11"/>
      <c r="K681" s="11"/>
      <c r="L681" s="11"/>
    </row>
    <row r="682" spans="1:12" x14ac:dyDescent="0.3">
      <c r="A682" s="31"/>
      <c r="B682" s="32">
        <f>IF(A682="","",DATE(YEAR(A682),MONTH(A682),1))</f>
      </c>
      <c r="C682" s="11"/>
      <c r="D682" s="11"/>
      <c r="E682" s="16">
        <f>IF(OR(D682="",C682&lt;&gt;"Chi"),"",IFERROR(INDEX('Danh mục'!$B$39:$B$78,MATCH(D682,'Danh mục'!$A$39:$A$78,0))&amp;"","?"))</f>
      </c>
      <c r="F682" s="16">
        <f>IF(D682="","",IF(C682="Thu",IFERROR(INDEX('Danh mục'!$B$26:$B$35,MATCH(D682,'Danh mục'!$A$26:$A$35,0))&amp;"","?"),IFERROR(INDEX('Danh mục'!$D$39:$D$78,MATCH(D682,'Danh mục'!$A$39:$A$78,0))&amp;"","?")))</f>
      </c>
      <c r="G682" s="16">
        <f>IF(OR(D682="",C682&lt;&gt;"Chi"),"",IFERROR(INDEX('Danh mục'!$C$39:$C$78,MATCH(D682,'Danh mục'!$A$39:$A$78,0))&amp;"",""))</f>
      </c>
      <c r="H682" s="11"/>
      <c r="I682" s="20"/>
      <c r="J682" s="11"/>
      <c r="K682" s="11"/>
      <c r="L682" s="11"/>
    </row>
    <row r="683" spans="1:12" x14ac:dyDescent="0.3">
      <c r="A683" s="31"/>
      <c r="B683" s="32">
        <f>IF(A683="","",DATE(YEAR(A683),MONTH(A683),1))</f>
      </c>
      <c r="C683" s="11"/>
      <c r="D683" s="11"/>
      <c r="E683" s="16">
        <f>IF(OR(D683="",C683&lt;&gt;"Chi"),"",IFERROR(INDEX('Danh mục'!$B$39:$B$78,MATCH(D683,'Danh mục'!$A$39:$A$78,0))&amp;"","?"))</f>
      </c>
      <c r="F683" s="16">
        <f>IF(D683="","",IF(C683="Thu",IFERROR(INDEX('Danh mục'!$B$26:$B$35,MATCH(D683,'Danh mục'!$A$26:$A$35,0))&amp;"","?"),IFERROR(INDEX('Danh mục'!$D$39:$D$78,MATCH(D683,'Danh mục'!$A$39:$A$78,0))&amp;"","?")))</f>
      </c>
      <c r="G683" s="16">
        <f>IF(OR(D683="",C683&lt;&gt;"Chi"),"",IFERROR(INDEX('Danh mục'!$C$39:$C$78,MATCH(D683,'Danh mục'!$A$39:$A$78,0))&amp;"",""))</f>
      </c>
      <c r="H683" s="11"/>
      <c r="I683" s="20"/>
      <c r="J683" s="11"/>
      <c r="K683" s="11"/>
      <c r="L683" s="11"/>
    </row>
    <row r="684" spans="1:12" x14ac:dyDescent="0.3">
      <c r="A684" s="31"/>
      <c r="B684" s="32">
        <f>IF(A684="","",DATE(YEAR(A684),MONTH(A684),1))</f>
      </c>
      <c r="C684" s="11"/>
      <c r="D684" s="11"/>
      <c r="E684" s="16">
        <f>IF(OR(D684="",C684&lt;&gt;"Chi"),"",IFERROR(INDEX('Danh mục'!$B$39:$B$78,MATCH(D684,'Danh mục'!$A$39:$A$78,0))&amp;"","?"))</f>
      </c>
      <c r="F684" s="16">
        <f>IF(D684="","",IF(C684="Thu",IFERROR(INDEX('Danh mục'!$B$26:$B$35,MATCH(D684,'Danh mục'!$A$26:$A$35,0))&amp;"","?"),IFERROR(INDEX('Danh mục'!$D$39:$D$78,MATCH(D684,'Danh mục'!$A$39:$A$78,0))&amp;"","?")))</f>
      </c>
      <c r="G684" s="16">
        <f>IF(OR(D684="",C684&lt;&gt;"Chi"),"",IFERROR(INDEX('Danh mục'!$C$39:$C$78,MATCH(D684,'Danh mục'!$A$39:$A$78,0))&amp;"",""))</f>
      </c>
      <c r="H684" s="11"/>
      <c r="I684" s="20"/>
      <c r="J684" s="11"/>
      <c r="K684" s="11"/>
      <c r="L684" s="11"/>
    </row>
    <row r="685" spans="1:12" x14ac:dyDescent="0.3">
      <c r="A685" s="31"/>
      <c r="B685" s="32">
        <f>IF(A685="","",DATE(YEAR(A685),MONTH(A685),1))</f>
      </c>
      <c r="C685" s="11"/>
      <c r="D685" s="11"/>
      <c r="E685" s="16">
        <f>IF(OR(D685="",C685&lt;&gt;"Chi"),"",IFERROR(INDEX('Danh mục'!$B$39:$B$78,MATCH(D685,'Danh mục'!$A$39:$A$78,0))&amp;"","?"))</f>
      </c>
      <c r="F685" s="16">
        <f>IF(D685="","",IF(C685="Thu",IFERROR(INDEX('Danh mục'!$B$26:$B$35,MATCH(D685,'Danh mục'!$A$26:$A$35,0))&amp;"","?"),IFERROR(INDEX('Danh mục'!$D$39:$D$78,MATCH(D685,'Danh mục'!$A$39:$A$78,0))&amp;"","?")))</f>
      </c>
      <c r="G685" s="16">
        <f>IF(OR(D685="",C685&lt;&gt;"Chi"),"",IFERROR(INDEX('Danh mục'!$C$39:$C$78,MATCH(D685,'Danh mục'!$A$39:$A$78,0))&amp;"",""))</f>
      </c>
      <c r="H685" s="11"/>
      <c r="I685" s="20"/>
      <c r="J685" s="11"/>
      <c r="K685" s="11"/>
      <c r="L685" s="11"/>
    </row>
    <row r="686" spans="1:12" x14ac:dyDescent="0.3">
      <c r="A686" s="31"/>
      <c r="B686" s="32">
        <f>IF(A686="","",DATE(YEAR(A686),MONTH(A686),1))</f>
      </c>
      <c r="C686" s="11"/>
      <c r="D686" s="11"/>
      <c r="E686" s="16">
        <f>IF(OR(D686="",C686&lt;&gt;"Chi"),"",IFERROR(INDEX('Danh mục'!$B$39:$B$78,MATCH(D686,'Danh mục'!$A$39:$A$78,0))&amp;"","?"))</f>
      </c>
      <c r="F686" s="16">
        <f>IF(D686="","",IF(C686="Thu",IFERROR(INDEX('Danh mục'!$B$26:$B$35,MATCH(D686,'Danh mục'!$A$26:$A$35,0))&amp;"","?"),IFERROR(INDEX('Danh mục'!$D$39:$D$78,MATCH(D686,'Danh mục'!$A$39:$A$78,0))&amp;"","?")))</f>
      </c>
      <c r="G686" s="16">
        <f>IF(OR(D686="",C686&lt;&gt;"Chi"),"",IFERROR(INDEX('Danh mục'!$C$39:$C$78,MATCH(D686,'Danh mục'!$A$39:$A$78,0))&amp;"",""))</f>
      </c>
      <c r="H686" s="11"/>
      <c r="I686" s="20"/>
      <c r="J686" s="11"/>
      <c r="K686" s="11"/>
      <c r="L686" s="11"/>
    </row>
    <row r="687" spans="1:12" x14ac:dyDescent="0.3">
      <c r="A687" s="31"/>
      <c r="B687" s="32">
        <f>IF(A687="","",DATE(YEAR(A687),MONTH(A687),1))</f>
      </c>
      <c r="C687" s="11"/>
      <c r="D687" s="11"/>
      <c r="E687" s="16">
        <f>IF(OR(D687="",C687&lt;&gt;"Chi"),"",IFERROR(INDEX('Danh mục'!$B$39:$B$78,MATCH(D687,'Danh mục'!$A$39:$A$78,0))&amp;"","?"))</f>
      </c>
      <c r="F687" s="16">
        <f>IF(D687="","",IF(C687="Thu",IFERROR(INDEX('Danh mục'!$B$26:$B$35,MATCH(D687,'Danh mục'!$A$26:$A$35,0))&amp;"","?"),IFERROR(INDEX('Danh mục'!$D$39:$D$78,MATCH(D687,'Danh mục'!$A$39:$A$78,0))&amp;"","?")))</f>
      </c>
      <c r="G687" s="16">
        <f>IF(OR(D687="",C687&lt;&gt;"Chi"),"",IFERROR(INDEX('Danh mục'!$C$39:$C$78,MATCH(D687,'Danh mục'!$A$39:$A$78,0))&amp;"",""))</f>
      </c>
      <c r="H687" s="11"/>
      <c r="I687" s="20"/>
      <c r="J687" s="11"/>
      <c r="K687" s="11"/>
      <c r="L687" s="11"/>
    </row>
    <row r="688" spans="1:12" x14ac:dyDescent="0.3">
      <c r="A688" s="31"/>
      <c r="B688" s="32">
        <f>IF(A688="","",DATE(YEAR(A688),MONTH(A688),1))</f>
      </c>
      <c r="C688" s="11"/>
      <c r="D688" s="11"/>
      <c r="E688" s="16">
        <f>IF(OR(D688="",C688&lt;&gt;"Chi"),"",IFERROR(INDEX('Danh mục'!$B$39:$B$78,MATCH(D688,'Danh mục'!$A$39:$A$78,0))&amp;"","?"))</f>
      </c>
      <c r="F688" s="16">
        <f>IF(D688="","",IF(C688="Thu",IFERROR(INDEX('Danh mục'!$B$26:$B$35,MATCH(D688,'Danh mục'!$A$26:$A$35,0))&amp;"","?"),IFERROR(INDEX('Danh mục'!$D$39:$D$78,MATCH(D688,'Danh mục'!$A$39:$A$78,0))&amp;"","?")))</f>
      </c>
      <c r="G688" s="16">
        <f>IF(OR(D688="",C688&lt;&gt;"Chi"),"",IFERROR(INDEX('Danh mục'!$C$39:$C$78,MATCH(D688,'Danh mục'!$A$39:$A$78,0))&amp;"",""))</f>
      </c>
      <c r="H688" s="11"/>
      <c r="I688" s="20"/>
      <c r="J688" s="11"/>
      <c r="K688" s="11"/>
      <c r="L688" s="11"/>
    </row>
    <row r="689" spans="1:12" x14ac:dyDescent="0.3">
      <c r="A689" s="31"/>
      <c r="B689" s="32">
        <f>IF(A689="","",DATE(YEAR(A689),MONTH(A689),1))</f>
      </c>
      <c r="C689" s="11"/>
      <c r="D689" s="11"/>
      <c r="E689" s="16">
        <f>IF(OR(D689="",C689&lt;&gt;"Chi"),"",IFERROR(INDEX('Danh mục'!$B$39:$B$78,MATCH(D689,'Danh mục'!$A$39:$A$78,0))&amp;"","?"))</f>
      </c>
      <c r="F689" s="16">
        <f>IF(D689="","",IF(C689="Thu",IFERROR(INDEX('Danh mục'!$B$26:$B$35,MATCH(D689,'Danh mục'!$A$26:$A$35,0))&amp;"","?"),IFERROR(INDEX('Danh mục'!$D$39:$D$78,MATCH(D689,'Danh mục'!$A$39:$A$78,0))&amp;"","?")))</f>
      </c>
      <c r="G689" s="16">
        <f>IF(OR(D689="",C689&lt;&gt;"Chi"),"",IFERROR(INDEX('Danh mục'!$C$39:$C$78,MATCH(D689,'Danh mục'!$A$39:$A$78,0))&amp;"",""))</f>
      </c>
      <c r="H689" s="11"/>
      <c r="I689" s="20"/>
      <c r="J689" s="11"/>
      <c r="K689" s="11"/>
      <c r="L689" s="11"/>
    </row>
    <row r="690" spans="1:12" x14ac:dyDescent="0.3">
      <c r="A690" s="31"/>
      <c r="B690" s="32">
        <f>IF(A690="","",DATE(YEAR(A690),MONTH(A690),1))</f>
      </c>
      <c r="C690" s="11"/>
      <c r="D690" s="11"/>
      <c r="E690" s="16">
        <f>IF(OR(D690="",C690&lt;&gt;"Chi"),"",IFERROR(INDEX('Danh mục'!$B$39:$B$78,MATCH(D690,'Danh mục'!$A$39:$A$78,0))&amp;"","?"))</f>
      </c>
      <c r="F690" s="16">
        <f>IF(D690="","",IF(C690="Thu",IFERROR(INDEX('Danh mục'!$B$26:$B$35,MATCH(D690,'Danh mục'!$A$26:$A$35,0))&amp;"","?"),IFERROR(INDEX('Danh mục'!$D$39:$D$78,MATCH(D690,'Danh mục'!$A$39:$A$78,0))&amp;"","?")))</f>
      </c>
      <c r="G690" s="16">
        <f>IF(OR(D690="",C690&lt;&gt;"Chi"),"",IFERROR(INDEX('Danh mục'!$C$39:$C$78,MATCH(D690,'Danh mục'!$A$39:$A$78,0))&amp;"",""))</f>
      </c>
      <c r="H690" s="11"/>
      <c r="I690" s="20"/>
      <c r="J690" s="11"/>
      <c r="K690" s="11"/>
      <c r="L690" s="11"/>
    </row>
    <row r="691" spans="1:12" x14ac:dyDescent="0.3">
      <c r="A691" s="31"/>
      <c r="B691" s="32">
        <f>IF(A691="","",DATE(YEAR(A691),MONTH(A691),1))</f>
      </c>
      <c r="C691" s="11"/>
      <c r="D691" s="11"/>
      <c r="E691" s="16">
        <f>IF(OR(D691="",C691&lt;&gt;"Chi"),"",IFERROR(INDEX('Danh mục'!$B$39:$B$78,MATCH(D691,'Danh mục'!$A$39:$A$78,0))&amp;"","?"))</f>
      </c>
      <c r="F691" s="16">
        <f>IF(D691="","",IF(C691="Thu",IFERROR(INDEX('Danh mục'!$B$26:$B$35,MATCH(D691,'Danh mục'!$A$26:$A$35,0))&amp;"","?"),IFERROR(INDEX('Danh mục'!$D$39:$D$78,MATCH(D691,'Danh mục'!$A$39:$A$78,0))&amp;"","?")))</f>
      </c>
      <c r="G691" s="16">
        <f>IF(OR(D691="",C691&lt;&gt;"Chi"),"",IFERROR(INDEX('Danh mục'!$C$39:$C$78,MATCH(D691,'Danh mục'!$A$39:$A$78,0))&amp;"",""))</f>
      </c>
      <c r="H691" s="11"/>
      <c r="I691" s="20"/>
      <c r="J691" s="11"/>
      <c r="K691" s="11"/>
      <c r="L691" s="11"/>
    </row>
    <row r="692" spans="1:12" x14ac:dyDescent="0.3">
      <c r="A692" s="31"/>
      <c r="B692" s="32">
        <f>IF(A692="","",DATE(YEAR(A692),MONTH(A692),1))</f>
      </c>
      <c r="C692" s="11"/>
      <c r="D692" s="11"/>
      <c r="E692" s="16">
        <f>IF(OR(D692="",C692&lt;&gt;"Chi"),"",IFERROR(INDEX('Danh mục'!$B$39:$B$78,MATCH(D692,'Danh mục'!$A$39:$A$78,0))&amp;"","?"))</f>
      </c>
      <c r="F692" s="16">
        <f>IF(D692="","",IF(C692="Thu",IFERROR(INDEX('Danh mục'!$B$26:$B$35,MATCH(D692,'Danh mục'!$A$26:$A$35,0))&amp;"","?"),IFERROR(INDEX('Danh mục'!$D$39:$D$78,MATCH(D692,'Danh mục'!$A$39:$A$78,0))&amp;"","?")))</f>
      </c>
      <c r="G692" s="16">
        <f>IF(OR(D692="",C692&lt;&gt;"Chi"),"",IFERROR(INDEX('Danh mục'!$C$39:$C$78,MATCH(D692,'Danh mục'!$A$39:$A$78,0))&amp;"",""))</f>
      </c>
      <c r="H692" s="11"/>
      <c r="I692" s="20"/>
      <c r="J692" s="11"/>
      <c r="K692" s="11"/>
      <c r="L692" s="11"/>
    </row>
    <row r="693" spans="1:12" x14ac:dyDescent="0.3">
      <c r="A693" s="31"/>
      <c r="B693" s="32">
        <f>IF(A693="","",DATE(YEAR(A693),MONTH(A693),1))</f>
      </c>
      <c r="C693" s="11"/>
      <c r="D693" s="11"/>
      <c r="E693" s="16">
        <f>IF(OR(D693="",C693&lt;&gt;"Chi"),"",IFERROR(INDEX('Danh mục'!$B$39:$B$78,MATCH(D693,'Danh mục'!$A$39:$A$78,0))&amp;"","?"))</f>
      </c>
      <c r="F693" s="16">
        <f>IF(D693="","",IF(C693="Thu",IFERROR(INDEX('Danh mục'!$B$26:$B$35,MATCH(D693,'Danh mục'!$A$26:$A$35,0))&amp;"","?"),IFERROR(INDEX('Danh mục'!$D$39:$D$78,MATCH(D693,'Danh mục'!$A$39:$A$78,0))&amp;"","?")))</f>
      </c>
      <c r="G693" s="16">
        <f>IF(OR(D693="",C693&lt;&gt;"Chi"),"",IFERROR(INDEX('Danh mục'!$C$39:$C$78,MATCH(D693,'Danh mục'!$A$39:$A$78,0))&amp;"",""))</f>
      </c>
      <c r="H693" s="11"/>
      <c r="I693" s="20"/>
      <c r="J693" s="11"/>
      <c r="K693" s="11"/>
      <c r="L693" s="11"/>
    </row>
    <row r="694" spans="1:12" x14ac:dyDescent="0.3">
      <c r="A694" s="31"/>
      <c r="B694" s="32">
        <f>IF(A694="","",DATE(YEAR(A694),MONTH(A694),1))</f>
      </c>
      <c r="C694" s="11"/>
      <c r="D694" s="11"/>
      <c r="E694" s="16">
        <f>IF(OR(D694="",C694&lt;&gt;"Chi"),"",IFERROR(INDEX('Danh mục'!$B$39:$B$78,MATCH(D694,'Danh mục'!$A$39:$A$78,0))&amp;"","?"))</f>
      </c>
      <c r="F694" s="16">
        <f>IF(D694="","",IF(C694="Thu",IFERROR(INDEX('Danh mục'!$B$26:$B$35,MATCH(D694,'Danh mục'!$A$26:$A$35,0))&amp;"","?"),IFERROR(INDEX('Danh mục'!$D$39:$D$78,MATCH(D694,'Danh mục'!$A$39:$A$78,0))&amp;"","?")))</f>
      </c>
      <c r="G694" s="16">
        <f>IF(OR(D694="",C694&lt;&gt;"Chi"),"",IFERROR(INDEX('Danh mục'!$C$39:$C$78,MATCH(D694,'Danh mục'!$A$39:$A$78,0))&amp;"",""))</f>
      </c>
      <c r="H694" s="11"/>
      <c r="I694" s="20"/>
      <c r="J694" s="11"/>
      <c r="K694" s="11"/>
      <c r="L694" s="11"/>
    </row>
    <row r="695" spans="1:12" x14ac:dyDescent="0.3">
      <c r="A695" s="31"/>
      <c r="B695" s="32">
        <f>IF(A695="","",DATE(YEAR(A695),MONTH(A695),1))</f>
      </c>
      <c r="C695" s="11"/>
      <c r="D695" s="11"/>
      <c r="E695" s="16">
        <f>IF(OR(D695="",C695&lt;&gt;"Chi"),"",IFERROR(INDEX('Danh mục'!$B$39:$B$78,MATCH(D695,'Danh mục'!$A$39:$A$78,0))&amp;"","?"))</f>
      </c>
      <c r="F695" s="16">
        <f>IF(D695="","",IF(C695="Thu",IFERROR(INDEX('Danh mục'!$B$26:$B$35,MATCH(D695,'Danh mục'!$A$26:$A$35,0))&amp;"","?"),IFERROR(INDEX('Danh mục'!$D$39:$D$78,MATCH(D695,'Danh mục'!$A$39:$A$78,0))&amp;"","?")))</f>
      </c>
      <c r="G695" s="16">
        <f>IF(OR(D695="",C695&lt;&gt;"Chi"),"",IFERROR(INDEX('Danh mục'!$C$39:$C$78,MATCH(D695,'Danh mục'!$A$39:$A$78,0))&amp;"",""))</f>
      </c>
      <c r="H695" s="11"/>
      <c r="I695" s="20"/>
      <c r="J695" s="11"/>
      <c r="K695" s="11"/>
      <c r="L695" s="11"/>
    </row>
    <row r="696" spans="1:12" x14ac:dyDescent="0.3">
      <c r="A696" s="31"/>
      <c r="B696" s="32">
        <f>IF(A696="","",DATE(YEAR(A696),MONTH(A696),1))</f>
      </c>
      <c r="C696" s="11"/>
      <c r="D696" s="11"/>
      <c r="E696" s="16">
        <f>IF(OR(D696="",C696&lt;&gt;"Chi"),"",IFERROR(INDEX('Danh mục'!$B$39:$B$78,MATCH(D696,'Danh mục'!$A$39:$A$78,0))&amp;"","?"))</f>
      </c>
      <c r="F696" s="16">
        <f>IF(D696="","",IF(C696="Thu",IFERROR(INDEX('Danh mục'!$B$26:$B$35,MATCH(D696,'Danh mục'!$A$26:$A$35,0))&amp;"","?"),IFERROR(INDEX('Danh mục'!$D$39:$D$78,MATCH(D696,'Danh mục'!$A$39:$A$78,0))&amp;"","?")))</f>
      </c>
      <c r="G696" s="16">
        <f>IF(OR(D696="",C696&lt;&gt;"Chi"),"",IFERROR(INDEX('Danh mục'!$C$39:$C$78,MATCH(D696,'Danh mục'!$A$39:$A$78,0))&amp;"",""))</f>
      </c>
      <c r="H696" s="11"/>
      <c r="I696" s="20"/>
      <c r="J696" s="11"/>
      <c r="K696" s="11"/>
      <c r="L696" s="11"/>
    </row>
    <row r="697" spans="1:12" x14ac:dyDescent="0.3">
      <c r="A697" s="31"/>
      <c r="B697" s="32">
        <f>IF(A697="","",DATE(YEAR(A697),MONTH(A697),1))</f>
      </c>
      <c r="C697" s="11"/>
      <c r="D697" s="11"/>
      <c r="E697" s="16">
        <f>IF(OR(D697="",C697&lt;&gt;"Chi"),"",IFERROR(INDEX('Danh mục'!$B$39:$B$78,MATCH(D697,'Danh mục'!$A$39:$A$78,0))&amp;"","?"))</f>
      </c>
      <c r="F697" s="16">
        <f>IF(D697="","",IF(C697="Thu",IFERROR(INDEX('Danh mục'!$B$26:$B$35,MATCH(D697,'Danh mục'!$A$26:$A$35,0))&amp;"","?"),IFERROR(INDEX('Danh mục'!$D$39:$D$78,MATCH(D697,'Danh mục'!$A$39:$A$78,0))&amp;"","?")))</f>
      </c>
      <c r="G697" s="16">
        <f>IF(OR(D697="",C697&lt;&gt;"Chi"),"",IFERROR(INDEX('Danh mục'!$C$39:$C$78,MATCH(D697,'Danh mục'!$A$39:$A$78,0))&amp;"",""))</f>
      </c>
      <c r="H697" s="11"/>
      <c r="I697" s="20"/>
      <c r="J697" s="11"/>
      <c r="K697" s="11"/>
      <c r="L697" s="11"/>
    </row>
    <row r="698" spans="1:12" x14ac:dyDescent="0.3">
      <c r="A698" s="31"/>
      <c r="B698" s="32">
        <f>IF(A698="","",DATE(YEAR(A698),MONTH(A698),1))</f>
      </c>
      <c r="C698" s="11"/>
      <c r="D698" s="11"/>
      <c r="E698" s="16">
        <f>IF(OR(D698="",C698&lt;&gt;"Chi"),"",IFERROR(INDEX('Danh mục'!$B$39:$B$78,MATCH(D698,'Danh mục'!$A$39:$A$78,0))&amp;"","?"))</f>
      </c>
      <c r="F698" s="16">
        <f>IF(D698="","",IF(C698="Thu",IFERROR(INDEX('Danh mục'!$B$26:$B$35,MATCH(D698,'Danh mục'!$A$26:$A$35,0))&amp;"","?"),IFERROR(INDEX('Danh mục'!$D$39:$D$78,MATCH(D698,'Danh mục'!$A$39:$A$78,0))&amp;"","?")))</f>
      </c>
      <c r="G698" s="16">
        <f>IF(OR(D698="",C698&lt;&gt;"Chi"),"",IFERROR(INDEX('Danh mục'!$C$39:$C$78,MATCH(D698,'Danh mục'!$A$39:$A$78,0))&amp;"",""))</f>
      </c>
      <c r="H698" s="11"/>
      <c r="I698" s="20"/>
      <c r="J698" s="11"/>
      <c r="K698" s="11"/>
      <c r="L698" s="11"/>
    </row>
    <row r="699" spans="1:12" x14ac:dyDescent="0.3">
      <c r="A699" s="31"/>
      <c r="B699" s="32">
        <f>IF(A699="","",DATE(YEAR(A699),MONTH(A699),1))</f>
      </c>
      <c r="C699" s="11"/>
      <c r="D699" s="11"/>
      <c r="E699" s="16">
        <f>IF(OR(D699="",C699&lt;&gt;"Chi"),"",IFERROR(INDEX('Danh mục'!$B$39:$B$78,MATCH(D699,'Danh mục'!$A$39:$A$78,0))&amp;"","?"))</f>
      </c>
      <c r="F699" s="16">
        <f>IF(D699="","",IF(C699="Thu",IFERROR(INDEX('Danh mục'!$B$26:$B$35,MATCH(D699,'Danh mục'!$A$26:$A$35,0))&amp;"","?"),IFERROR(INDEX('Danh mục'!$D$39:$D$78,MATCH(D699,'Danh mục'!$A$39:$A$78,0))&amp;"","?")))</f>
      </c>
      <c r="G699" s="16">
        <f>IF(OR(D699="",C699&lt;&gt;"Chi"),"",IFERROR(INDEX('Danh mục'!$C$39:$C$78,MATCH(D699,'Danh mục'!$A$39:$A$78,0))&amp;"",""))</f>
      </c>
      <c r="H699" s="11"/>
      <c r="I699" s="20"/>
      <c r="J699" s="11"/>
      <c r="K699" s="11"/>
      <c r="L699" s="11"/>
    </row>
    <row r="700" spans="1:12" x14ac:dyDescent="0.3">
      <c r="A700" s="31"/>
      <c r="B700" s="32">
        <f>IF(A700="","",DATE(YEAR(A700),MONTH(A700),1))</f>
      </c>
      <c r="C700" s="11"/>
      <c r="D700" s="11"/>
      <c r="E700" s="16">
        <f>IF(OR(D700="",C700&lt;&gt;"Chi"),"",IFERROR(INDEX('Danh mục'!$B$39:$B$78,MATCH(D700,'Danh mục'!$A$39:$A$78,0))&amp;"","?"))</f>
      </c>
      <c r="F700" s="16">
        <f>IF(D700="","",IF(C700="Thu",IFERROR(INDEX('Danh mục'!$B$26:$B$35,MATCH(D700,'Danh mục'!$A$26:$A$35,0))&amp;"","?"),IFERROR(INDEX('Danh mục'!$D$39:$D$78,MATCH(D700,'Danh mục'!$A$39:$A$78,0))&amp;"","?")))</f>
      </c>
      <c r="G700" s="16">
        <f>IF(OR(D700="",C700&lt;&gt;"Chi"),"",IFERROR(INDEX('Danh mục'!$C$39:$C$78,MATCH(D700,'Danh mục'!$A$39:$A$78,0))&amp;"",""))</f>
      </c>
      <c r="H700" s="11"/>
      <c r="I700" s="20"/>
      <c r="J700" s="11"/>
      <c r="K700" s="11"/>
      <c r="L700" s="11"/>
    </row>
    <row r="701" spans="1:12" x14ac:dyDescent="0.3">
      <c r="A701" s="31"/>
      <c r="B701" s="32">
        <f>IF(A701="","",DATE(YEAR(A701),MONTH(A701),1))</f>
      </c>
      <c r="C701" s="11"/>
      <c r="D701" s="11"/>
      <c r="E701" s="16">
        <f>IF(OR(D701="",C701&lt;&gt;"Chi"),"",IFERROR(INDEX('Danh mục'!$B$39:$B$78,MATCH(D701,'Danh mục'!$A$39:$A$78,0))&amp;"","?"))</f>
      </c>
      <c r="F701" s="16">
        <f>IF(D701="","",IF(C701="Thu",IFERROR(INDEX('Danh mục'!$B$26:$B$35,MATCH(D701,'Danh mục'!$A$26:$A$35,0))&amp;"","?"),IFERROR(INDEX('Danh mục'!$D$39:$D$78,MATCH(D701,'Danh mục'!$A$39:$A$78,0))&amp;"","?")))</f>
      </c>
      <c r="G701" s="16">
        <f>IF(OR(D701="",C701&lt;&gt;"Chi"),"",IFERROR(INDEX('Danh mục'!$C$39:$C$78,MATCH(D701,'Danh mục'!$A$39:$A$78,0))&amp;"",""))</f>
      </c>
      <c r="H701" s="11"/>
      <c r="I701" s="20"/>
      <c r="J701" s="11"/>
      <c r="K701" s="11"/>
      <c r="L701" s="11"/>
    </row>
    <row r="702" spans="1:12" x14ac:dyDescent="0.3">
      <c r="A702" s="31"/>
      <c r="B702" s="32">
        <f>IF(A702="","",DATE(YEAR(A702),MONTH(A702),1))</f>
      </c>
      <c r="C702" s="11"/>
      <c r="D702" s="11"/>
      <c r="E702" s="16">
        <f>IF(OR(D702="",C702&lt;&gt;"Chi"),"",IFERROR(INDEX('Danh mục'!$B$39:$B$78,MATCH(D702,'Danh mục'!$A$39:$A$78,0))&amp;"","?"))</f>
      </c>
      <c r="F702" s="16">
        <f>IF(D702="","",IF(C702="Thu",IFERROR(INDEX('Danh mục'!$B$26:$B$35,MATCH(D702,'Danh mục'!$A$26:$A$35,0))&amp;"","?"),IFERROR(INDEX('Danh mục'!$D$39:$D$78,MATCH(D702,'Danh mục'!$A$39:$A$78,0))&amp;"","?")))</f>
      </c>
      <c r="G702" s="16">
        <f>IF(OR(D702="",C702&lt;&gt;"Chi"),"",IFERROR(INDEX('Danh mục'!$C$39:$C$78,MATCH(D702,'Danh mục'!$A$39:$A$78,0))&amp;"",""))</f>
      </c>
      <c r="H702" s="11"/>
      <c r="I702" s="20"/>
      <c r="J702" s="11"/>
      <c r="K702" s="11"/>
      <c r="L702" s="11"/>
    </row>
    <row r="703" spans="1:12" x14ac:dyDescent="0.3">
      <c r="A703" s="31"/>
      <c r="B703" s="32">
        <f>IF(A703="","",DATE(YEAR(A703),MONTH(A703),1))</f>
      </c>
      <c r="C703" s="11"/>
      <c r="D703" s="11"/>
      <c r="E703" s="16">
        <f>IF(OR(D703="",C703&lt;&gt;"Chi"),"",IFERROR(INDEX('Danh mục'!$B$39:$B$78,MATCH(D703,'Danh mục'!$A$39:$A$78,0))&amp;"","?"))</f>
      </c>
      <c r="F703" s="16">
        <f>IF(D703="","",IF(C703="Thu",IFERROR(INDEX('Danh mục'!$B$26:$B$35,MATCH(D703,'Danh mục'!$A$26:$A$35,0))&amp;"","?"),IFERROR(INDEX('Danh mục'!$D$39:$D$78,MATCH(D703,'Danh mục'!$A$39:$A$78,0))&amp;"","?")))</f>
      </c>
      <c r="G703" s="16">
        <f>IF(OR(D703="",C703&lt;&gt;"Chi"),"",IFERROR(INDEX('Danh mục'!$C$39:$C$78,MATCH(D703,'Danh mục'!$A$39:$A$78,0))&amp;"",""))</f>
      </c>
      <c r="H703" s="11"/>
      <c r="I703" s="20"/>
      <c r="J703" s="11"/>
      <c r="K703" s="11"/>
      <c r="L703" s="11"/>
    </row>
    <row r="704" spans="1:12" x14ac:dyDescent="0.3">
      <c r="A704" s="31"/>
      <c r="B704" s="32">
        <f>IF(A704="","",DATE(YEAR(A704),MONTH(A704),1))</f>
      </c>
      <c r="C704" s="11"/>
      <c r="D704" s="11"/>
      <c r="E704" s="16">
        <f>IF(OR(D704="",C704&lt;&gt;"Chi"),"",IFERROR(INDEX('Danh mục'!$B$39:$B$78,MATCH(D704,'Danh mục'!$A$39:$A$78,0))&amp;"","?"))</f>
      </c>
      <c r="F704" s="16">
        <f>IF(D704="","",IF(C704="Thu",IFERROR(INDEX('Danh mục'!$B$26:$B$35,MATCH(D704,'Danh mục'!$A$26:$A$35,0))&amp;"","?"),IFERROR(INDEX('Danh mục'!$D$39:$D$78,MATCH(D704,'Danh mục'!$A$39:$A$78,0))&amp;"","?")))</f>
      </c>
      <c r="G704" s="16">
        <f>IF(OR(D704="",C704&lt;&gt;"Chi"),"",IFERROR(INDEX('Danh mục'!$C$39:$C$78,MATCH(D704,'Danh mục'!$A$39:$A$78,0))&amp;"",""))</f>
      </c>
      <c r="H704" s="11"/>
      <c r="I704" s="20"/>
      <c r="J704" s="11"/>
      <c r="K704" s="11"/>
      <c r="L704" s="11"/>
    </row>
    <row r="705" spans="1:12" x14ac:dyDescent="0.3">
      <c r="A705" s="31"/>
      <c r="B705" s="32">
        <f>IF(A705="","",DATE(YEAR(A705),MONTH(A705),1))</f>
      </c>
      <c r="C705" s="11"/>
      <c r="D705" s="11"/>
      <c r="E705" s="16">
        <f>IF(OR(D705="",C705&lt;&gt;"Chi"),"",IFERROR(INDEX('Danh mục'!$B$39:$B$78,MATCH(D705,'Danh mục'!$A$39:$A$78,0))&amp;"","?"))</f>
      </c>
      <c r="F705" s="16">
        <f>IF(D705="","",IF(C705="Thu",IFERROR(INDEX('Danh mục'!$B$26:$B$35,MATCH(D705,'Danh mục'!$A$26:$A$35,0))&amp;"","?"),IFERROR(INDEX('Danh mục'!$D$39:$D$78,MATCH(D705,'Danh mục'!$A$39:$A$78,0))&amp;"","?")))</f>
      </c>
      <c r="G705" s="16">
        <f>IF(OR(D705="",C705&lt;&gt;"Chi"),"",IFERROR(INDEX('Danh mục'!$C$39:$C$78,MATCH(D705,'Danh mục'!$A$39:$A$78,0))&amp;"",""))</f>
      </c>
      <c r="H705" s="11"/>
      <c r="I705" s="20"/>
      <c r="J705" s="11"/>
      <c r="K705" s="11"/>
      <c r="L705" s="11"/>
    </row>
    <row r="706" spans="1:12" x14ac:dyDescent="0.3">
      <c r="A706" s="31"/>
      <c r="B706" s="32">
        <f>IF(A706="","",DATE(YEAR(A706),MONTH(A706),1))</f>
      </c>
      <c r="C706" s="11"/>
      <c r="D706" s="11"/>
      <c r="E706" s="16">
        <f>IF(OR(D706="",C706&lt;&gt;"Chi"),"",IFERROR(INDEX('Danh mục'!$B$39:$B$78,MATCH(D706,'Danh mục'!$A$39:$A$78,0))&amp;"","?"))</f>
      </c>
      <c r="F706" s="16">
        <f>IF(D706="","",IF(C706="Thu",IFERROR(INDEX('Danh mục'!$B$26:$B$35,MATCH(D706,'Danh mục'!$A$26:$A$35,0))&amp;"","?"),IFERROR(INDEX('Danh mục'!$D$39:$D$78,MATCH(D706,'Danh mục'!$A$39:$A$78,0))&amp;"","?")))</f>
      </c>
      <c r="G706" s="16">
        <f>IF(OR(D706="",C706&lt;&gt;"Chi"),"",IFERROR(INDEX('Danh mục'!$C$39:$C$78,MATCH(D706,'Danh mục'!$A$39:$A$78,0))&amp;"",""))</f>
      </c>
      <c r="H706" s="11"/>
      <c r="I706" s="20"/>
      <c r="J706" s="11"/>
      <c r="K706" s="11"/>
      <c r="L706" s="11"/>
    </row>
    <row r="707" spans="1:12" x14ac:dyDescent="0.3">
      <c r="A707" s="31"/>
      <c r="B707" s="32">
        <f>IF(A707="","",DATE(YEAR(A707),MONTH(A707),1))</f>
      </c>
      <c r="C707" s="11"/>
      <c r="D707" s="11"/>
      <c r="E707" s="16">
        <f>IF(OR(D707="",C707&lt;&gt;"Chi"),"",IFERROR(INDEX('Danh mục'!$B$39:$B$78,MATCH(D707,'Danh mục'!$A$39:$A$78,0))&amp;"","?"))</f>
      </c>
      <c r="F707" s="16">
        <f>IF(D707="","",IF(C707="Thu",IFERROR(INDEX('Danh mục'!$B$26:$B$35,MATCH(D707,'Danh mục'!$A$26:$A$35,0))&amp;"","?"),IFERROR(INDEX('Danh mục'!$D$39:$D$78,MATCH(D707,'Danh mục'!$A$39:$A$78,0))&amp;"","?")))</f>
      </c>
      <c r="G707" s="16">
        <f>IF(OR(D707="",C707&lt;&gt;"Chi"),"",IFERROR(INDEX('Danh mục'!$C$39:$C$78,MATCH(D707,'Danh mục'!$A$39:$A$78,0))&amp;"",""))</f>
      </c>
      <c r="H707" s="11"/>
      <c r="I707" s="20"/>
      <c r="J707" s="11"/>
      <c r="K707" s="11"/>
      <c r="L707" s="11"/>
    </row>
    <row r="708" spans="1:12" x14ac:dyDescent="0.3">
      <c r="A708" s="31"/>
      <c r="B708" s="32">
        <f>IF(A708="","",DATE(YEAR(A708),MONTH(A708),1))</f>
      </c>
      <c r="C708" s="11"/>
      <c r="D708" s="11"/>
      <c r="E708" s="16">
        <f>IF(OR(D708="",C708&lt;&gt;"Chi"),"",IFERROR(INDEX('Danh mục'!$B$39:$B$78,MATCH(D708,'Danh mục'!$A$39:$A$78,0))&amp;"","?"))</f>
      </c>
      <c r="F708" s="16">
        <f>IF(D708="","",IF(C708="Thu",IFERROR(INDEX('Danh mục'!$B$26:$B$35,MATCH(D708,'Danh mục'!$A$26:$A$35,0))&amp;"","?"),IFERROR(INDEX('Danh mục'!$D$39:$D$78,MATCH(D708,'Danh mục'!$A$39:$A$78,0))&amp;"","?")))</f>
      </c>
      <c r="G708" s="16">
        <f>IF(OR(D708="",C708&lt;&gt;"Chi"),"",IFERROR(INDEX('Danh mục'!$C$39:$C$78,MATCH(D708,'Danh mục'!$A$39:$A$78,0))&amp;"",""))</f>
      </c>
      <c r="H708" s="11"/>
      <c r="I708" s="20"/>
      <c r="J708" s="11"/>
      <c r="K708" s="11"/>
      <c r="L708" s="11"/>
    </row>
    <row r="709" spans="1:12" x14ac:dyDescent="0.3">
      <c r="A709" s="31"/>
      <c r="B709" s="32">
        <f>IF(A709="","",DATE(YEAR(A709),MONTH(A709),1))</f>
      </c>
      <c r="C709" s="11"/>
      <c r="D709" s="11"/>
      <c r="E709" s="16">
        <f>IF(OR(D709="",C709&lt;&gt;"Chi"),"",IFERROR(INDEX('Danh mục'!$B$39:$B$78,MATCH(D709,'Danh mục'!$A$39:$A$78,0))&amp;"","?"))</f>
      </c>
      <c r="F709" s="16">
        <f>IF(D709="","",IF(C709="Thu",IFERROR(INDEX('Danh mục'!$B$26:$B$35,MATCH(D709,'Danh mục'!$A$26:$A$35,0))&amp;"","?"),IFERROR(INDEX('Danh mục'!$D$39:$D$78,MATCH(D709,'Danh mục'!$A$39:$A$78,0))&amp;"","?")))</f>
      </c>
      <c r="G709" s="16">
        <f>IF(OR(D709="",C709&lt;&gt;"Chi"),"",IFERROR(INDEX('Danh mục'!$C$39:$C$78,MATCH(D709,'Danh mục'!$A$39:$A$78,0))&amp;"",""))</f>
      </c>
      <c r="H709" s="11"/>
      <c r="I709" s="20"/>
      <c r="J709" s="11"/>
      <c r="K709" s="11"/>
      <c r="L709" s="11"/>
    </row>
    <row r="710" spans="1:12" x14ac:dyDescent="0.3">
      <c r="A710" s="31"/>
      <c r="B710" s="32">
        <f>IF(A710="","",DATE(YEAR(A710),MONTH(A710),1))</f>
      </c>
      <c r="C710" s="11"/>
      <c r="D710" s="11"/>
      <c r="E710" s="16">
        <f>IF(OR(D710="",C710&lt;&gt;"Chi"),"",IFERROR(INDEX('Danh mục'!$B$39:$B$78,MATCH(D710,'Danh mục'!$A$39:$A$78,0))&amp;"","?"))</f>
      </c>
      <c r="F710" s="16">
        <f>IF(D710="","",IF(C710="Thu",IFERROR(INDEX('Danh mục'!$B$26:$B$35,MATCH(D710,'Danh mục'!$A$26:$A$35,0))&amp;"","?"),IFERROR(INDEX('Danh mục'!$D$39:$D$78,MATCH(D710,'Danh mục'!$A$39:$A$78,0))&amp;"","?")))</f>
      </c>
      <c r="G710" s="16">
        <f>IF(OR(D710="",C710&lt;&gt;"Chi"),"",IFERROR(INDEX('Danh mục'!$C$39:$C$78,MATCH(D710,'Danh mục'!$A$39:$A$78,0))&amp;"",""))</f>
      </c>
      <c r="H710" s="11"/>
      <c r="I710" s="20"/>
      <c r="J710" s="11"/>
      <c r="K710" s="11"/>
      <c r="L710" s="11"/>
    </row>
    <row r="711" spans="1:12" x14ac:dyDescent="0.3">
      <c r="A711" s="31"/>
      <c r="B711" s="32">
        <f>IF(A711="","",DATE(YEAR(A711),MONTH(A711),1))</f>
      </c>
      <c r="C711" s="11"/>
      <c r="D711" s="11"/>
      <c r="E711" s="16">
        <f>IF(OR(D711="",C711&lt;&gt;"Chi"),"",IFERROR(INDEX('Danh mục'!$B$39:$B$78,MATCH(D711,'Danh mục'!$A$39:$A$78,0))&amp;"","?"))</f>
      </c>
      <c r="F711" s="16">
        <f>IF(D711="","",IF(C711="Thu",IFERROR(INDEX('Danh mục'!$B$26:$B$35,MATCH(D711,'Danh mục'!$A$26:$A$35,0))&amp;"","?"),IFERROR(INDEX('Danh mục'!$D$39:$D$78,MATCH(D711,'Danh mục'!$A$39:$A$78,0))&amp;"","?")))</f>
      </c>
      <c r="G711" s="16">
        <f>IF(OR(D711="",C711&lt;&gt;"Chi"),"",IFERROR(INDEX('Danh mục'!$C$39:$C$78,MATCH(D711,'Danh mục'!$A$39:$A$78,0))&amp;"",""))</f>
      </c>
      <c r="H711" s="11"/>
      <c r="I711" s="20"/>
      <c r="J711" s="11"/>
      <c r="K711" s="11"/>
      <c r="L711" s="11"/>
    </row>
    <row r="712" spans="1:12" x14ac:dyDescent="0.3">
      <c r="A712" s="31"/>
      <c r="B712" s="32">
        <f>IF(A712="","",DATE(YEAR(A712),MONTH(A712),1))</f>
      </c>
      <c r="C712" s="11"/>
      <c r="D712" s="11"/>
      <c r="E712" s="16">
        <f>IF(OR(D712="",C712&lt;&gt;"Chi"),"",IFERROR(INDEX('Danh mục'!$B$39:$B$78,MATCH(D712,'Danh mục'!$A$39:$A$78,0))&amp;"","?"))</f>
      </c>
      <c r="F712" s="16">
        <f>IF(D712="","",IF(C712="Thu",IFERROR(INDEX('Danh mục'!$B$26:$B$35,MATCH(D712,'Danh mục'!$A$26:$A$35,0))&amp;"","?"),IFERROR(INDEX('Danh mục'!$D$39:$D$78,MATCH(D712,'Danh mục'!$A$39:$A$78,0))&amp;"","?")))</f>
      </c>
      <c r="G712" s="16">
        <f>IF(OR(D712="",C712&lt;&gt;"Chi"),"",IFERROR(INDEX('Danh mục'!$C$39:$C$78,MATCH(D712,'Danh mục'!$A$39:$A$78,0))&amp;"",""))</f>
      </c>
      <c r="H712" s="11"/>
      <c r="I712" s="20"/>
      <c r="J712" s="11"/>
      <c r="K712" s="11"/>
      <c r="L712" s="11"/>
    </row>
    <row r="713" spans="1:12" x14ac:dyDescent="0.3">
      <c r="A713" s="31"/>
      <c r="B713" s="32">
        <f>IF(A713="","",DATE(YEAR(A713),MONTH(A713),1))</f>
      </c>
      <c r="C713" s="11"/>
      <c r="D713" s="11"/>
      <c r="E713" s="16">
        <f>IF(OR(D713="",C713&lt;&gt;"Chi"),"",IFERROR(INDEX('Danh mục'!$B$39:$B$78,MATCH(D713,'Danh mục'!$A$39:$A$78,0))&amp;"","?"))</f>
      </c>
      <c r="F713" s="16">
        <f>IF(D713="","",IF(C713="Thu",IFERROR(INDEX('Danh mục'!$B$26:$B$35,MATCH(D713,'Danh mục'!$A$26:$A$35,0))&amp;"","?"),IFERROR(INDEX('Danh mục'!$D$39:$D$78,MATCH(D713,'Danh mục'!$A$39:$A$78,0))&amp;"","?")))</f>
      </c>
      <c r="G713" s="16">
        <f>IF(OR(D713="",C713&lt;&gt;"Chi"),"",IFERROR(INDEX('Danh mục'!$C$39:$C$78,MATCH(D713,'Danh mục'!$A$39:$A$78,0))&amp;"",""))</f>
      </c>
      <c r="H713" s="11"/>
      <c r="I713" s="20"/>
      <c r="J713" s="11"/>
      <c r="K713" s="11"/>
      <c r="L713" s="11"/>
    </row>
    <row r="714" spans="1:12" x14ac:dyDescent="0.3">
      <c r="A714" s="31"/>
      <c r="B714" s="32">
        <f>IF(A714="","",DATE(YEAR(A714),MONTH(A714),1))</f>
      </c>
      <c r="C714" s="11"/>
      <c r="D714" s="11"/>
      <c r="E714" s="16">
        <f>IF(OR(D714="",C714&lt;&gt;"Chi"),"",IFERROR(INDEX('Danh mục'!$B$39:$B$78,MATCH(D714,'Danh mục'!$A$39:$A$78,0))&amp;"","?"))</f>
      </c>
      <c r="F714" s="16">
        <f>IF(D714="","",IF(C714="Thu",IFERROR(INDEX('Danh mục'!$B$26:$B$35,MATCH(D714,'Danh mục'!$A$26:$A$35,0))&amp;"","?"),IFERROR(INDEX('Danh mục'!$D$39:$D$78,MATCH(D714,'Danh mục'!$A$39:$A$78,0))&amp;"","?")))</f>
      </c>
      <c r="G714" s="16">
        <f>IF(OR(D714="",C714&lt;&gt;"Chi"),"",IFERROR(INDEX('Danh mục'!$C$39:$C$78,MATCH(D714,'Danh mục'!$A$39:$A$78,0))&amp;"",""))</f>
      </c>
      <c r="H714" s="11"/>
      <c r="I714" s="20"/>
      <c r="J714" s="11"/>
      <c r="K714" s="11"/>
      <c r="L714" s="11"/>
    </row>
    <row r="715" spans="1:12" x14ac:dyDescent="0.3">
      <c r="A715" s="31"/>
      <c r="B715" s="32">
        <f>IF(A715="","",DATE(YEAR(A715),MONTH(A715),1))</f>
      </c>
      <c r="C715" s="11"/>
      <c r="D715" s="11"/>
      <c r="E715" s="16">
        <f>IF(OR(D715="",C715&lt;&gt;"Chi"),"",IFERROR(INDEX('Danh mục'!$B$39:$B$78,MATCH(D715,'Danh mục'!$A$39:$A$78,0))&amp;"","?"))</f>
      </c>
      <c r="F715" s="16">
        <f>IF(D715="","",IF(C715="Thu",IFERROR(INDEX('Danh mục'!$B$26:$B$35,MATCH(D715,'Danh mục'!$A$26:$A$35,0))&amp;"","?"),IFERROR(INDEX('Danh mục'!$D$39:$D$78,MATCH(D715,'Danh mục'!$A$39:$A$78,0))&amp;"","?")))</f>
      </c>
      <c r="G715" s="16">
        <f>IF(OR(D715="",C715&lt;&gt;"Chi"),"",IFERROR(INDEX('Danh mục'!$C$39:$C$78,MATCH(D715,'Danh mục'!$A$39:$A$78,0))&amp;"",""))</f>
      </c>
      <c r="H715" s="11"/>
      <c r="I715" s="20"/>
      <c r="J715" s="11"/>
      <c r="K715" s="11"/>
      <c r="L715" s="11"/>
    </row>
    <row r="716" spans="1:12" x14ac:dyDescent="0.3">
      <c r="A716" s="31"/>
      <c r="B716" s="32">
        <f>IF(A716="","",DATE(YEAR(A716),MONTH(A716),1))</f>
      </c>
      <c r="C716" s="11"/>
      <c r="D716" s="11"/>
      <c r="E716" s="16">
        <f>IF(OR(D716="",C716&lt;&gt;"Chi"),"",IFERROR(INDEX('Danh mục'!$B$39:$B$78,MATCH(D716,'Danh mục'!$A$39:$A$78,0))&amp;"","?"))</f>
      </c>
      <c r="F716" s="16">
        <f>IF(D716="","",IF(C716="Thu",IFERROR(INDEX('Danh mục'!$B$26:$B$35,MATCH(D716,'Danh mục'!$A$26:$A$35,0))&amp;"","?"),IFERROR(INDEX('Danh mục'!$D$39:$D$78,MATCH(D716,'Danh mục'!$A$39:$A$78,0))&amp;"","?")))</f>
      </c>
      <c r="G716" s="16">
        <f>IF(OR(D716="",C716&lt;&gt;"Chi"),"",IFERROR(INDEX('Danh mục'!$C$39:$C$78,MATCH(D716,'Danh mục'!$A$39:$A$78,0))&amp;"",""))</f>
      </c>
      <c r="H716" s="11"/>
      <c r="I716" s="20"/>
      <c r="J716" s="11"/>
      <c r="K716" s="11"/>
      <c r="L716" s="11"/>
    </row>
    <row r="717" spans="1:12" x14ac:dyDescent="0.3">
      <c r="A717" s="31"/>
      <c r="B717" s="32">
        <f>IF(A717="","",DATE(YEAR(A717),MONTH(A717),1))</f>
      </c>
      <c r="C717" s="11"/>
      <c r="D717" s="11"/>
      <c r="E717" s="16">
        <f>IF(OR(D717="",C717&lt;&gt;"Chi"),"",IFERROR(INDEX('Danh mục'!$B$39:$B$78,MATCH(D717,'Danh mục'!$A$39:$A$78,0))&amp;"","?"))</f>
      </c>
      <c r="F717" s="16">
        <f>IF(D717="","",IF(C717="Thu",IFERROR(INDEX('Danh mục'!$B$26:$B$35,MATCH(D717,'Danh mục'!$A$26:$A$35,0))&amp;"","?"),IFERROR(INDEX('Danh mục'!$D$39:$D$78,MATCH(D717,'Danh mục'!$A$39:$A$78,0))&amp;"","?")))</f>
      </c>
      <c r="G717" s="16">
        <f>IF(OR(D717="",C717&lt;&gt;"Chi"),"",IFERROR(INDEX('Danh mục'!$C$39:$C$78,MATCH(D717,'Danh mục'!$A$39:$A$78,0))&amp;"",""))</f>
      </c>
      <c r="H717" s="11"/>
      <c r="I717" s="20"/>
      <c r="J717" s="11"/>
      <c r="K717" s="11"/>
      <c r="L717" s="11"/>
    </row>
    <row r="718" spans="1:12" x14ac:dyDescent="0.3">
      <c r="A718" s="31"/>
      <c r="B718" s="32">
        <f>IF(A718="","",DATE(YEAR(A718),MONTH(A718),1))</f>
      </c>
      <c r="C718" s="11"/>
      <c r="D718" s="11"/>
      <c r="E718" s="16">
        <f>IF(OR(D718="",C718&lt;&gt;"Chi"),"",IFERROR(INDEX('Danh mục'!$B$39:$B$78,MATCH(D718,'Danh mục'!$A$39:$A$78,0))&amp;"","?"))</f>
      </c>
      <c r="F718" s="16">
        <f>IF(D718="","",IF(C718="Thu",IFERROR(INDEX('Danh mục'!$B$26:$B$35,MATCH(D718,'Danh mục'!$A$26:$A$35,0))&amp;"","?"),IFERROR(INDEX('Danh mục'!$D$39:$D$78,MATCH(D718,'Danh mục'!$A$39:$A$78,0))&amp;"","?")))</f>
      </c>
      <c r="G718" s="16">
        <f>IF(OR(D718="",C718&lt;&gt;"Chi"),"",IFERROR(INDEX('Danh mục'!$C$39:$C$78,MATCH(D718,'Danh mục'!$A$39:$A$78,0))&amp;"",""))</f>
      </c>
      <c r="H718" s="11"/>
      <c r="I718" s="20"/>
      <c r="J718" s="11"/>
      <c r="K718" s="11"/>
      <c r="L718" s="11"/>
    </row>
    <row r="719" spans="1:12" x14ac:dyDescent="0.3">
      <c r="A719" s="31"/>
      <c r="B719" s="32">
        <f>IF(A719="","",DATE(YEAR(A719),MONTH(A719),1))</f>
      </c>
      <c r="C719" s="11"/>
      <c r="D719" s="11"/>
      <c r="E719" s="16">
        <f>IF(OR(D719="",C719&lt;&gt;"Chi"),"",IFERROR(INDEX('Danh mục'!$B$39:$B$78,MATCH(D719,'Danh mục'!$A$39:$A$78,0))&amp;"","?"))</f>
      </c>
      <c r="F719" s="16">
        <f>IF(D719="","",IF(C719="Thu",IFERROR(INDEX('Danh mục'!$B$26:$B$35,MATCH(D719,'Danh mục'!$A$26:$A$35,0))&amp;"","?"),IFERROR(INDEX('Danh mục'!$D$39:$D$78,MATCH(D719,'Danh mục'!$A$39:$A$78,0))&amp;"","?")))</f>
      </c>
      <c r="G719" s="16">
        <f>IF(OR(D719="",C719&lt;&gt;"Chi"),"",IFERROR(INDEX('Danh mục'!$C$39:$C$78,MATCH(D719,'Danh mục'!$A$39:$A$78,0))&amp;"",""))</f>
      </c>
      <c r="H719" s="11"/>
      <c r="I719" s="20"/>
      <c r="J719" s="11"/>
      <c r="K719" s="11"/>
      <c r="L719" s="11"/>
    </row>
    <row r="720" spans="1:12" x14ac:dyDescent="0.3">
      <c r="A720" s="31"/>
      <c r="B720" s="32">
        <f>IF(A720="","",DATE(YEAR(A720),MONTH(A720),1))</f>
      </c>
      <c r="C720" s="11"/>
      <c r="D720" s="11"/>
      <c r="E720" s="16">
        <f>IF(OR(D720="",C720&lt;&gt;"Chi"),"",IFERROR(INDEX('Danh mục'!$B$39:$B$78,MATCH(D720,'Danh mục'!$A$39:$A$78,0))&amp;"","?"))</f>
      </c>
      <c r="F720" s="16">
        <f>IF(D720="","",IF(C720="Thu",IFERROR(INDEX('Danh mục'!$B$26:$B$35,MATCH(D720,'Danh mục'!$A$26:$A$35,0))&amp;"","?"),IFERROR(INDEX('Danh mục'!$D$39:$D$78,MATCH(D720,'Danh mục'!$A$39:$A$78,0))&amp;"","?")))</f>
      </c>
      <c r="G720" s="16">
        <f>IF(OR(D720="",C720&lt;&gt;"Chi"),"",IFERROR(INDEX('Danh mục'!$C$39:$C$78,MATCH(D720,'Danh mục'!$A$39:$A$78,0))&amp;"",""))</f>
      </c>
      <c r="H720" s="11"/>
      <c r="I720" s="20"/>
      <c r="J720" s="11"/>
      <c r="K720" s="11"/>
      <c r="L720" s="11"/>
    </row>
    <row r="721" spans="1:12" x14ac:dyDescent="0.3">
      <c r="A721" s="31"/>
      <c r="B721" s="32">
        <f>IF(A721="","",DATE(YEAR(A721),MONTH(A721),1))</f>
      </c>
      <c r="C721" s="11"/>
      <c r="D721" s="11"/>
      <c r="E721" s="16">
        <f>IF(OR(D721="",C721&lt;&gt;"Chi"),"",IFERROR(INDEX('Danh mục'!$B$39:$B$78,MATCH(D721,'Danh mục'!$A$39:$A$78,0))&amp;"","?"))</f>
      </c>
      <c r="F721" s="16">
        <f>IF(D721="","",IF(C721="Thu",IFERROR(INDEX('Danh mục'!$B$26:$B$35,MATCH(D721,'Danh mục'!$A$26:$A$35,0))&amp;"","?"),IFERROR(INDEX('Danh mục'!$D$39:$D$78,MATCH(D721,'Danh mục'!$A$39:$A$78,0))&amp;"","?")))</f>
      </c>
      <c r="G721" s="16">
        <f>IF(OR(D721="",C721&lt;&gt;"Chi"),"",IFERROR(INDEX('Danh mục'!$C$39:$C$78,MATCH(D721,'Danh mục'!$A$39:$A$78,0))&amp;"",""))</f>
      </c>
      <c r="H721" s="11"/>
      <c r="I721" s="20"/>
      <c r="J721" s="11"/>
      <c r="K721" s="11"/>
      <c r="L721" s="11"/>
    </row>
    <row r="722" spans="1:12" x14ac:dyDescent="0.3">
      <c r="A722" s="31"/>
      <c r="B722" s="32">
        <f>IF(A722="","",DATE(YEAR(A722),MONTH(A722),1))</f>
      </c>
      <c r="C722" s="11"/>
      <c r="D722" s="11"/>
      <c r="E722" s="16">
        <f>IF(OR(D722="",C722&lt;&gt;"Chi"),"",IFERROR(INDEX('Danh mục'!$B$39:$B$78,MATCH(D722,'Danh mục'!$A$39:$A$78,0))&amp;"","?"))</f>
      </c>
      <c r="F722" s="16">
        <f>IF(D722="","",IF(C722="Thu",IFERROR(INDEX('Danh mục'!$B$26:$B$35,MATCH(D722,'Danh mục'!$A$26:$A$35,0))&amp;"","?"),IFERROR(INDEX('Danh mục'!$D$39:$D$78,MATCH(D722,'Danh mục'!$A$39:$A$78,0))&amp;"","?")))</f>
      </c>
      <c r="G722" s="16">
        <f>IF(OR(D722="",C722&lt;&gt;"Chi"),"",IFERROR(INDEX('Danh mục'!$C$39:$C$78,MATCH(D722,'Danh mục'!$A$39:$A$78,0))&amp;"",""))</f>
      </c>
      <c r="H722" s="11"/>
      <c r="I722" s="20"/>
      <c r="J722" s="11"/>
      <c r="K722" s="11"/>
      <c r="L722" s="11"/>
    </row>
    <row r="723" spans="1:12" x14ac:dyDescent="0.3">
      <c r="A723" s="31"/>
      <c r="B723" s="32">
        <f>IF(A723="","",DATE(YEAR(A723),MONTH(A723),1))</f>
      </c>
      <c r="C723" s="11"/>
      <c r="D723" s="11"/>
      <c r="E723" s="16">
        <f>IF(OR(D723="",C723&lt;&gt;"Chi"),"",IFERROR(INDEX('Danh mục'!$B$39:$B$78,MATCH(D723,'Danh mục'!$A$39:$A$78,0))&amp;"","?"))</f>
      </c>
      <c r="F723" s="16">
        <f>IF(D723="","",IF(C723="Thu",IFERROR(INDEX('Danh mục'!$B$26:$B$35,MATCH(D723,'Danh mục'!$A$26:$A$35,0))&amp;"","?"),IFERROR(INDEX('Danh mục'!$D$39:$D$78,MATCH(D723,'Danh mục'!$A$39:$A$78,0))&amp;"","?")))</f>
      </c>
      <c r="G723" s="16">
        <f>IF(OR(D723="",C723&lt;&gt;"Chi"),"",IFERROR(INDEX('Danh mục'!$C$39:$C$78,MATCH(D723,'Danh mục'!$A$39:$A$78,0))&amp;"",""))</f>
      </c>
      <c r="H723" s="11"/>
      <c r="I723" s="20"/>
      <c r="J723" s="11"/>
      <c r="K723" s="11"/>
      <c r="L723" s="11"/>
    </row>
    <row r="724" spans="1:12" x14ac:dyDescent="0.3">
      <c r="A724" s="31"/>
      <c r="B724" s="32">
        <f>IF(A724="","",DATE(YEAR(A724),MONTH(A724),1))</f>
      </c>
      <c r="C724" s="11"/>
      <c r="D724" s="11"/>
      <c r="E724" s="16">
        <f>IF(OR(D724="",C724&lt;&gt;"Chi"),"",IFERROR(INDEX('Danh mục'!$B$39:$B$78,MATCH(D724,'Danh mục'!$A$39:$A$78,0))&amp;"","?"))</f>
      </c>
      <c r="F724" s="16">
        <f>IF(D724="","",IF(C724="Thu",IFERROR(INDEX('Danh mục'!$B$26:$B$35,MATCH(D724,'Danh mục'!$A$26:$A$35,0))&amp;"","?"),IFERROR(INDEX('Danh mục'!$D$39:$D$78,MATCH(D724,'Danh mục'!$A$39:$A$78,0))&amp;"","?")))</f>
      </c>
      <c r="G724" s="16">
        <f>IF(OR(D724="",C724&lt;&gt;"Chi"),"",IFERROR(INDEX('Danh mục'!$C$39:$C$78,MATCH(D724,'Danh mục'!$A$39:$A$78,0))&amp;"",""))</f>
      </c>
      <c r="H724" s="11"/>
      <c r="I724" s="20"/>
      <c r="J724" s="11"/>
      <c r="K724" s="11"/>
      <c r="L724" s="11"/>
    </row>
    <row r="725" spans="1:12" x14ac:dyDescent="0.3">
      <c r="A725" s="31"/>
      <c r="B725" s="32">
        <f>IF(A725="","",DATE(YEAR(A725),MONTH(A725),1))</f>
      </c>
      <c r="C725" s="11"/>
      <c r="D725" s="11"/>
      <c r="E725" s="16">
        <f>IF(OR(D725="",C725&lt;&gt;"Chi"),"",IFERROR(INDEX('Danh mục'!$B$39:$B$78,MATCH(D725,'Danh mục'!$A$39:$A$78,0))&amp;"","?"))</f>
      </c>
      <c r="F725" s="16">
        <f>IF(D725="","",IF(C725="Thu",IFERROR(INDEX('Danh mục'!$B$26:$B$35,MATCH(D725,'Danh mục'!$A$26:$A$35,0))&amp;"","?"),IFERROR(INDEX('Danh mục'!$D$39:$D$78,MATCH(D725,'Danh mục'!$A$39:$A$78,0))&amp;"","?")))</f>
      </c>
      <c r="G725" s="16">
        <f>IF(OR(D725="",C725&lt;&gt;"Chi"),"",IFERROR(INDEX('Danh mục'!$C$39:$C$78,MATCH(D725,'Danh mục'!$A$39:$A$78,0))&amp;"",""))</f>
      </c>
      <c r="H725" s="11"/>
      <c r="I725" s="20"/>
      <c r="J725" s="11"/>
      <c r="K725" s="11"/>
      <c r="L725" s="11"/>
    </row>
    <row r="726" spans="1:12" x14ac:dyDescent="0.3">
      <c r="A726" s="31"/>
      <c r="B726" s="32">
        <f>IF(A726="","",DATE(YEAR(A726),MONTH(A726),1))</f>
      </c>
      <c r="C726" s="11"/>
      <c r="D726" s="11"/>
      <c r="E726" s="16">
        <f>IF(OR(D726="",C726&lt;&gt;"Chi"),"",IFERROR(INDEX('Danh mục'!$B$39:$B$78,MATCH(D726,'Danh mục'!$A$39:$A$78,0))&amp;"","?"))</f>
      </c>
      <c r="F726" s="16">
        <f>IF(D726="","",IF(C726="Thu",IFERROR(INDEX('Danh mục'!$B$26:$B$35,MATCH(D726,'Danh mục'!$A$26:$A$35,0))&amp;"","?"),IFERROR(INDEX('Danh mục'!$D$39:$D$78,MATCH(D726,'Danh mục'!$A$39:$A$78,0))&amp;"","?")))</f>
      </c>
      <c r="G726" s="16">
        <f>IF(OR(D726="",C726&lt;&gt;"Chi"),"",IFERROR(INDEX('Danh mục'!$C$39:$C$78,MATCH(D726,'Danh mục'!$A$39:$A$78,0))&amp;"",""))</f>
      </c>
      <c r="H726" s="11"/>
      <c r="I726" s="20"/>
      <c r="J726" s="11"/>
      <c r="K726" s="11"/>
      <c r="L726" s="11"/>
    </row>
    <row r="727" spans="1:12" x14ac:dyDescent="0.3">
      <c r="A727" s="31"/>
      <c r="B727" s="32">
        <f>IF(A727="","",DATE(YEAR(A727),MONTH(A727),1))</f>
      </c>
      <c r="C727" s="11"/>
      <c r="D727" s="11"/>
      <c r="E727" s="16">
        <f>IF(OR(D727="",C727&lt;&gt;"Chi"),"",IFERROR(INDEX('Danh mục'!$B$39:$B$78,MATCH(D727,'Danh mục'!$A$39:$A$78,0))&amp;"","?"))</f>
      </c>
      <c r="F727" s="16">
        <f>IF(D727="","",IF(C727="Thu",IFERROR(INDEX('Danh mục'!$B$26:$B$35,MATCH(D727,'Danh mục'!$A$26:$A$35,0))&amp;"","?"),IFERROR(INDEX('Danh mục'!$D$39:$D$78,MATCH(D727,'Danh mục'!$A$39:$A$78,0))&amp;"","?")))</f>
      </c>
      <c r="G727" s="16">
        <f>IF(OR(D727="",C727&lt;&gt;"Chi"),"",IFERROR(INDEX('Danh mục'!$C$39:$C$78,MATCH(D727,'Danh mục'!$A$39:$A$78,0))&amp;"",""))</f>
      </c>
      <c r="H727" s="11"/>
      <c r="I727" s="20"/>
      <c r="J727" s="11"/>
      <c r="K727" s="11"/>
      <c r="L727" s="11"/>
    </row>
    <row r="728" spans="1:12" x14ac:dyDescent="0.3">
      <c r="A728" s="31"/>
      <c r="B728" s="32">
        <f>IF(A728="","",DATE(YEAR(A728),MONTH(A728),1))</f>
      </c>
      <c r="C728" s="11"/>
      <c r="D728" s="11"/>
      <c r="E728" s="16">
        <f>IF(OR(D728="",C728&lt;&gt;"Chi"),"",IFERROR(INDEX('Danh mục'!$B$39:$B$78,MATCH(D728,'Danh mục'!$A$39:$A$78,0))&amp;"","?"))</f>
      </c>
      <c r="F728" s="16">
        <f>IF(D728="","",IF(C728="Thu",IFERROR(INDEX('Danh mục'!$B$26:$B$35,MATCH(D728,'Danh mục'!$A$26:$A$35,0))&amp;"","?"),IFERROR(INDEX('Danh mục'!$D$39:$D$78,MATCH(D728,'Danh mục'!$A$39:$A$78,0))&amp;"","?")))</f>
      </c>
      <c r="G728" s="16">
        <f>IF(OR(D728="",C728&lt;&gt;"Chi"),"",IFERROR(INDEX('Danh mục'!$C$39:$C$78,MATCH(D728,'Danh mục'!$A$39:$A$78,0))&amp;"",""))</f>
      </c>
      <c r="H728" s="11"/>
      <c r="I728" s="20"/>
      <c r="J728" s="11"/>
      <c r="K728" s="11"/>
      <c r="L728" s="11"/>
    </row>
    <row r="729" spans="1:12" x14ac:dyDescent="0.3">
      <c r="A729" s="31"/>
      <c r="B729" s="32">
        <f>IF(A729="","",DATE(YEAR(A729),MONTH(A729),1))</f>
      </c>
      <c r="C729" s="11"/>
      <c r="D729" s="11"/>
      <c r="E729" s="16">
        <f>IF(OR(D729="",C729&lt;&gt;"Chi"),"",IFERROR(INDEX('Danh mục'!$B$39:$B$78,MATCH(D729,'Danh mục'!$A$39:$A$78,0))&amp;"","?"))</f>
      </c>
      <c r="F729" s="16">
        <f>IF(D729="","",IF(C729="Thu",IFERROR(INDEX('Danh mục'!$B$26:$B$35,MATCH(D729,'Danh mục'!$A$26:$A$35,0))&amp;"","?"),IFERROR(INDEX('Danh mục'!$D$39:$D$78,MATCH(D729,'Danh mục'!$A$39:$A$78,0))&amp;"","?")))</f>
      </c>
      <c r="G729" s="16">
        <f>IF(OR(D729="",C729&lt;&gt;"Chi"),"",IFERROR(INDEX('Danh mục'!$C$39:$C$78,MATCH(D729,'Danh mục'!$A$39:$A$78,0))&amp;"",""))</f>
      </c>
      <c r="H729" s="11"/>
      <c r="I729" s="20"/>
      <c r="J729" s="11"/>
      <c r="K729" s="11"/>
      <c r="L729" s="11"/>
    </row>
    <row r="730" spans="1:12" x14ac:dyDescent="0.3">
      <c r="A730" s="31"/>
      <c r="B730" s="32">
        <f>IF(A730="","",DATE(YEAR(A730),MONTH(A730),1))</f>
      </c>
      <c r="C730" s="11"/>
      <c r="D730" s="11"/>
      <c r="E730" s="16">
        <f>IF(OR(D730="",C730&lt;&gt;"Chi"),"",IFERROR(INDEX('Danh mục'!$B$39:$B$78,MATCH(D730,'Danh mục'!$A$39:$A$78,0))&amp;"","?"))</f>
      </c>
      <c r="F730" s="16">
        <f>IF(D730="","",IF(C730="Thu",IFERROR(INDEX('Danh mục'!$B$26:$B$35,MATCH(D730,'Danh mục'!$A$26:$A$35,0))&amp;"","?"),IFERROR(INDEX('Danh mục'!$D$39:$D$78,MATCH(D730,'Danh mục'!$A$39:$A$78,0))&amp;"","?")))</f>
      </c>
      <c r="G730" s="16">
        <f>IF(OR(D730="",C730&lt;&gt;"Chi"),"",IFERROR(INDEX('Danh mục'!$C$39:$C$78,MATCH(D730,'Danh mục'!$A$39:$A$78,0))&amp;"",""))</f>
      </c>
      <c r="H730" s="11"/>
      <c r="I730" s="20"/>
      <c r="J730" s="11"/>
      <c r="K730" s="11"/>
      <c r="L730" s="11"/>
    </row>
    <row r="731" spans="1:12" x14ac:dyDescent="0.3">
      <c r="A731" s="31"/>
      <c r="B731" s="32">
        <f>IF(A731="","",DATE(YEAR(A731),MONTH(A731),1))</f>
      </c>
      <c r="C731" s="11"/>
      <c r="D731" s="11"/>
      <c r="E731" s="16">
        <f>IF(OR(D731="",C731&lt;&gt;"Chi"),"",IFERROR(INDEX('Danh mục'!$B$39:$B$78,MATCH(D731,'Danh mục'!$A$39:$A$78,0))&amp;"","?"))</f>
      </c>
      <c r="F731" s="16">
        <f>IF(D731="","",IF(C731="Thu",IFERROR(INDEX('Danh mục'!$B$26:$B$35,MATCH(D731,'Danh mục'!$A$26:$A$35,0))&amp;"","?"),IFERROR(INDEX('Danh mục'!$D$39:$D$78,MATCH(D731,'Danh mục'!$A$39:$A$78,0))&amp;"","?")))</f>
      </c>
      <c r="G731" s="16">
        <f>IF(OR(D731="",C731&lt;&gt;"Chi"),"",IFERROR(INDEX('Danh mục'!$C$39:$C$78,MATCH(D731,'Danh mục'!$A$39:$A$78,0))&amp;"",""))</f>
      </c>
      <c r="H731" s="11"/>
      <c r="I731" s="20"/>
      <c r="J731" s="11"/>
      <c r="K731" s="11"/>
      <c r="L731" s="11"/>
    </row>
    <row r="732" spans="1:12" x14ac:dyDescent="0.3">
      <c r="A732" s="31"/>
      <c r="B732" s="32">
        <f>IF(A732="","",DATE(YEAR(A732),MONTH(A732),1))</f>
      </c>
      <c r="C732" s="11"/>
      <c r="D732" s="11"/>
      <c r="E732" s="16">
        <f>IF(OR(D732="",C732&lt;&gt;"Chi"),"",IFERROR(INDEX('Danh mục'!$B$39:$B$78,MATCH(D732,'Danh mục'!$A$39:$A$78,0))&amp;"","?"))</f>
      </c>
      <c r="F732" s="16">
        <f>IF(D732="","",IF(C732="Thu",IFERROR(INDEX('Danh mục'!$B$26:$B$35,MATCH(D732,'Danh mục'!$A$26:$A$35,0))&amp;"","?"),IFERROR(INDEX('Danh mục'!$D$39:$D$78,MATCH(D732,'Danh mục'!$A$39:$A$78,0))&amp;"","?")))</f>
      </c>
      <c r="G732" s="16">
        <f>IF(OR(D732="",C732&lt;&gt;"Chi"),"",IFERROR(INDEX('Danh mục'!$C$39:$C$78,MATCH(D732,'Danh mục'!$A$39:$A$78,0))&amp;"",""))</f>
      </c>
      <c r="H732" s="11"/>
      <c r="I732" s="20"/>
      <c r="J732" s="11"/>
      <c r="K732" s="11"/>
      <c r="L732" s="11"/>
    </row>
    <row r="733" spans="1:12" x14ac:dyDescent="0.3">
      <c r="A733" s="31"/>
      <c r="B733" s="32">
        <f>IF(A733="","",DATE(YEAR(A733),MONTH(A733),1))</f>
      </c>
      <c r="C733" s="11"/>
      <c r="D733" s="11"/>
      <c r="E733" s="16">
        <f>IF(OR(D733="",C733&lt;&gt;"Chi"),"",IFERROR(INDEX('Danh mục'!$B$39:$B$78,MATCH(D733,'Danh mục'!$A$39:$A$78,0))&amp;"","?"))</f>
      </c>
      <c r="F733" s="16">
        <f>IF(D733="","",IF(C733="Thu",IFERROR(INDEX('Danh mục'!$B$26:$B$35,MATCH(D733,'Danh mục'!$A$26:$A$35,0))&amp;"","?"),IFERROR(INDEX('Danh mục'!$D$39:$D$78,MATCH(D733,'Danh mục'!$A$39:$A$78,0))&amp;"","?")))</f>
      </c>
      <c r="G733" s="16">
        <f>IF(OR(D733="",C733&lt;&gt;"Chi"),"",IFERROR(INDEX('Danh mục'!$C$39:$C$78,MATCH(D733,'Danh mục'!$A$39:$A$78,0))&amp;"",""))</f>
      </c>
      <c r="H733" s="11"/>
      <c r="I733" s="20"/>
      <c r="J733" s="11"/>
      <c r="K733" s="11"/>
      <c r="L733" s="11"/>
    </row>
    <row r="734" spans="1:12" x14ac:dyDescent="0.3">
      <c r="A734" s="31"/>
      <c r="B734" s="32">
        <f>IF(A734="","",DATE(YEAR(A734),MONTH(A734),1))</f>
      </c>
      <c r="C734" s="11"/>
      <c r="D734" s="11"/>
      <c r="E734" s="16">
        <f>IF(OR(D734="",C734&lt;&gt;"Chi"),"",IFERROR(INDEX('Danh mục'!$B$39:$B$78,MATCH(D734,'Danh mục'!$A$39:$A$78,0))&amp;"","?"))</f>
      </c>
      <c r="F734" s="16">
        <f>IF(D734="","",IF(C734="Thu",IFERROR(INDEX('Danh mục'!$B$26:$B$35,MATCH(D734,'Danh mục'!$A$26:$A$35,0))&amp;"","?"),IFERROR(INDEX('Danh mục'!$D$39:$D$78,MATCH(D734,'Danh mục'!$A$39:$A$78,0))&amp;"","?")))</f>
      </c>
      <c r="G734" s="16">
        <f>IF(OR(D734="",C734&lt;&gt;"Chi"),"",IFERROR(INDEX('Danh mục'!$C$39:$C$78,MATCH(D734,'Danh mục'!$A$39:$A$78,0))&amp;"",""))</f>
      </c>
      <c r="H734" s="11"/>
      <c r="I734" s="20"/>
      <c r="J734" s="11"/>
      <c r="K734" s="11"/>
      <c r="L734" s="11"/>
    </row>
    <row r="735" spans="1:12" x14ac:dyDescent="0.3">
      <c r="A735" s="31"/>
      <c r="B735" s="32">
        <f>IF(A735="","",DATE(YEAR(A735),MONTH(A735),1))</f>
      </c>
      <c r="C735" s="11"/>
      <c r="D735" s="11"/>
      <c r="E735" s="16">
        <f>IF(OR(D735="",C735&lt;&gt;"Chi"),"",IFERROR(INDEX('Danh mục'!$B$39:$B$78,MATCH(D735,'Danh mục'!$A$39:$A$78,0))&amp;"","?"))</f>
      </c>
      <c r="F735" s="16">
        <f>IF(D735="","",IF(C735="Thu",IFERROR(INDEX('Danh mục'!$B$26:$B$35,MATCH(D735,'Danh mục'!$A$26:$A$35,0))&amp;"","?"),IFERROR(INDEX('Danh mục'!$D$39:$D$78,MATCH(D735,'Danh mục'!$A$39:$A$78,0))&amp;"","?")))</f>
      </c>
      <c r="G735" s="16">
        <f>IF(OR(D735="",C735&lt;&gt;"Chi"),"",IFERROR(INDEX('Danh mục'!$C$39:$C$78,MATCH(D735,'Danh mục'!$A$39:$A$78,0))&amp;"",""))</f>
      </c>
      <c r="H735" s="11"/>
      <c r="I735" s="20"/>
      <c r="J735" s="11"/>
      <c r="K735" s="11"/>
      <c r="L735" s="11"/>
    </row>
    <row r="736" spans="1:12" x14ac:dyDescent="0.3">
      <c r="A736" s="31"/>
      <c r="B736" s="32">
        <f>IF(A736="","",DATE(YEAR(A736),MONTH(A736),1))</f>
      </c>
      <c r="C736" s="11"/>
      <c r="D736" s="11"/>
      <c r="E736" s="16">
        <f>IF(OR(D736="",C736&lt;&gt;"Chi"),"",IFERROR(INDEX('Danh mục'!$B$39:$B$78,MATCH(D736,'Danh mục'!$A$39:$A$78,0))&amp;"","?"))</f>
      </c>
      <c r="F736" s="16">
        <f>IF(D736="","",IF(C736="Thu",IFERROR(INDEX('Danh mục'!$B$26:$B$35,MATCH(D736,'Danh mục'!$A$26:$A$35,0))&amp;"","?"),IFERROR(INDEX('Danh mục'!$D$39:$D$78,MATCH(D736,'Danh mục'!$A$39:$A$78,0))&amp;"","?")))</f>
      </c>
      <c r="G736" s="16">
        <f>IF(OR(D736="",C736&lt;&gt;"Chi"),"",IFERROR(INDEX('Danh mục'!$C$39:$C$78,MATCH(D736,'Danh mục'!$A$39:$A$78,0))&amp;"",""))</f>
      </c>
      <c r="H736" s="11"/>
      <c r="I736" s="20"/>
      <c r="J736" s="11"/>
      <c r="K736" s="11"/>
      <c r="L736" s="11"/>
    </row>
    <row r="737" spans="1:12" x14ac:dyDescent="0.3">
      <c r="A737" s="31"/>
      <c r="B737" s="32">
        <f>IF(A737="","",DATE(YEAR(A737),MONTH(A737),1))</f>
      </c>
      <c r="C737" s="11"/>
      <c r="D737" s="11"/>
      <c r="E737" s="16">
        <f>IF(OR(D737="",C737&lt;&gt;"Chi"),"",IFERROR(INDEX('Danh mục'!$B$39:$B$78,MATCH(D737,'Danh mục'!$A$39:$A$78,0))&amp;"","?"))</f>
      </c>
      <c r="F737" s="16">
        <f>IF(D737="","",IF(C737="Thu",IFERROR(INDEX('Danh mục'!$B$26:$B$35,MATCH(D737,'Danh mục'!$A$26:$A$35,0))&amp;"","?"),IFERROR(INDEX('Danh mục'!$D$39:$D$78,MATCH(D737,'Danh mục'!$A$39:$A$78,0))&amp;"","?")))</f>
      </c>
      <c r="G737" s="16">
        <f>IF(OR(D737="",C737&lt;&gt;"Chi"),"",IFERROR(INDEX('Danh mục'!$C$39:$C$78,MATCH(D737,'Danh mục'!$A$39:$A$78,0))&amp;"",""))</f>
      </c>
      <c r="H737" s="11"/>
      <c r="I737" s="20"/>
      <c r="J737" s="11"/>
      <c r="K737" s="11"/>
      <c r="L737" s="11"/>
    </row>
    <row r="738" spans="1:12" x14ac:dyDescent="0.3">
      <c r="A738" s="31"/>
      <c r="B738" s="32">
        <f>IF(A738="","",DATE(YEAR(A738),MONTH(A738),1))</f>
      </c>
      <c r="C738" s="11"/>
      <c r="D738" s="11"/>
      <c r="E738" s="16">
        <f>IF(OR(D738="",C738&lt;&gt;"Chi"),"",IFERROR(INDEX('Danh mục'!$B$39:$B$78,MATCH(D738,'Danh mục'!$A$39:$A$78,0))&amp;"","?"))</f>
      </c>
      <c r="F738" s="16">
        <f>IF(D738="","",IF(C738="Thu",IFERROR(INDEX('Danh mục'!$B$26:$B$35,MATCH(D738,'Danh mục'!$A$26:$A$35,0))&amp;"","?"),IFERROR(INDEX('Danh mục'!$D$39:$D$78,MATCH(D738,'Danh mục'!$A$39:$A$78,0))&amp;"","?")))</f>
      </c>
      <c r="G738" s="16">
        <f>IF(OR(D738="",C738&lt;&gt;"Chi"),"",IFERROR(INDEX('Danh mục'!$C$39:$C$78,MATCH(D738,'Danh mục'!$A$39:$A$78,0))&amp;"",""))</f>
      </c>
      <c r="H738" s="11"/>
      <c r="I738" s="20"/>
      <c r="J738" s="11"/>
      <c r="K738" s="11"/>
      <c r="L738" s="11"/>
    </row>
    <row r="739" spans="1:12" x14ac:dyDescent="0.3">
      <c r="A739" s="31"/>
      <c r="B739" s="32">
        <f>IF(A739="","",DATE(YEAR(A739),MONTH(A739),1))</f>
      </c>
      <c r="C739" s="11"/>
      <c r="D739" s="11"/>
      <c r="E739" s="16">
        <f>IF(OR(D739="",C739&lt;&gt;"Chi"),"",IFERROR(INDEX('Danh mục'!$B$39:$B$78,MATCH(D739,'Danh mục'!$A$39:$A$78,0))&amp;"","?"))</f>
      </c>
      <c r="F739" s="16">
        <f>IF(D739="","",IF(C739="Thu",IFERROR(INDEX('Danh mục'!$B$26:$B$35,MATCH(D739,'Danh mục'!$A$26:$A$35,0))&amp;"","?"),IFERROR(INDEX('Danh mục'!$D$39:$D$78,MATCH(D739,'Danh mục'!$A$39:$A$78,0))&amp;"","?")))</f>
      </c>
      <c r="G739" s="16">
        <f>IF(OR(D739="",C739&lt;&gt;"Chi"),"",IFERROR(INDEX('Danh mục'!$C$39:$C$78,MATCH(D739,'Danh mục'!$A$39:$A$78,0))&amp;"",""))</f>
      </c>
      <c r="H739" s="11"/>
      <c r="I739" s="20"/>
      <c r="J739" s="11"/>
      <c r="K739" s="11"/>
      <c r="L739" s="11"/>
    </row>
    <row r="740" spans="1:12" x14ac:dyDescent="0.3">
      <c r="A740" s="31"/>
      <c r="B740" s="32">
        <f>IF(A740="","",DATE(YEAR(A740),MONTH(A740),1))</f>
      </c>
      <c r="C740" s="11"/>
      <c r="D740" s="11"/>
      <c r="E740" s="16">
        <f>IF(OR(D740="",C740&lt;&gt;"Chi"),"",IFERROR(INDEX('Danh mục'!$B$39:$B$78,MATCH(D740,'Danh mục'!$A$39:$A$78,0))&amp;"","?"))</f>
      </c>
      <c r="F740" s="16">
        <f>IF(D740="","",IF(C740="Thu",IFERROR(INDEX('Danh mục'!$B$26:$B$35,MATCH(D740,'Danh mục'!$A$26:$A$35,0))&amp;"","?"),IFERROR(INDEX('Danh mục'!$D$39:$D$78,MATCH(D740,'Danh mục'!$A$39:$A$78,0))&amp;"","?")))</f>
      </c>
      <c r="G740" s="16">
        <f>IF(OR(D740="",C740&lt;&gt;"Chi"),"",IFERROR(INDEX('Danh mục'!$C$39:$C$78,MATCH(D740,'Danh mục'!$A$39:$A$78,0))&amp;"",""))</f>
      </c>
      <c r="H740" s="11"/>
      <c r="I740" s="20"/>
      <c r="J740" s="11"/>
      <c r="K740" s="11"/>
      <c r="L740" s="11"/>
    </row>
    <row r="741" spans="1:12" x14ac:dyDescent="0.3">
      <c r="A741" s="31"/>
      <c r="B741" s="32">
        <f>IF(A741="","",DATE(YEAR(A741),MONTH(A741),1))</f>
      </c>
      <c r="C741" s="11"/>
      <c r="D741" s="11"/>
      <c r="E741" s="16">
        <f>IF(OR(D741="",C741&lt;&gt;"Chi"),"",IFERROR(INDEX('Danh mục'!$B$39:$B$78,MATCH(D741,'Danh mục'!$A$39:$A$78,0))&amp;"","?"))</f>
      </c>
      <c r="F741" s="16">
        <f>IF(D741="","",IF(C741="Thu",IFERROR(INDEX('Danh mục'!$B$26:$B$35,MATCH(D741,'Danh mục'!$A$26:$A$35,0))&amp;"","?"),IFERROR(INDEX('Danh mục'!$D$39:$D$78,MATCH(D741,'Danh mục'!$A$39:$A$78,0))&amp;"","?")))</f>
      </c>
      <c r="G741" s="16">
        <f>IF(OR(D741="",C741&lt;&gt;"Chi"),"",IFERROR(INDEX('Danh mục'!$C$39:$C$78,MATCH(D741,'Danh mục'!$A$39:$A$78,0))&amp;"",""))</f>
      </c>
      <c r="H741" s="11"/>
      <c r="I741" s="20"/>
      <c r="J741" s="11"/>
      <c r="K741" s="11"/>
      <c r="L741" s="11"/>
    </row>
    <row r="742" spans="1:12" x14ac:dyDescent="0.3">
      <c r="A742" s="31"/>
      <c r="B742" s="32">
        <f>IF(A742="","",DATE(YEAR(A742),MONTH(A742),1))</f>
      </c>
      <c r="C742" s="11"/>
      <c r="D742" s="11"/>
      <c r="E742" s="16">
        <f>IF(OR(D742="",C742&lt;&gt;"Chi"),"",IFERROR(INDEX('Danh mục'!$B$39:$B$78,MATCH(D742,'Danh mục'!$A$39:$A$78,0))&amp;"","?"))</f>
      </c>
      <c r="F742" s="16">
        <f>IF(D742="","",IF(C742="Thu",IFERROR(INDEX('Danh mục'!$B$26:$B$35,MATCH(D742,'Danh mục'!$A$26:$A$35,0))&amp;"","?"),IFERROR(INDEX('Danh mục'!$D$39:$D$78,MATCH(D742,'Danh mục'!$A$39:$A$78,0))&amp;"","?")))</f>
      </c>
      <c r="G742" s="16">
        <f>IF(OR(D742="",C742&lt;&gt;"Chi"),"",IFERROR(INDEX('Danh mục'!$C$39:$C$78,MATCH(D742,'Danh mục'!$A$39:$A$78,0))&amp;"",""))</f>
      </c>
      <c r="H742" s="11"/>
      <c r="I742" s="20"/>
      <c r="J742" s="11"/>
      <c r="K742" s="11"/>
      <c r="L742" s="11"/>
    </row>
    <row r="743" spans="1:12" x14ac:dyDescent="0.3">
      <c r="A743" s="31"/>
      <c r="B743" s="32">
        <f>IF(A743="","",DATE(YEAR(A743),MONTH(A743),1))</f>
      </c>
      <c r="C743" s="11"/>
      <c r="D743" s="11"/>
      <c r="E743" s="16">
        <f>IF(OR(D743="",C743&lt;&gt;"Chi"),"",IFERROR(INDEX('Danh mục'!$B$39:$B$78,MATCH(D743,'Danh mục'!$A$39:$A$78,0))&amp;"","?"))</f>
      </c>
      <c r="F743" s="16">
        <f>IF(D743="","",IF(C743="Thu",IFERROR(INDEX('Danh mục'!$B$26:$B$35,MATCH(D743,'Danh mục'!$A$26:$A$35,0))&amp;"","?"),IFERROR(INDEX('Danh mục'!$D$39:$D$78,MATCH(D743,'Danh mục'!$A$39:$A$78,0))&amp;"","?")))</f>
      </c>
      <c r="G743" s="16">
        <f>IF(OR(D743="",C743&lt;&gt;"Chi"),"",IFERROR(INDEX('Danh mục'!$C$39:$C$78,MATCH(D743,'Danh mục'!$A$39:$A$78,0))&amp;"",""))</f>
      </c>
      <c r="H743" s="11"/>
      <c r="I743" s="20"/>
      <c r="J743" s="11"/>
      <c r="K743" s="11"/>
      <c r="L743" s="11"/>
    </row>
    <row r="744" spans="1:12" x14ac:dyDescent="0.3">
      <c r="A744" s="31"/>
      <c r="B744" s="32">
        <f>IF(A744="","",DATE(YEAR(A744),MONTH(A744),1))</f>
      </c>
      <c r="C744" s="11"/>
      <c r="D744" s="11"/>
      <c r="E744" s="16">
        <f>IF(OR(D744="",C744&lt;&gt;"Chi"),"",IFERROR(INDEX('Danh mục'!$B$39:$B$78,MATCH(D744,'Danh mục'!$A$39:$A$78,0))&amp;"","?"))</f>
      </c>
      <c r="F744" s="16">
        <f>IF(D744="","",IF(C744="Thu",IFERROR(INDEX('Danh mục'!$B$26:$B$35,MATCH(D744,'Danh mục'!$A$26:$A$35,0))&amp;"","?"),IFERROR(INDEX('Danh mục'!$D$39:$D$78,MATCH(D744,'Danh mục'!$A$39:$A$78,0))&amp;"","?")))</f>
      </c>
      <c r="G744" s="16">
        <f>IF(OR(D744="",C744&lt;&gt;"Chi"),"",IFERROR(INDEX('Danh mục'!$C$39:$C$78,MATCH(D744,'Danh mục'!$A$39:$A$78,0))&amp;"",""))</f>
      </c>
      <c r="H744" s="11"/>
      <c r="I744" s="20"/>
      <c r="J744" s="11"/>
      <c r="K744" s="11"/>
      <c r="L744" s="11"/>
    </row>
    <row r="745" spans="1:12" x14ac:dyDescent="0.3">
      <c r="A745" s="31"/>
      <c r="B745" s="32">
        <f>IF(A745="","",DATE(YEAR(A745),MONTH(A745),1))</f>
      </c>
      <c r="C745" s="11"/>
      <c r="D745" s="11"/>
      <c r="E745" s="16">
        <f>IF(OR(D745="",C745&lt;&gt;"Chi"),"",IFERROR(INDEX('Danh mục'!$B$39:$B$78,MATCH(D745,'Danh mục'!$A$39:$A$78,0))&amp;"","?"))</f>
      </c>
      <c r="F745" s="16">
        <f>IF(D745="","",IF(C745="Thu",IFERROR(INDEX('Danh mục'!$B$26:$B$35,MATCH(D745,'Danh mục'!$A$26:$A$35,0))&amp;"","?"),IFERROR(INDEX('Danh mục'!$D$39:$D$78,MATCH(D745,'Danh mục'!$A$39:$A$78,0))&amp;"","?")))</f>
      </c>
      <c r="G745" s="16">
        <f>IF(OR(D745="",C745&lt;&gt;"Chi"),"",IFERROR(INDEX('Danh mục'!$C$39:$C$78,MATCH(D745,'Danh mục'!$A$39:$A$78,0))&amp;"",""))</f>
      </c>
      <c r="H745" s="11"/>
      <c r="I745" s="20"/>
      <c r="J745" s="11"/>
      <c r="K745" s="11"/>
      <c r="L745" s="11"/>
    </row>
    <row r="746" spans="1:12" x14ac:dyDescent="0.3">
      <c r="A746" s="31"/>
      <c r="B746" s="32">
        <f>IF(A746="","",DATE(YEAR(A746),MONTH(A746),1))</f>
      </c>
      <c r="C746" s="11"/>
      <c r="D746" s="11"/>
      <c r="E746" s="16">
        <f>IF(OR(D746="",C746&lt;&gt;"Chi"),"",IFERROR(INDEX('Danh mục'!$B$39:$B$78,MATCH(D746,'Danh mục'!$A$39:$A$78,0))&amp;"","?"))</f>
      </c>
      <c r="F746" s="16">
        <f>IF(D746="","",IF(C746="Thu",IFERROR(INDEX('Danh mục'!$B$26:$B$35,MATCH(D746,'Danh mục'!$A$26:$A$35,0))&amp;"","?"),IFERROR(INDEX('Danh mục'!$D$39:$D$78,MATCH(D746,'Danh mục'!$A$39:$A$78,0))&amp;"","?")))</f>
      </c>
      <c r="G746" s="16">
        <f>IF(OR(D746="",C746&lt;&gt;"Chi"),"",IFERROR(INDEX('Danh mục'!$C$39:$C$78,MATCH(D746,'Danh mục'!$A$39:$A$78,0))&amp;"",""))</f>
      </c>
      <c r="H746" s="11"/>
      <c r="I746" s="20"/>
      <c r="J746" s="11"/>
      <c r="K746" s="11"/>
      <c r="L746" s="11"/>
    </row>
    <row r="747" spans="1:12" x14ac:dyDescent="0.3">
      <c r="A747" s="31"/>
      <c r="B747" s="32">
        <f>IF(A747="","",DATE(YEAR(A747),MONTH(A747),1))</f>
      </c>
      <c r="C747" s="11"/>
      <c r="D747" s="11"/>
      <c r="E747" s="16">
        <f>IF(OR(D747="",C747&lt;&gt;"Chi"),"",IFERROR(INDEX('Danh mục'!$B$39:$B$78,MATCH(D747,'Danh mục'!$A$39:$A$78,0))&amp;"","?"))</f>
      </c>
      <c r="F747" s="16">
        <f>IF(D747="","",IF(C747="Thu",IFERROR(INDEX('Danh mục'!$B$26:$B$35,MATCH(D747,'Danh mục'!$A$26:$A$35,0))&amp;"","?"),IFERROR(INDEX('Danh mục'!$D$39:$D$78,MATCH(D747,'Danh mục'!$A$39:$A$78,0))&amp;"","?")))</f>
      </c>
      <c r="G747" s="16">
        <f>IF(OR(D747="",C747&lt;&gt;"Chi"),"",IFERROR(INDEX('Danh mục'!$C$39:$C$78,MATCH(D747,'Danh mục'!$A$39:$A$78,0))&amp;"",""))</f>
      </c>
      <c r="H747" s="11"/>
      <c r="I747" s="20"/>
      <c r="J747" s="11"/>
      <c r="K747" s="11"/>
      <c r="L747" s="11"/>
    </row>
    <row r="748" spans="1:12" x14ac:dyDescent="0.3">
      <c r="A748" s="31"/>
      <c r="B748" s="32">
        <f>IF(A748="","",DATE(YEAR(A748),MONTH(A748),1))</f>
      </c>
      <c r="C748" s="11"/>
      <c r="D748" s="11"/>
      <c r="E748" s="16">
        <f>IF(OR(D748="",C748&lt;&gt;"Chi"),"",IFERROR(INDEX('Danh mục'!$B$39:$B$78,MATCH(D748,'Danh mục'!$A$39:$A$78,0))&amp;"","?"))</f>
      </c>
      <c r="F748" s="16">
        <f>IF(D748="","",IF(C748="Thu",IFERROR(INDEX('Danh mục'!$B$26:$B$35,MATCH(D748,'Danh mục'!$A$26:$A$35,0))&amp;"","?"),IFERROR(INDEX('Danh mục'!$D$39:$D$78,MATCH(D748,'Danh mục'!$A$39:$A$78,0))&amp;"","?")))</f>
      </c>
      <c r="G748" s="16">
        <f>IF(OR(D748="",C748&lt;&gt;"Chi"),"",IFERROR(INDEX('Danh mục'!$C$39:$C$78,MATCH(D748,'Danh mục'!$A$39:$A$78,0))&amp;"",""))</f>
      </c>
      <c r="H748" s="11"/>
      <c r="I748" s="20"/>
      <c r="J748" s="11"/>
      <c r="K748" s="11"/>
      <c r="L748" s="11"/>
    </row>
    <row r="749" spans="1:12" x14ac:dyDescent="0.3">
      <c r="A749" s="31"/>
      <c r="B749" s="32">
        <f>IF(A749="","",DATE(YEAR(A749),MONTH(A749),1))</f>
      </c>
      <c r="C749" s="11"/>
      <c r="D749" s="11"/>
      <c r="E749" s="16">
        <f>IF(OR(D749="",C749&lt;&gt;"Chi"),"",IFERROR(INDEX('Danh mục'!$B$39:$B$78,MATCH(D749,'Danh mục'!$A$39:$A$78,0))&amp;"","?"))</f>
      </c>
      <c r="F749" s="16">
        <f>IF(D749="","",IF(C749="Thu",IFERROR(INDEX('Danh mục'!$B$26:$B$35,MATCH(D749,'Danh mục'!$A$26:$A$35,0))&amp;"","?"),IFERROR(INDEX('Danh mục'!$D$39:$D$78,MATCH(D749,'Danh mục'!$A$39:$A$78,0))&amp;"","?")))</f>
      </c>
      <c r="G749" s="16">
        <f>IF(OR(D749="",C749&lt;&gt;"Chi"),"",IFERROR(INDEX('Danh mục'!$C$39:$C$78,MATCH(D749,'Danh mục'!$A$39:$A$78,0))&amp;"",""))</f>
      </c>
      <c r="H749" s="11"/>
      <c r="I749" s="20"/>
      <c r="J749" s="11"/>
      <c r="K749" s="11"/>
      <c r="L749" s="11"/>
    </row>
    <row r="750" spans="1:12" x14ac:dyDescent="0.3">
      <c r="A750" s="31"/>
      <c r="B750" s="32">
        <f>IF(A750="","",DATE(YEAR(A750),MONTH(A750),1))</f>
      </c>
      <c r="C750" s="11"/>
      <c r="D750" s="11"/>
      <c r="E750" s="16">
        <f>IF(OR(D750="",C750&lt;&gt;"Chi"),"",IFERROR(INDEX('Danh mục'!$B$39:$B$78,MATCH(D750,'Danh mục'!$A$39:$A$78,0))&amp;"","?"))</f>
      </c>
      <c r="F750" s="16">
        <f>IF(D750="","",IF(C750="Thu",IFERROR(INDEX('Danh mục'!$B$26:$B$35,MATCH(D750,'Danh mục'!$A$26:$A$35,0))&amp;"","?"),IFERROR(INDEX('Danh mục'!$D$39:$D$78,MATCH(D750,'Danh mục'!$A$39:$A$78,0))&amp;"","?")))</f>
      </c>
      <c r="G750" s="16">
        <f>IF(OR(D750="",C750&lt;&gt;"Chi"),"",IFERROR(INDEX('Danh mục'!$C$39:$C$78,MATCH(D750,'Danh mục'!$A$39:$A$78,0))&amp;"",""))</f>
      </c>
      <c r="H750" s="11"/>
      <c r="I750" s="20"/>
      <c r="J750" s="11"/>
      <c r="K750" s="11"/>
      <c r="L750" s="11"/>
    </row>
    <row r="751" spans="1:12" x14ac:dyDescent="0.3">
      <c r="A751" s="31"/>
      <c r="B751" s="32">
        <f>IF(A751="","",DATE(YEAR(A751),MONTH(A751),1))</f>
      </c>
      <c r="C751" s="11"/>
      <c r="D751" s="11"/>
      <c r="E751" s="16">
        <f>IF(OR(D751="",C751&lt;&gt;"Chi"),"",IFERROR(INDEX('Danh mục'!$B$39:$B$78,MATCH(D751,'Danh mục'!$A$39:$A$78,0))&amp;"","?"))</f>
      </c>
      <c r="F751" s="16">
        <f>IF(D751="","",IF(C751="Thu",IFERROR(INDEX('Danh mục'!$B$26:$B$35,MATCH(D751,'Danh mục'!$A$26:$A$35,0))&amp;"","?"),IFERROR(INDEX('Danh mục'!$D$39:$D$78,MATCH(D751,'Danh mục'!$A$39:$A$78,0))&amp;"","?")))</f>
      </c>
      <c r="G751" s="16">
        <f>IF(OR(D751="",C751&lt;&gt;"Chi"),"",IFERROR(INDEX('Danh mục'!$C$39:$C$78,MATCH(D751,'Danh mục'!$A$39:$A$78,0))&amp;"",""))</f>
      </c>
      <c r="H751" s="11"/>
      <c r="I751" s="20"/>
      <c r="J751" s="11"/>
      <c r="K751" s="11"/>
      <c r="L751" s="11"/>
    </row>
    <row r="752" spans="1:12" x14ac:dyDescent="0.3">
      <c r="A752" s="31"/>
      <c r="B752" s="32">
        <f>IF(A752="","",DATE(YEAR(A752),MONTH(A752),1))</f>
      </c>
      <c r="C752" s="11"/>
      <c r="D752" s="11"/>
      <c r="E752" s="16">
        <f>IF(OR(D752="",C752&lt;&gt;"Chi"),"",IFERROR(INDEX('Danh mục'!$B$39:$B$78,MATCH(D752,'Danh mục'!$A$39:$A$78,0))&amp;"","?"))</f>
      </c>
      <c r="F752" s="16">
        <f>IF(D752="","",IF(C752="Thu",IFERROR(INDEX('Danh mục'!$B$26:$B$35,MATCH(D752,'Danh mục'!$A$26:$A$35,0))&amp;"","?"),IFERROR(INDEX('Danh mục'!$D$39:$D$78,MATCH(D752,'Danh mục'!$A$39:$A$78,0))&amp;"","?")))</f>
      </c>
      <c r="G752" s="16">
        <f>IF(OR(D752="",C752&lt;&gt;"Chi"),"",IFERROR(INDEX('Danh mục'!$C$39:$C$78,MATCH(D752,'Danh mục'!$A$39:$A$78,0))&amp;"",""))</f>
      </c>
      <c r="H752" s="11"/>
      <c r="I752" s="20"/>
      <c r="J752" s="11"/>
      <c r="K752" s="11"/>
      <c r="L752" s="11"/>
    </row>
    <row r="753" spans="1:12" x14ac:dyDescent="0.3">
      <c r="A753" s="31"/>
      <c r="B753" s="32">
        <f>IF(A753="","",DATE(YEAR(A753),MONTH(A753),1))</f>
      </c>
      <c r="C753" s="11"/>
      <c r="D753" s="11"/>
      <c r="E753" s="16">
        <f>IF(OR(D753="",C753&lt;&gt;"Chi"),"",IFERROR(INDEX('Danh mục'!$B$39:$B$78,MATCH(D753,'Danh mục'!$A$39:$A$78,0))&amp;"","?"))</f>
      </c>
      <c r="F753" s="16">
        <f>IF(D753="","",IF(C753="Thu",IFERROR(INDEX('Danh mục'!$B$26:$B$35,MATCH(D753,'Danh mục'!$A$26:$A$35,0))&amp;"","?"),IFERROR(INDEX('Danh mục'!$D$39:$D$78,MATCH(D753,'Danh mục'!$A$39:$A$78,0))&amp;"","?")))</f>
      </c>
      <c r="G753" s="16">
        <f>IF(OR(D753="",C753&lt;&gt;"Chi"),"",IFERROR(INDEX('Danh mục'!$C$39:$C$78,MATCH(D753,'Danh mục'!$A$39:$A$78,0))&amp;"",""))</f>
      </c>
      <c r="H753" s="11"/>
      <c r="I753" s="20"/>
      <c r="J753" s="11"/>
      <c r="K753" s="11"/>
      <c r="L753" s="11"/>
    </row>
    <row r="754" spans="1:12" x14ac:dyDescent="0.3">
      <c r="A754" s="31"/>
      <c r="B754" s="32">
        <f>IF(A754="","",DATE(YEAR(A754),MONTH(A754),1))</f>
      </c>
      <c r="C754" s="11"/>
      <c r="D754" s="11"/>
      <c r="E754" s="16">
        <f>IF(OR(D754="",C754&lt;&gt;"Chi"),"",IFERROR(INDEX('Danh mục'!$B$39:$B$78,MATCH(D754,'Danh mục'!$A$39:$A$78,0))&amp;"","?"))</f>
      </c>
      <c r="F754" s="16">
        <f>IF(D754="","",IF(C754="Thu",IFERROR(INDEX('Danh mục'!$B$26:$B$35,MATCH(D754,'Danh mục'!$A$26:$A$35,0))&amp;"","?"),IFERROR(INDEX('Danh mục'!$D$39:$D$78,MATCH(D754,'Danh mục'!$A$39:$A$78,0))&amp;"","?")))</f>
      </c>
      <c r="G754" s="16">
        <f>IF(OR(D754="",C754&lt;&gt;"Chi"),"",IFERROR(INDEX('Danh mục'!$C$39:$C$78,MATCH(D754,'Danh mục'!$A$39:$A$78,0))&amp;"",""))</f>
      </c>
      <c r="H754" s="11"/>
      <c r="I754" s="20"/>
      <c r="J754" s="11"/>
      <c r="K754" s="11"/>
      <c r="L754" s="11"/>
    </row>
    <row r="755" spans="1:12" x14ac:dyDescent="0.3">
      <c r="A755" s="31"/>
      <c r="B755" s="32">
        <f>IF(A755="","",DATE(YEAR(A755),MONTH(A755),1))</f>
      </c>
      <c r="C755" s="11"/>
      <c r="D755" s="11"/>
      <c r="E755" s="16">
        <f>IF(OR(D755="",C755&lt;&gt;"Chi"),"",IFERROR(INDEX('Danh mục'!$B$39:$B$78,MATCH(D755,'Danh mục'!$A$39:$A$78,0))&amp;"","?"))</f>
      </c>
      <c r="F755" s="16">
        <f>IF(D755="","",IF(C755="Thu",IFERROR(INDEX('Danh mục'!$B$26:$B$35,MATCH(D755,'Danh mục'!$A$26:$A$35,0))&amp;"","?"),IFERROR(INDEX('Danh mục'!$D$39:$D$78,MATCH(D755,'Danh mục'!$A$39:$A$78,0))&amp;"","?")))</f>
      </c>
      <c r="G755" s="16">
        <f>IF(OR(D755="",C755&lt;&gt;"Chi"),"",IFERROR(INDEX('Danh mục'!$C$39:$C$78,MATCH(D755,'Danh mục'!$A$39:$A$78,0))&amp;"",""))</f>
      </c>
      <c r="H755" s="11"/>
      <c r="I755" s="20"/>
      <c r="J755" s="11"/>
      <c r="K755" s="11"/>
      <c r="L755" s="11"/>
    </row>
    <row r="756" spans="1:12" x14ac:dyDescent="0.3">
      <c r="A756" s="31"/>
      <c r="B756" s="32">
        <f>IF(A756="","",DATE(YEAR(A756),MONTH(A756),1))</f>
      </c>
      <c r="C756" s="11"/>
      <c r="D756" s="11"/>
      <c r="E756" s="16">
        <f>IF(OR(D756="",C756&lt;&gt;"Chi"),"",IFERROR(INDEX('Danh mục'!$B$39:$B$78,MATCH(D756,'Danh mục'!$A$39:$A$78,0))&amp;"","?"))</f>
      </c>
      <c r="F756" s="16">
        <f>IF(D756="","",IF(C756="Thu",IFERROR(INDEX('Danh mục'!$B$26:$B$35,MATCH(D756,'Danh mục'!$A$26:$A$35,0))&amp;"","?"),IFERROR(INDEX('Danh mục'!$D$39:$D$78,MATCH(D756,'Danh mục'!$A$39:$A$78,0))&amp;"","?")))</f>
      </c>
      <c r="G756" s="16">
        <f>IF(OR(D756="",C756&lt;&gt;"Chi"),"",IFERROR(INDEX('Danh mục'!$C$39:$C$78,MATCH(D756,'Danh mục'!$A$39:$A$78,0))&amp;"",""))</f>
      </c>
      <c r="H756" s="11"/>
      <c r="I756" s="20"/>
      <c r="J756" s="11"/>
      <c r="K756" s="11"/>
      <c r="L756" s="11"/>
    </row>
    <row r="757" spans="1:12" x14ac:dyDescent="0.3">
      <c r="A757" s="31"/>
      <c r="B757" s="32">
        <f>IF(A757="","",DATE(YEAR(A757),MONTH(A757),1))</f>
      </c>
      <c r="C757" s="11"/>
      <c r="D757" s="11"/>
      <c r="E757" s="16">
        <f>IF(OR(D757="",C757&lt;&gt;"Chi"),"",IFERROR(INDEX('Danh mục'!$B$39:$B$78,MATCH(D757,'Danh mục'!$A$39:$A$78,0))&amp;"","?"))</f>
      </c>
      <c r="F757" s="16">
        <f>IF(D757="","",IF(C757="Thu",IFERROR(INDEX('Danh mục'!$B$26:$B$35,MATCH(D757,'Danh mục'!$A$26:$A$35,0))&amp;"","?"),IFERROR(INDEX('Danh mục'!$D$39:$D$78,MATCH(D757,'Danh mục'!$A$39:$A$78,0))&amp;"","?")))</f>
      </c>
      <c r="G757" s="16">
        <f>IF(OR(D757="",C757&lt;&gt;"Chi"),"",IFERROR(INDEX('Danh mục'!$C$39:$C$78,MATCH(D757,'Danh mục'!$A$39:$A$78,0))&amp;"",""))</f>
      </c>
      <c r="H757" s="11"/>
      <c r="I757" s="20"/>
      <c r="J757" s="11"/>
      <c r="K757" s="11"/>
      <c r="L757" s="11"/>
    </row>
    <row r="758" spans="1:12" x14ac:dyDescent="0.3">
      <c r="A758" s="31"/>
      <c r="B758" s="32">
        <f>IF(A758="","",DATE(YEAR(A758),MONTH(A758),1))</f>
      </c>
      <c r="C758" s="11"/>
      <c r="D758" s="11"/>
      <c r="E758" s="16">
        <f>IF(OR(D758="",C758&lt;&gt;"Chi"),"",IFERROR(INDEX('Danh mục'!$B$39:$B$78,MATCH(D758,'Danh mục'!$A$39:$A$78,0))&amp;"","?"))</f>
      </c>
      <c r="F758" s="16">
        <f>IF(D758="","",IF(C758="Thu",IFERROR(INDEX('Danh mục'!$B$26:$B$35,MATCH(D758,'Danh mục'!$A$26:$A$35,0))&amp;"","?"),IFERROR(INDEX('Danh mục'!$D$39:$D$78,MATCH(D758,'Danh mục'!$A$39:$A$78,0))&amp;"","?")))</f>
      </c>
      <c r="G758" s="16">
        <f>IF(OR(D758="",C758&lt;&gt;"Chi"),"",IFERROR(INDEX('Danh mục'!$C$39:$C$78,MATCH(D758,'Danh mục'!$A$39:$A$78,0))&amp;"",""))</f>
      </c>
      <c r="H758" s="11"/>
      <c r="I758" s="20"/>
      <c r="J758" s="11"/>
      <c r="K758" s="11"/>
      <c r="L758" s="11"/>
    </row>
    <row r="759" spans="1:12" x14ac:dyDescent="0.3">
      <c r="A759" s="31"/>
      <c r="B759" s="32">
        <f>IF(A759="","",DATE(YEAR(A759),MONTH(A759),1))</f>
      </c>
      <c r="C759" s="11"/>
      <c r="D759" s="11"/>
      <c r="E759" s="16">
        <f>IF(OR(D759="",C759&lt;&gt;"Chi"),"",IFERROR(INDEX('Danh mục'!$B$39:$B$78,MATCH(D759,'Danh mục'!$A$39:$A$78,0))&amp;"","?"))</f>
      </c>
      <c r="F759" s="16">
        <f>IF(D759="","",IF(C759="Thu",IFERROR(INDEX('Danh mục'!$B$26:$B$35,MATCH(D759,'Danh mục'!$A$26:$A$35,0))&amp;"","?"),IFERROR(INDEX('Danh mục'!$D$39:$D$78,MATCH(D759,'Danh mục'!$A$39:$A$78,0))&amp;"","?")))</f>
      </c>
      <c r="G759" s="16">
        <f>IF(OR(D759="",C759&lt;&gt;"Chi"),"",IFERROR(INDEX('Danh mục'!$C$39:$C$78,MATCH(D759,'Danh mục'!$A$39:$A$78,0))&amp;"",""))</f>
      </c>
      <c r="H759" s="11"/>
      <c r="I759" s="20"/>
      <c r="J759" s="11"/>
      <c r="K759" s="11"/>
      <c r="L759" s="11"/>
    </row>
    <row r="760" spans="1:12" x14ac:dyDescent="0.3">
      <c r="A760" s="31"/>
      <c r="B760" s="32">
        <f>IF(A760="","",DATE(YEAR(A760),MONTH(A760),1))</f>
      </c>
      <c r="C760" s="11"/>
      <c r="D760" s="11"/>
      <c r="E760" s="16">
        <f>IF(OR(D760="",C760&lt;&gt;"Chi"),"",IFERROR(INDEX('Danh mục'!$B$39:$B$78,MATCH(D760,'Danh mục'!$A$39:$A$78,0))&amp;"","?"))</f>
      </c>
      <c r="F760" s="16">
        <f>IF(D760="","",IF(C760="Thu",IFERROR(INDEX('Danh mục'!$B$26:$B$35,MATCH(D760,'Danh mục'!$A$26:$A$35,0))&amp;"","?"),IFERROR(INDEX('Danh mục'!$D$39:$D$78,MATCH(D760,'Danh mục'!$A$39:$A$78,0))&amp;"","?")))</f>
      </c>
      <c r="G760" s="16">
        <f>IF(OR(D760="",C760&lt;&gt;"Chi"),"",IFERROR(INDEX('Danh mục'!$C$39:$C$78,MATCH(D760,'Danh mục'!$A$39:$A$78,0))&amp;"",""))</f>
      </c>
      <c r="H760" s="11"/>
      <c r="I760" s="20"/>
      <c r="J760" s="11"/>
      <c r="K760" s="11"/>
      <c r="L760" s="11"/>
    </row>
    <row r="761" spans="1:12" x14ac:dyDescent="0.3">
      <c r="A761" s="31"/>
      <c r="B761" s="32">
        <f>IF(A761="","",DATE(YEAR(A761),MONTH(A761),1))</f>
      </c>
      <c r="C761" s="11"/>
      <c r="D761" s="11"/>
      <c r="E761" s="16">
        <f>IF(OR(D761="",C761&lt;&gt;"Chi"),"",IFERROR(INDEX('Danh mục'!$B$39:$B$78,MATCH(D761,'Danh mục'!$A$39:$A$78,0))&amp;"","?"))</f>
      </c>
      <c r="F761" s="16">
        <f>IF(D761="","",IF(C761="Thu",IFERROR(INDEX('Danh mục'!$B$26:$B$35,MATCH(D761,'Danh mục'!$A$26:$A$35,0))&amp;"","?"),IFERROR(INDEX('Danh mục'!$D$39:$D$78,MATCH(D761,'Danh mục'!$A$39:$A$78,0))&amp;"","?")))</f>
      </c>
      <c r="G761" s="16">
        <f>IF(OR(D761="",C761&lt;&gt;"Chi"),"",IFERROR(INDEX('Danh mục'!$C$39:$C$78,MATCH(D761,'Danh mục'!$A$39:$A$78,0))&amp;"",""))</f>
      </c>
      <c r="H761" s="11"/>
      <c r="I761" s="20"/>
      <c r="J761" s="11"/>
      <c r="K761" s="11"/>
      <c r="L761" s="11"/>
    </row>
    <row r="762" spans="1:12" x14ac:dyDescent="0.3">
      <c r="A762" s="31"/>
      <c r="B762" s="32">
        <f>IF(A762="","",DATE(YEAR(A762),MONTH(A762),1))</f>
      </c>
      <c r="C762" s="11"/>
      <c r="D762" s="11"/>
      <c r="E762" s="16">
        <f>IF(OR(D762="",C762&lt;&gt;"Chi"),"",IFERROR(INDEX('Danh mục'!$B$39:$B$78,MATCH(D762,'Danh mục'!$A$39:$A$78,0))&amp;"","?"))</f>
      </c>
      <c r="F762" s="16">
        <f>IF(D762="","",IF(C762="Thu",IFERROR(INDEX('Danh mục'!$B$26:$B$35,MATCH(D762,'Danh mục'!$A$26:$A$35,0))&amp;"","?"),IFERROR(INDEX('Danh mục'!$D$39:$D$78,MATCH(D762,'Danh mục'!$A$39:$A$78,0))&amp;"","?")))</f>
      </c>
      <c r="G762" s="16">
        <f>IF(OR(D762="",C762&lt;&gt;"Chi"),"",IFERROR(INDEX('Danh mục'!$C$39:$C$78,MATCH(D762,'Danh mục'!$A$39:$A$78,0))&amp;"",""))</f>
      </c>
      <c r="H762" s="11"/>
      <c r="I762" s="20"/>
      <c r="J762" s="11"/>
      <c r="K762" s="11"/>
      <c r="L762" s="11"/>
    </row>
    <row r="763" spans="1:12" x14ac:dyDescent="0.3">
      <c r="A763" s="31"/>
      <c r="B763" s="32">
        <f>IF(A763="","",DATE(YEAR(A763),MONTH(A763),1))</f>
      </c>
      <c r="C763" s="11"/>
      <c r="D763" s="11"/>
      <c r="E763" s="16">
        <f>IF(OR(D763="",C763&lt;&gt;"Chi"),"",IFERROR(INDEX('Danh mục'!$B$39:$B$78,MATCH(D763,'Danh mục'!$A$39:$A$78,0))&amp;"","?"))</f>
      </c>
      <c r="F763" s="16">
        <f>IF(D763="","",IF(C763="Thu",IFERROR(INDEX('Danh mục'!$B$26:$B$35,MATCH(D763,'Danh mục'!$A$26:$A$35,0))&amp;"","?"),IFERROR(INDEX('Danh mục'!$D$39:$D$78,MATCH(D763,'Danh mục'!$A$39:$A$78,0))&amp;"","?")))</f>
      </c>
      <c r="G763" s="16">
        <f>IF(OR(D763="",C763&lt;&gt;"Chi"),"",IFERROR(INDEX('Danh mục'!$C$39:$C$78,MATCH(D763,'Danh mục'!$A$39:$A$78,0))&amp;"",""))</f>
      </c>
      <c r="H763" s="11"/>
      <c r="I763" s="20"/>
      <c r="J763" s="11"/>
      <c r="K763" s="11"/>
      <c r="L763" s="11"/>
    </row>
    <row r="764" spans="1:12" x14ac:dyDescent="0.3">
      <c r="A764" s="31"/>
      <c r="B764" s="32">
        <f>IF(A764="","",DATE(YEAR(A764),MONTH(A764),1))</f>
      </c>
      <c r="C764" s="11"/>
      <c r="D764" s="11"/>
      <c r="E764" s="16">
        <f>IF(OR(D764="",C764&lt;&gt;"Chi"),"",IFERROR(INDEX('Danh mục'!$B$39:$B$78,MATCH(D764,'Danh mục'!$A$39:$A$78,0))&amp;"","?"))</f>
      </c>
      <c r="F764" s="16">
        <f>IF(D764="","",IF(C764="Thu",IFERROR(INDEX('Danh mục'!$B$26:$B$35,MATCH(D764,'Danh mục'!$A$26:$A$35,0))&amp;"","?"),IFERROR(INDEX('Danh mục'!$D$39:$D$78,MATCH(D764,'Danh mục'!$A$39:$A$78,0))&amp;"","?")))</f>
      </c>
      <c r="G764" s="16">
        <f>IF(OR(D764="",C764&lt;&gt;"Chi"),"",IFERROR(INDEX('Danh mục'!$C$39:$C$78,MATCH(D764,'Danh mục'!$A$39:$A$78,0))&amp;"",""))</f>
      </c>
      <c r="H764" s="11"/>
      <c r="I764" s="20"/>
      <c r="J764" s="11"/>
      <c r="K764" s="11"/>
      <c r="L764" s="11"/>
    </row>
    <row r="765" spans="1:12" x14ac:dyDescent="0.3">
      <c r="A765" s="31"/>
      <c r="B765" s="32">
        <f>IF(A765="","",DATE(YEAR(A765),MONTH(A765),1))</f>
      </c>
      <c r="C765" s="11"/>
      <c r="D765" s="11"/>
      <c r="E765" s="16">
        <f>IF(OR(D765="",C765&lt;&gt;"Chi"),"",IFERROR(INDEX('Danh mục'!$B$39:$B$78,MATCH(D765,'Danh mục'!$A$39:$A$78,0))&amp;"","?"))</f>
      </c>
      <c r="F765" s="16">
        <f>IF(D765="","",IF(C765="Thu",IFERROR(INDEX('Danh mục'!$B$26:$B$35,MATCH(D765,'Danh mục'!$A$26:$A$35,0))&amp;"","?"),IFERROR(INDEX('Danh mục'!$D$39:$D$78,MATCH(D765,'Danh mục'!$A$39:$A$78,0))&amp;"","?")))</f>
      </c>
      <c r="G765" s="16">
        <f>IF(OR(D765="",C765&lt;&gt;"Chi"),"",IFERROR(INDEX('Danh mục'!$C$39:$C$78,MATCH(D765,'Danh mục'!$A$39:$A$78,0))&amp;"",""))</f>
      </c>
      <c r="H765" s="11"/>
      <c r="I765" s="20"/>
      <c r="J765" s="11"/>
      <c r="K765" s="11"/>
      <c r="L765" s="11"/>
    </row>
    <row r="766" spans="1:12" x14ac:dyDescent="0.3">
      <c r="A766" s="31"/>
      <c r="B766" s="32">
        <f>IF(A766="","",DATE(YEAR(A766),MONTH(A766),1))</f>
      </c>
      <c r="C766" s="11"/>
      <c r="D766" s="11"/>
      <c r="E766" s="16">
        <f>IF(OR(D766="",C766&lt;&gt;"Chi"),"",IFERROR(INDEX('Danh mục'!$B$39:$B$78,MATCH(D766,'Danh mục'!$A$39:$A$78,0))&amp;"","?"))</f>
      </c>
      <c r="F766" s="16">
        <f>IF(D766="","",IF(C766="Thu",IFERROR(INDEX('Danh mục'!$B$26:$B$35,MATCH(D766,'Danh mục'!$A$26:$A$35,0))&amp;"","?"),IFERROR(INDEX('Danh mục'!$D$39:$D$78,MATCH(D766,'Danh mục'!$A$39:$A$78,0))&amp;"","?")))</f>
      </c>
      <c r="G766" s="16">
        <f>IF(OR(D766="",C766&lt;&gt;"Chi"),"",IFERROR(INDEX('Danh mục'!$C$39:$C$78,MATCH(D766,'Danh mục'!$A$39:$A$78,0))&amp;"",""))</f>
      </c>
      <c r="H766" s="11"/>
      <c r="I766" s="20"/>
      <c r="J766" s="11"/>
      <c r="K766" s="11"/>
      <c r="L766" s="11"/>
    </row>
    <row r="767" spans="1:12" x14ac:dyDescent="0.3">
      <c r="A767" s="31"/>
      <c r="B767" s="32">
        <f>IF(A767="","",DATE(YEAR(A767),MONTH(A767),1))</f>
      </c>
      <c r="C767" s="11"/>
      <c r="D767" s="11"/>
      <c r="E767" s="16">
        <f>IF(OR(D767="",C767&lt;&gt;"Chi"),"",IFERROR(INDEX('Danh mục'!$B$39:$B$78,MATCH(D767,'Danh mục'!$A$39:$A$78,0))&amp;"","?"))</f>
      </c>
      <c r="F767" s="16">
        <f>IF(D767="","",IF(C767="Thu",IFERROR(INDEX('Danh mục'!$B$26:$B$35,MATCH(D767,'Danh mục'!$A$26:$A$35,0))&amp;"","?"),IFERROR(INDEX('Danh mục'!$D$39:$D$78,MATCH(D767,'Danh mục'!$A$39:$A$78,0))&amp;"","?")))</f>
      </c>
      <c r="G767" s="16">
        <f>IF(OR(D767="",C767&lt;&gt;"Chi"),"",IFERROR(INDEX('Danh mục'!$C$39:$C$78,MATCH(D767,'Danh mục'!$A$39:$A$78,0))&amp;"",""))</f>
      </c>
      <c r="H767" s="11"/>
      <c r="I767" s="20"/>
      <c r="J767" s="11"/>
      <c r="K767" s="11"/>
      <c r="L767" s="11"/>
    </row>
    <row r="768" spans="1:12" x14ac:dyDescent="0.3">
      <c r="A768" s="31"/>
      <c r="B768" s="32">
        <f>IF(A768="","",DATE(YEAR(A768),MONTH(A768),1))</f>
      </c>
      <c r="C768" s="11"/>
      <c r="D768" s="11"/>
      <c r="E768" s="16">
        <f>IF(OR(D768="",C768&lt;&gt;"Chi"),"",IFERROR(INDEX('Danh mục'!$B$39:$B$78,MATCH(D768,'Danh mục'!$A$39:$A$78,0))&amp;"","?"))</f>
      </c>
      <c r="F768" s="16">
        <f>IF(D768="","",IF(C768="Thu",IFERROR(INDEX('Danh mục'!$B$26:$B$35,MATCH(D768,'Danh mục'!$A$26:$A$35,0))&amp;"","?"),IFERROR(INDEX('Danh mục'!$D$39:$D$78,MATCH(D768,'Danh mục'!$A$39:$A$78,0))&amp;"","?")))</f>
      </c>
      <c r="G768" s="16">
        <f>IF(OR(D768="",C768&lt;&gt;"Chi"),"",IFERROR(INDEX('Danh mục'!$C$39:$C$78,MATCH(D768,'Danh mục'!$A$39:$A$78,0))&amp;"",""))</f>
      </c>
      <c r="H768" s="11"/>
      <c r="I768" s="20"/>
      <c r="J768" s="11"/>
      <c r="K768" s="11"/>
      <c r="L768" s="11"/>
    </row>
    <row r="769" spans="1:12" x14ac:dyDescent="0.3">
      <c r="A769" s="31"/>
      <c r="B769" s="32">
        <f>IF(A769="","",DATE(YEAR(A769),MONTH(A769),1))</f>
      </c>
      <c r="C769" s="11"/>
      <c r="D769" s="11"/>
      <c r="E769" s="16">
        <f>IF(OR(D769="",C769&lt;&gt;"Chi"),"",IFERROR(INDEX('Danh mục'!$B$39:$B$78,MATCH(D769,'Danh mục'!$A$39:$A$78,0))&amp;"","?"))</f>
      </c>
      <c r="F769" s="16">
        <f>IF(D769="","",IF(C769="Thu",IFERROR(INDEX('Danh mục'!$B$26:$B$35,MATCH(D769,'Danh mục'!$A$26:$A$35,0))&amp;"","?"),IFERROR(INDEX('Danh mục'!$D$39:$D$78,MATCH(D769,'Danh mục'!$A$39:$A$78,0))&amp;"","?")))</f>
      </c>
      <c r="G769" s="16">
        <f>IF(OR(D769="",C769&lt;&gt;"Chi"),"",IFERROR(INDEX('Danh mục'!$C$39:$C$78,MATCH(D769,'Danh mục'!$A$39:$A$78,0))&amp;"",""))</f>
      </c>
      <c r="H769" s="11"/>
      <c r="I769" s="20"/>
      <c r="J769" s="11"/>
      <c r="K769" s="11"/>
      <c r="L769" s="11"/>
    </row>
    <row r="770" spans="1:12" x14ac:dyDescent="0.3">
      <c r="A770" s="31"/>
      <c r="B770" s="32">
        <f>IF(A770="","",DATE(YEAR(A770),MONTH(A770),1))</f>
      </c>
      <c r="C770" s="11"/>
      <c r="D770" s="11"/>
      <c r="E770" s="16">
        <f>IF(OR(D770="",C770&lt;&gt;"Chi"),"",IFERROR(INDEX('Danh mục'!$B$39:$B$78,MATCH(D770,'Danh mục'!$A$39:$A$78,0))&amp;"","?"))</f>
      </c>
      <c r="F770" s="16">
        <f>IF(D770="","",IF(C770="Thu",IFERROR(INDEX('Danh mục'!$B$26:$B$35,MATCH(D770,'Danh mục'!$A$26:$A$35,0))&amp;"","?"),IFERROR(INDEX('Danh mục'!$D$39:$D$78,MATCH(D770,'Danh mục'!$A$39:$A$78,0))&amp;"","?")))</f>
      </c>
      <c r="G770" s="16">
        <f>IF(OR(D770="",C770&lt;&gt;"Chi"),"",IFERROR(INDEX('Danh mục'!$C$39:$C$78,MATCH(D770,'Danh mục'!$A$39:$A$78,0))&amp;"",""))</f>
      </c>
      <c r="H770" s="11"/>
      <c r="I770" s="20"/>
      <c r="J770" s="11"/>
      <c r="K770" s="11"/>
      <c r="L770" s="11"/>
    </row>
    <row r="771" spans="1:12" x14ac:dyDescent="0.3">
      <c r="A771" s="31"/>
      <c r="B771" s="32">
        <f>IF(A771="","",DATE(YEAR(A771),MONTH(A771),1))</f>
      </c>
      <c r="C771" s="11"/>
      <c r="D771" s="11"/>
      <c r="E771" s="16">
        <f>IF(OR(D771="",C771&lt;&gt;"Chi"),"",IFERROR(INDEX('Danh mục'!$B$39:$B$78,MATCH(D771,'Danh mục'!$A$39:$A$78,0))&amp;"","?"))</f>
      </c>
      <c r="F771" s="16">
        <f>IF(D771="","",IF(C771="Thu",IFERROR(INDEX('Danh mục'!$B$26:$B$35,MATCH(D771,'Danh mục'!$A$26:$A$35,0))&amp;"","?"),IFERROR(INDEX('Danh mục'!$D$39:$D$78,MATCH(D771,'Danh mục'!$A$39:$A$78,0))&amp;"","?")))</f>
      </c>
      <c r="G771" s="16">
        <f>IF(OR(D771="",C771&lt;&gt;"Chi"),"",IFERROR(INDEX('Danh mục'!$C$39:$C$78,MATCH(D771,'Danh mục'!$A$39:$A$78,0))&amp;"",""))</f>
      </c>
      <c r="H771" s="11"/>
      <c r="I771" s="20"/>
      <c r="J771" s="11"/>
      <c r="K771" s="11"/>
      <c r="L771" s="11"/>
    </row>
    <row r="772" spans="1:12" x14ac:dyDescent="0.3">
      <c r="A772" s="31"/>
      <c r="B772" s="32">
        <f>IF(A772="","",DATE(YEAR(A772),MONTH(A772),1))</f>
      </c>
      <c r="C772" s="11"/>
      <c r="D772" s="11"/>
      <c r="E772" s="16">
        <f>IF(OR(D772="",C772&lt;&gt;"Chi"),"",IFERROR(INDEX('Danh mục'!$B$39:$B$78,MATCH(D772,'Danh mục'!$A$39:$A$78,0))&amp;"","?"))</f>
      </c>
      <c r="F772" s="16">
        <f>IF(D772="","",IF(C772="Thu",IFERROR(INDEX('Danh mục'!$B$26:$B$35,MATCH(D772,'Danh mục'!$A$26:$A$35,0))&amp;"","?"),IFERROR(INDEX('Danh mục'!$D$39:$D$78,MATCH(D772,'Danh mục'!$A$39:$A$78,0))&amp;"","?")))</f>
      </c>
      <c r="G772" s="16">
        <f>IF(OR(D772="",C772&lt;&gt;"Chi"),"",IFERROR(INDEX('Danh mục'!$C$39:$C$78,MATCH(D772,'Danh mục'!$A$39:$A$78,0))&amp;"",""))</f>
      </c>
      <c r="H772" s="11"/>
      <c r="I772" s="20"/>
      <c r="J772" s="11"/>
      <c r="K772" s="11"/>
      <c r="L772" s="11"/>
    </row>
    <row r="773" spans="1:12" x14ac:dyDescent="0.3">
      <c r="A773" s="31"/>
      <c r="B773" s="32">
        <f>IF(A773="","",DATE(YEAR(A773),MONTH(A773),1))</f>
      </c>
      <c r="C773" s="11"/>
      <c r="D773" s="11"/>
      <c r="E773" s="16">
        <f>IF(OR(D773="",C773&lt;&gt;"Chi"),"",IFERROR(INDEX('Danh mục'!$B$39:$B$78,MATCH(D773,'Danh mục'!$A$39:$A$78,0))&amp;"","?"))</f>
      </c>
      <c r="F773" s="16">
        <f>IF(D773="","",IF(C773="Thu",IFERROR(INDEX('Danh mục'!$B$26:$B$35,MATCH(D773,'Danh mục'!$A$26:$A$35,0))&amp;"","?"),IFERROR(INDEX('Danh mục'!$D$39:$D$78,MATCH(D773,'Danh mục'!$A$39:$A$78,0))&amp;"","?")))</f>
      </c>
      <c r="G773" s="16">
        <f>IF(OR(D773="",C773&lt;&gt;"Chi"),"",IFERROR(INDEX('Danh mục'!$C$39:$C$78,MATCH(D773,'Danh mục'!$A$39:$A$78,0))&amp;"",""))</f>
      </c>
      <c r="H773" s="11"/>
      <c r="I773" s="20"/>
      <c r="J773" s="11"/>
      <c r="K773" s="11"/>
      <c r="L773" s="11"/>
    </row>
    <row r="774" spans="1:12" x14ac:dyDescent="0.3">
      <c r="A774" s="31"/>
      <c r="B774" s="32">
        <f>IF(A774="","",DATE(YEAR(A774),MONTH(A774),1))</f>
      </c>
      <c r="C774" s="11"/>
      <c r="D774" s="11"/>
      <c r="E774" s="16">
        <f>IF(OR(D774="",C774&lt;&gt;"Chi"),"",IFERROR(INDEX('Danh mục'!$B$39:$B$78,MATCH(D774,'Danh mục'!$A$39:$A$78,0))&amp;"","?"))</f>
      </c>
      <c r="F774" s="16">
        <f>IF(D774="","",IF(C774="Thu",IFERROR(INDEX('Danh mục'!$B$26:$B$35,MATCH(D774,'Danh mục'!$A$26:$A$35,0))&amp;"","?"),IFERROR(INDEX('Danh mục'!$D$39:$D$78,MATCH(D774,'Danh mục'!$A$39:$A$78,0))&amp;"","?")))</f>
      </c>
      <c r="G774" s="16">
        <f>IF(OR(D774="",C774&lt;&gt;"Chi"),"",IFERROR(INDEX('Danh mục'!$C$39:$C$78,MATCH(D774,'Danh mục'!$A$39:$A$78,0))&amp;"",""))</f>
      </c>
      <c r="H774" s="11"/>
      <c r="I774" s="20"/>
      <c r="J774" s="11"/>
      <c r="K774" s="11"/>
      <c r="L774" s="11"/>
    </row>
    <row r="775" spans="1:12" x14ac:dyDescent="0.3">
      <c r="A775" s="31"/>
      <c r="B775" s="32">
        <f>IF(A775="","",DATE(YEAR(A775),MONTH(A775),1))</f>
      </c>
      <c r="C775" s="11"/>
      <c r="D775" s="11"/>
      <c r="E775" s="16">
        <f>IF(OR(D775="",C775&lt;&gt;"Chi"),"",IFERROR(INDEX('Danh mục'!$B$39:$B$78,MATCH(D775,'Danh mục'!$A$39:$A$78,0))&amp;"","?"))</f>
      </c>
      <c r="F775" s="16">
        <f>IF(D775="","",IF(C775="Thu",IFERROR(INDEX('Danh mục'!$B$26:$B$35,MATCH(D775,'Danh mục'!$A$26:$A$35,0))&amp;"","?"),IFERROR(INDEX('Danh mục'!$D$39:$D$78,MATCH(D775,'Danh mục'!$A$39:$A$78,0))&amp;"","?")))</f>
      </c>
      <c r="G775" s="16">
        <f>IF(OR(D775="",C775&lt;&gt;"Chi"),"",IFERROR(INDEX('Danh mục'!$C$39:$C$78,MATCH(D775,'Danh mục'!$A$39:$A$78,0))&amp;"",""))</f>
      </c>
      <c r="H775" s="11"/>
      <c r="I775" s="20"/>
      <c r="J775" s="11"/>
      <c r="K775" s="11"/>
      <c r="L775" s="11"/>
    </row>
    <row r="776" spans="1:12" x14ac:dyDescent="0.3">
      <c r="A776" s="31"/>
      <c r="B776" s="32">
        <f>IF(A776="","",DATE(YEAR(A776),MONTH(A776),1))</f>
      </c>
      <c r="C776" s="11"/>
      <c r="D776" s="11"/>
      <c r="E776" s="16">
        <f>IF(OR(D776="",C776&lt;&gt;"Chi"),"",IFERROR(INDEX('Danh mục'!$B$39:$B$78,MATCH(D776,'Danh mục'!$A$39:$A$78,0))&amp;"","?"))</f>
      </c>
      <c r="F776" s="16">
        <f>IF(D776="","",IF(C776="Thu",IFERROR(INDEX('Danh mục'!$B$26:$B$35,MATCH(D776,'Danh mục'!$A$26:$A$35,0))&amp;"","?"),IFERROR(INDEX('Danh mục'!$D$39:$D$78,MATCH(D776,'Danh mục'!$A$39:$A$78,0))&amp;"","?")))</f>
      </c>
      <c r="G776" s="16">
        <f>IF(OR(D776="",C776&lt;&gt;"Chi"),"",IFERROR(INDEX('Danh mục'!$C$39:$C$78,MATCH(D776,'Danh mục'!$A$39:$A$78,0))&amp;"",""))</f>
      </c>
      <c r="H776" s="11"/>
      <c r="I776" s="20"/>
      <c r="J776" s="11"/>
      <c r="K776" s="11"/>
      <c r="L776" s="11"/>
    </row>
    <row r="777" spans="1:12" x14ac:dyDescent="0.3">
      <c r="A777" s="31"/>
      <c r="B777" s="32">
        <f>IF(A777="","",DATE(YEAR(A777),MONTH(A777),1))</f>
      </c>
      <c r="C777" s="11"/>
      <c r="D777" s="11"/>
      <c r="E777" s="16">
        <f>IF(OR(D777="",C777&lt;&gt;"Chi"),"",IFERROR(INDEX('Danh mục'!$B$39:$B$78,MATCH(D777,'Danh mục'!$A$39:$A$78,0))&amp;"","?"))</f>
      </c>
      <c r="F777" s="16">
        <f>IF(D777="","",IF(C777="Thu",IFERROR(INDEX('Danh mục'!$B$26:$B$35,MATCH(D777,'Danh mục'!$A$26:$A$35,0))&amp;"","?"),IFERROR(INDEX('Danh mục'!$D$39:$D$78,MATCH(D777,'Danh mục'!$A$39:$A$78,0))&amp;"","?")))</f>
      </c>
      <c r="G777" s="16">
        <f>IF(OR(D777="",C777&lt;&gt;"Chi"),"",IFERROR(INDEX('Danh mục'!$C$39:$C$78,MATCH(D777,'Danh mục'!$A$39:$A$78,0))&amp;"",""))</f>
      </c>
      <c r="H777" s="11"/>
      <c r="I777" s="20"/>
      <c r="J777" s="11"/>
      <c r="K777" s="11"/>
      <c r="L777" s="11"/>
    </row>
    <row r="778" spans="1:12" x14ac:dyDescent="0.3">
      <c r="A778" s="31"/>
      <c r="B778" s="32">
        <f>IF(A778="","",DATE(YEAR(A778),MONTH(A778),1))</f>
      </c>
      <c r="C778" s="11"/>
      <c r="D778" s="11"/>
      <c r="E778" s="16">
        <f>IF(OR(D778="",C778&lt;&gt;"Chi"),"",IFERROR(INDEX('Danh mục'!$B$39:$B$78,MATCH(D778,'Danh mục'!$A$39:$A$78,0))&amp;"","?"))</f>
      </c>
      <c r="F778" s="16">
        <f>IF(D778="","",IF(C778="Thu",IFERROR(INDEX('Danh mục'!$B$26:$B$35,MATCH(D778,'Danh mục'!$A$26:$A$35,0))&amp;"","?"),IFERROR(INDEX('Danh mục'!$D$39:$D$78,MATCH(D778,'Danh mục'!$A$39:$A$78,0))&amp;"","?")))</f>
      </c>
      <c r="G778" s="16">
        <f>IF(OR(D778="",C778&lt;&gt;"Chi"),"",IFERROR(INDEX('Danh mục'!$C$39:$C$78,MATCH(D778,'Danh mục'!$A$39:$A$78,0))&amp;"",""))</f>
      </c>
      <c r="H778" s="11"/>
      <c r="I778" s="20"/>
      <c r="J778" s="11"/>
      <c r="K778" s="11"/>
      <c r="L778" s="11"/>
    </row>
    <row r="779" spans="1:12" x14ac:dyDescent="0.3">
      <c r="A779" s="31"/>
      <c r="B779" s="32">
        <f>IF(A779="","",DATE(YEAR(A779),MONTH(A779),1))</f>
      </c>
      <c r="C779" s="11"/>
      <c r="D779" s="11"/>
      <c r="E779" s="16">
        <f>IF(OR(D779="",C779&lt;&gt;"Chi"),"",IFERROR(INDEX('Danh mục'!$B$39:$B$78,MATCH(D779,'Danh mục'!$A$39:$A$78,0))&amp;"","?"))</f>
      </c>
      <c r="F779" s="16">
        <f>IF(D779="","",IF(C779="Thu",IFERROR(INDEX('Danh mục'!$B$26:$B$35,MATCH(D779,'Danh mục'!$A$26:$A$35,0))&amp;"","?"),IFERROR(INDEX('Danh mục'!$D$39:$D$78,MATCH(D779,'Danh mục'!$A$39:$A$78,0))&amp;"","?")))</f>
      </c>
      <c r="G779" s="16">
        <f>IF(OR(D779="",C779&lt;&gt;"Chi"),"",IFERROR(INDEX('Danh mục'!$C$39:$C$78,MATCH(D779,'Danh mục'!$A$39:$A$78,0))&amp;"",""))</f>
      </c>
      <c r="H779" s="11"/>
      <c r="I779" s="20"/>
      <c r="J779" s="11"/>
      <c r="K779" s="11"/>
      <c r="L779" s="11"/>
    </row>
    <row r="780" spans="1:12" x14ac:dyDescent="0.3">
      <c r="A780" s="31"/>
      <c r="B780" s="32">
        <f>IF(A780="","",DATE(YEAR(A780),MONTH(A780),1))</f>
      </c>
      <c r="C780" s="11"/>
      <c r="D780" s="11"/>
      <c r="E780" s="16">
        <f>IF(OR(D780="",C780&lt;&gt;"Chi"),"",IFERROR(INDEX('Danh mục'!$B$39:$B$78,MATCH(D780,'Danh mục'!$A$39:$A$78,0))&amp;"","?"))</f>
      </c>
      <c r="F780" s="16">
        <f>IF(D780="","",IF(C780="Thu",IFERROR(INDEX('Danh mục'!$B$26:$B$35,MATCH(D780,'Danh mục'!$A$26:$A$35,0))&amp;"","?"),IFERROR(INDEX('Danh mục'!$D$39:$D$78,MATCH(D780,'Danh mục'!$A$39:$A$78,0))&amp;"","?")))</f>
      </c>
      <c r="G780" s="16">
        <f>IF(OR(D780="",C780&lt;&gt;"Chi"),"",IFERROR(INDEX('Danh mục'!$C$39:$C$78,MATCH(D780,'Danh mục'!$A$39:$A$78,0))&amp;"",""))</f>
      </c>
      <c r="H780" s="11"/>
      <c r="I780" s="20"/>
      <c r="J780" s="11"/>
      <c r="K780" s="11"/>
      <c r="L780" s="11"/>
    </row>
    <row r="781" spans="1:12" x14ac:dyDescent="0.3">
      <c r="A781" s="31"/>
      <c r="B781" s="32">
        <f>IF(A781="","",DATE(YEAR(A781),MONTH(A781),1))</f>
      </c>
      <c r="C781" s="11"/>
      <c r="D781" s="11"/>
      <c r="E781" s="16">
        <f>IF(OR(D781="",C781&lt;&gt;"Chi"),"",IFERROR(INDEX('Danh mục'!$B$39:$B$78,MATCH(D781,'Danh mục'!$A$39:$A$78,0))&amp;"","?"))</f>
      </c>
      <c r="F781" s="16">
        <f>IF(D781="","",IF(C781="Thu",IFERROR(INDEX('Danh mục'!$B$26:$B$35,MATCH(D781,'Danh mục'!$A$26:$A$35,0))&amp;"","?"),IFERROR(INDEX('Danh mục'!$D$39:$D$78,MATCH(D781,'Danh mục'!$A$39:$A$78,0))&amp;"","?")))</f>
      </c>
      <c r="G781" s="16">
        <f>IF(OR(D781="",C781&lt;&gt;"Chi"),"",IFERROR(INDEX('Danh mục'!$C$39:$C$78,MATCH(D781,'Danh mục'!$A$39:$A$78,0))&amp;"",""))</f>
      </c>
      <c r="H781" s="11"/>
      <c r="I781" s="20"/>
      <c r="J781" s="11"/>
      <c r="K781" s="11"/>
      <c r="L781" s="11"/>
    </row>
    <row r="782" spans="1:12" x14ac:dyDescent="0.3">
      <c r="A782" s="31"/>
      <c r="B782" s="32">
        <f>IF(A782="","",DATE(YEAR(A782),MONTH(A782),1))</f>
      </c>
      <c r="C782" s="11"/>
      <c r="D782" s="11"/>
      <c r="E782" s="16">
        <f>IF(OR(D782="",C782&lt;&gt;"Chi"),"",IFERROR(INDEX('Danh mục'!$B$39:$B$78,MATCH(D782,'Danh mục'!$A$39:$A$78,0))&amp;"","?"))</f>
      </c>
      <c r="F782" s="16">
        <f>IF(D782="","",IF(C782="Thu",IFERROR(INDEX('Danh mục'!$B$26:$B$35,MATCH(D782,'Danh mục'!$A$26:$A$35,0))&amp;"","?"),IFERROR(INDEX('Danh mục'!$D$39:$D$78,MATCH(D782,'Danh mục'!$A$39:$A$78,0))&amp;"","?")))</f>
      </c>
      <c r="G782" s="16">
        <f>IF(OR(D782="",C782&lt;&gt;"Chi"),"",IFERROR(INDEX('Danh mục'!$C$39:$C$78,MATCH(D782,'Danh mục'!$A$39:$A$78,0))&amp;"",""))</f>
      </c>
      <c r="H782" s="11"/>
      <c r="I782" s="20"/>
      <c r="J782" s="11"/>
      <c r="K782" s="11"/>
      <c r="L782" s="11"/>
    </row>
    <row r="783" spans="1:12" x14ac:dyDescent="0.3">
      <c r="A783" s="31"/>
      <c r="B783" s="32">
        <f>IF(A783="","",DATE(YEAR(A783),MONTH(A783),1))</f>
      </c>
      <c r="C783" s="11"/>
      <c r="D783" s="11"/>
      <c r="E783" s="16">
        <f>IF(OR(D783="",C783&lt;&gt;"Chi"),"",IFERROR(INDEX('Danh mục'!$B$39:$B$78,MATCH(D783,'Danh mục'!$A$39:$A$78,0))&amp;"","?"))</f>
      </c>
      <c r="F783" s="16">
        <f>IF(D783="","",IF(C783="Thu",IFERROR(INDEX('Danh mục'!$B$26:$B$35,MATCH(D783,'Danh mục'!$A$26:$A$35,0))&amp;"","?"),IFERROR(INDEX('Danh mục'!$D$39:$D$78,MATCH(D783,'Danh mục'!$A$39:$A$78,0))&amp;"","?")))</f>
      </c>
      <c r="G783" s="16">
        <f>IF(OR(D783="",C783&lt;&gt;"Chi"),"",IFERROR(INDEX('Danh mục'!$C$39:$C$78,MATCH(D783,'Danh mục'!$A$39:$A$78,0))&amp;"",""))</f>
      </c>
      <c r="H783" s="11"/>
      <c r="I783" s="20"/>
      <c r="J783" s="11"/>
      <c r="K783" s="11"/>
      <c r="L783" s="11"/>
    </row>
    <row r="784" spans="1:12" x14ac:dyDescent="0.3">
      <c r="A784" s="31"/>
      <c r="B784" s="32">
        <f>IF(A784="","",DATE(YEAR(A784),MONTH(A784),1))</f>
      </c>
      <c r="C784" s="11"/>
      <c r="D784" s="11"/>
      <c r="E784" s="16">
        <f>IF(OR(D784="",C784&lt;&gt;"Chi"),"",IFERROR(INDEX('Danh mục'!$B$39:$B$78,MATCH(D784,'Danh mục'!$A$39:$A$78,0))&amp;"","?"))</f>
      </c>
      <c r="F784" s="16">
        <f>IF(D784="","",IF(C784="Thu",IFERROR(INDEX('Danh mục'!$B$26:$B$35,MATCH(D784,'Danh mục'!$A$26:$A$35,0))&amp;"","?"),IFERROR(INDEX('Danh mục'!$D$39:$D$78,MATCH(D784,'Danh mục'!$A$39:$A$78,0))&amp;"","?")))</f>
      </c>
      <c r="G784" s="16">
        <f>IF(OR(D784="",C784&lt;&gt;"Chi"),"",IFERROR(INDEX('Danh mục'!$C$39:$C$78,MATCH(D784,'Danh mục'!$A$39:$A$78,0))&amp;"",""))</f>
      </c>
      <c r="H784" s="11"/>
      <c r="I784" s="20"/>
      <c r="J784" s="11"/>
      <c r="K784" s="11"/>
      <c r="L784" s="11"/>
    </row>
    <row r="785" spans="1:12" x14ac:dyDescent="0.3">
      <c r="A785" s="31"/>
      <c r="B785" s="32">
        <f>IF(A785="","",DATE(YEAR(A785),MONTH(A785),1))</f>
      </c>
      <c r="C785" s="11"/>
      <c r="D785" s="11"/>
      <c r="E785" s="16">
        <f>IF(OR(D785="",C785&lt;&gt;"Chi"),"",IFERROR(INDEX('Danh mục'!$B$39:$B$78,MATCH(D785,'Danh mục'!$A$39:$A$78,0))&amp;"","?"))</f>
      </c>
      <c r="F785" s="16">
        <f>IF(D785="","",IF(C785="Thu",IFERROR(INDEX('Danh mục'!$B$26:$B$35,MATCH(D785,'Danh mục'!$A$26:$A$35,0))&amp;"","?"),IFERROR(INDEX('Danh mục'!$D$39:$D$78,MATCH(D785,'Danh mục'!$A$39:$A$78,0))&amp;"","?")))</f>
      </c>
      <c r="G785" s="16">
        <f>IF(OR(D785="",C785&lt;&gt;"Chi"),"",IFERROR(INDEX('Danh mục'!$C$39:$C$78,MATCH(D785,'Danh mục'!$A$39:$A$78,0))&amp;"",""))</f>
      </c>
      <c r="H785" s="11"/>
      <c r="I785" s="20"/>
      <c r="J785" s="11"/>
      <c r="K785" s="11"/>
      <c r="L785" s="11"/>
    </row>
    <row r="786" spans="1:12" x14ac:dyDescent="0.3">
      <c r="A786" s="31"/>
      <c r="B786" s="32">
        <f>IF(A786="","",DATE(YEAR(A786),MONTH(A786),1))</f>
      </c>
      <c r="C786" s="11"/>
      <c r="D786" s="11"/>
      <c r="E786" s="16">
        <f>IF(OR(D786="",C786&lt;&gt;"Chi"),"",IFERROR(INDEX('Danh mục'!$B$39:$B$78,MATCH(D786,'Danh mục'!$A$39:$A$78,0))&amp;"","?"))</f>
      </c>
      <c r="F786" s="16">
        <f>IF(D786="","",IF(C786="Thu",IFERROR(INDEX('Danh mục'!$B$26:$B$35,MATCH(D786,'Danh mục'!$A$26:$A$35,0))&amp;"","?"),IFERROR(INDEX('Danh mục'!$D$39:$D$78,MATCH(D786,'Danh mục'!$A$39:$A$78,0))&amp;"","?")))</f>
      </c>
      <c r="G786" s="16">
        <f>IF(OR(D786="",C786&lt;&gt;"Chi"),"",IFERROR(INDEX('Danh mục'!$C$39:$C$78,MATCH(D786,'Danh mục'!$A$39:$A$78,0))&amp;"",""))</f>
      </c>
      <c r="H786" s="11"/>
      <c r="I786" s="20"/>
      <c r="J786" s="11"/>
      <c r="K786" s="11"/>
      <c r="L786" s="11"/>
    </row>
    <row r="787" spans="1:12" x14ac:dyDescent="0.3">
      <c r="A787" s="31"/>
      <c r="B787" s="32">
        <f>IF(A787="","",DATE(YEAR(A787),MONTH(A787),1))</f>
      </c>
      <c r="C787" s="11"/>
      <c r="D787" s="11"/>
      <c r="E787" s="16">
        <f>IF(OR(D787="",C787&lt;&gt;"Chi"),"",IFERROR(INDEX('Danh mục'!$B$39:$B$78,MATCH(D787,'Danh mục'!$A$39:$A$78,0))&amp;"","?"))</f>
      </c>
      <c r="F787" s="16">
        <f>IF(D787="","",IF(C787="Thu",IFERROR(INDEX('Danh mục'!$B$26:$B$35,MATCH(D787,'Danh mục'!$A$26:$A$35,0))&amp;"","?"),IFERROR(INDEX('Danh mục'!$D$39:$D$78,MATCH(D787,'Danh mục'!$A$39:$A$78,0))&amp;"","?")))</f>
      </c>
      <c r="G787" s="16">
        <f>IF(OR(D787="",C787&lt;&gt;"Chi"),"",IFERROR(INDEX('Danh mục'!$C$39:$C$78,MATCH(D787,'Danh mục'!$A$39:$A$78,0))&amp;"",""))</f>
      </c>
      <c r="H787" s="11"/>
      <c r="I787" s="20"/>
      <c r="J787" s="11"/>
      <c r="K787" s="11"/>
      <c r="L787" s="11"/>
    </row>
    <row r="788" spans="1:12" x14ac:dyDescent="0.3">
      <c r="A788" s="31"/>
      <c r="B788" s="32">
        <f>IF(A788="","",DATE(YEAR(A788),MONTH(A788),1))</f>
      </c>
      <c r="C788" s="11"/>
      <c r="D788" s="11"/>
      <c r="E788" s="16">
        <f>IF(OR(D788="",C788&lt;&gt;"Chi"),"",IFERROR(INDEX('Danh mục'!$B$39:$B$78,MATCH(D788,'Danh mục'!$A$39:$A$78,0))&amp;"","?"))</f>
      </c>
      <c r="F788" s="16">
        <f>IF(D788="","",IF(C788="Thu",IFERROR(INDEX('Danh mục'!$B$26:$B$35,MATCH(D788,'Danh mục'!$A$26:$A$35,0))&amp;"","?"),IFERROR(INDEX('Danh mục'!$D$39:$D$78,MATCH(D788,'Danh mục'!$A$39:$A$78,0))&amp;"","?")))</f>
      </c>
      <c r="G788" s="16">
        <f>IF(OR(D788="",C788&lt;&gt;"Chi"),"",IFERROR(INDEX('Danh mục'!$C$39:$C$78,MATCH(D788,'Danh mục'!$A$39:$A$78,0))&amp;"",""))</f>
      </c>
      <c r="H788" s="11"/>
      <c r="I788" s="20"/>
      <c r="J788" s="11"/>
      <c r="K788" s="11"/>
      <c r="L788" s="11"/>
    </row>
    <row r="789" spans="1:12" x14ac:dyDescent="0.3">
      <c r="A789" s="31"/>
      <c r="B789" s="32">
        <f>IF(A789="","",DATE(YEAR(A789),MONTH(A789),1))</f>
      </c>
      <c r="C789" s="11"/>
      <c r="D789" s="11"/>
      <c r="E789" s="16">
        <f>IF(OR(D789="",C789&lt;&gt;"Chi"),"",IFERROR(INDEX('Danh mục'!$B$39:$B$78,MATCH(D789,'Danh mục'!$A$39:$A$78,0))&amp;"","?"))</f>
      </c>
      <c r="F789" s="16">
        <f>IF(D789="","",IF(C789="Thu",IFERROR(INDEX('Danh mục'!$B$26:$B$35,MATCH(D789,'Danh mục'!$A$26:$A$35,0))&amp;"","?"),IFERROR(INDEX('Danh mục'!$D$39:$D$78,MATCH(D789,'Danh mục'!$A$39:$A$78,0))&amp;"","?")))</f>
      </c>
      <c r="G789" s="16">
        <f>IF(OR(D789="",C789&lt;&gt;"Chi"),"",IFERROR(INDEX('Danh mục'!$C$39:$C$78,MATCH(D789,'Danh mục'!$A$39:$A$78,0))&amp;"",""))</f>
      </c>
      <c r="H789" s="11"/>
      <c r="I789" s="20"/>
      <c r="J789" s="11"/>
      <c r="K789" s="11"/>
      <c r="L789" s="11"/>
    </row>
    <row r="790" spans="1:12" x14ac:dyDescent="0.3">
      <c r="A790" s="31"/>
      <c r="B790" s="32">
        <f>IF(A790="","",DATE(YEAR(A790),MONTH(A790),1))</f>
      </c>
      <c r="C790" s="11"/>
      <c r="D790" s="11"/>
      <c r="E790" s="16">
        <f>IF(OR(D790="",C790&lt;&gt;"Chi"),"",IFERROR(INDEX('Danh mục'!$B$39:$B$78,MATCH(D790,'Danh mục'!$A$39:$A$78,0))&amp;"","?"))</f>
      </c>
      <c r="F790" s="16">
        <f>IF(D790="","",IF(C790="Thu",IFERROR(INDEX('Danh mục'!$B$26:$B$35,MATCH(D790,'Danh mục'!$A$26:$A$35,0))&amp;"","?"),IFERROR(INDEX('Danh mục'!$D$39:$D$78,MATCH(D790,'Danh mục'!$A$39:$A$78,0))&amp;"","?")))</f>
      </c>
      <c r="G790" s="16">
        <f>IF(OR(D790="",C790&lt;&gt;"Chi"),"",IFERROR(INDEX('Danh mục'!$C$39:$C$78,MATCH(D790,'Danh mục'!$A$39:$A$78,0))&amp;"",""))</f>
      </c>
      <c r="H790" s="11"/>
      <c r="I790" s="20"/>
      <c r="J790" s="11"/>
      <c r="K790" s="11"/>
      <c r="L790" s="11"/>
    </row>
    <row r="791" spans="1:12" x14ac:dyDescent="0.3">
      <c r="A791" s="31"/>
      <c r="B791" s="32">
        <f>IF(A791="","",DATE(YEAR(A791),MONTH(A791),1))</f>
      </c>
      <c r="C791" s="11"/>
      <c r="D791" s="11"/>
      <c r="E791" s="16">
        <f>IF(OR(D791="",C791&lt;&gt;"Chi"),"",IFERROR(INDEX('Danh mục'!$B$39:$B$78,MATCH(D791,'Danh mục'!$A$39:$A$78,0))&amp;"","?"))</f>
      </c>
      <c r="F791" s="16">
        <f>IF(D791="","",IF(C791="Thu",IFERROR(INDEX('Danh mục'!$B$26:$B$35,MATCH(D791,'Danh mục'!$A$26:$A$35,0))&amp;"","?"),IFERROR(INDEX('Danh mục'!$D$39:$D$78,MATCH(D791,'Danh mục'!$A$39:$A$78,0))&amp;"","?")))</f>
      </c>
      <c r="G791" s="16">
        <f>IF(OR(D791="",C791&lt;&gt;"Chi"),"",IFERROR(INDEX('Danh mục'!$C$39:$C$78,MATCH(D791,'Danh mục'!$A$39:$A$78,0))&amp;"",""))</f>
      </c>
      <c r="H791" s="11"/>
      <c r="I791" s="20"/>
      <c r="J791" s="11"/>
      <c r="K791" s="11"/>
      <c r="L791" s="11"/>
    </row>
    <row r="792" spans="1:12" x14ac:dyDescent="0.3">
      <c r="A792" s="31"/>
      <c r="B792" s="32">
        <f>IF(A792="","",DATE(YEAR(A792),MONTH(A792),1))</f>
      </c>
      <c r="C792" s="11"/>
      <c r="D792" s="11"/>
      <c r="E792" s="16">
        <f>IF(OR(D792="",C792&lt;&gt;"Chi"),"",IFERROR(INDEX('Danh mục'!$B$39:$B$78,MATCH(D792,'Danh mục'!$A$39:$A$78,0))&amp;"","?"))</f>
      </c>
      <c r="F792" s="16">
        <f>IF(D792="","",IF(C792="Thu",IFERROR(INDEX('Danh mục'!$B$26:$B$35,MATCH(D792,'Danh mục'!$A$26:$A$35,0))&amp;"","?"),IFERROR(INDEX('Danh mục'!$D$39:$D$78,MATCH(D792,'Danh mục'!$A$39:$A$78,0))&amp;"","?")))</f>
      </c>
      <c r="G792" s="16">
        <f>IF(OR(D792="",C792&lt;&gt;"Chi"),"",IFERROR(INDEX('Danh mục'!$C$39:$C$78,MATCH(D792,'Danh mục'!$A$39:$A$78,0))&amp;"",""))</f>
      </c>
      <c r="H792" s="11"/>
      <c r="I792" s="20"/>
      <c r="J792" s="11"/>
      <c r="K792" s="11"/>
      <c r="L792" s="11"/>
    </row>
    <row r="793" spans="1:12" x14ac:dyDescent="0.3">
      <c r="A793" s="31"/>
      <c r="B793" s="32">
        <f>IF(A793="","",DATE(YEAR(A793),MONTH(A793),1))</f>
      </c>
      <c r="C793" s="11"/>
      <c r="D793" s="11"/>
      <c r="E793" s="16">
        <f>IF(OR(D793="",C793&lt;&gt;"Chi"),"",IFERROR(INDEX('Danh mục'!$B$39:$B$78,MATCH(D793,'Danh mục'!$A$39:$A$78,0))&amp;"","?"))</f>
      </c>
      <c r="F793" s="16">
        <f>IF(D793="","",IF(C793="Thu",IFERROR(INDEX('Danh mục'!$B$26:$B$35,MATCH(D793,'Danh mục'!$A$26:$A$35,0))&amp;"","?"),IFERROR(INDEX('Danh mục'!$D$39:$D$78,MATCH(D793,'Danh mục'!$A$39:$A$78,0))&amp;"","?")))</f>
      </c>
      <c r="G793" s="16">
        <f>IF(OR(D793="",C793&lt;&gt;"Chi"),"",IFERROR(INDEX('Danh mục'!$C$39:$C$78,MATCH(D793,'Danh mục'!$A$39:$A$78,0))&amp;"",""))</f>
      </c>
      <c r="H793" s="11"/>
      <c r="I793" s="20"/>
      <c r="J793" s="11"/>
      <c r="K793" s="11"/>
      <c r="L793" s="11"/>
    </row>
    <row r="794" spans="1:12" x14ac:dyDescent="0.3">
      <c r="A794" s="31"/>
      <c r="B794" s="32">
        <f>IF(A794="","",DATE(YEAR(A794),MONTH(A794),1))</f>
      </c>
      <c r="C794" s="11"/>
      <c r="D794" s="11"/>
      <c r="E794" s="16">
        <f>IF(OR(D794="",C794&lt;&gt;"Chi"),"",IFERROR(INDEX('Danh mục'!$B$39:$B$78,MATCH(D794,'Danh mục'!$A$39:$A$78,0))&amp;"","?"))</f>
      </c>
      <c r="F794" s="16">
        <f>IF(D794="","",IF(C794="Thu",IFERROR(INDEX('Danh mục'!$B$26:$B$35,MATCH(D794,'Danh mục'!$A$26:$A$35,0))&amp;"","?"),IFERROR(INDEX('Danh mục'!$D$39:$D$78,MATCH(D794,'Danh mục'!$A$39:$A$78,0))&amp;"","?")))</f>
      </c>
      <c r="G794" s="16">
        <f>IF(OR(D794="",C794&lt;&gt;"Chi"),"",IFERROR(INDEX('Danh mục'!$C$39:$C$78,MATCH(D794,'Danh mục'!$A$39:$A$78,0))&amp;"",""))</f>
      </c>
      <c r="H794" s="11"/>
      <c r="I794" s="20"/>
      <c r="J794" s="11"/>
      <c r="K794" s="11"/>
      <c r="L794" s="11"/>
    </row>
    <row r="795" spans="1:12" x14ac:dyDescent="0.3">
      <c r="A795" s="31"/>
      <c r="B795" s="32">
        <f>IF(A795="","",DATE(YEAR(A795),MONTH(A795),1))</f>
      </c>
      <c r="C795" s="11"/>
      <c r="D795" s="11"/>
      <c r="E795" s="16">
        <f>IF(OR(D795="",C795&lt;&gt;"Chi"),"",IFERROR(INDEX('Danh mục'!$B$39:$B$78,MATCH(D795,'Danh mục'!$A$39:$A$78,0))&amp;"","?"))</f>
      </c>
      <c r="F795" s="16">
        <f>IF(D795="","",IF(C795="Thu",IFERROR(INDEX('Danh mục'!$B$26:$B$35,MATCH(D795,'Danh mục'!$A$26:$A$35,0))&amp;"","?"),IFERROR(INDEX('Danh mục'!$D$39:$D$78,MATCH(D795,'Danh mục'!$A$39:$A$78,0))&amp;"","?")))</f>
      </c>
      <c r="G795" s="16">
        <f>IF(OR(D795="",C795&lt;&gt;"Chi"),"",IFERROR(INDEX('Danh mục'!$C$39:$C$78,MATCH(D795,'Danh mục'!$A$39:$A$78,0))&amp;"",""))</f>
      </c>
      <c r="H795" s="11"/>
      <c r="I795" s="20"/>
      <c r="J795" s="11"/>
      <c r="K795" s="11"/>
      <c r="L795" s="11"/>
    </row>
    <row r="796" spans="1:12" x14ac:dyDescent="0.3">
      <c r="A796" s="31"/>
      <c r="B796" s="32">
        <f>IF(A796="","",DATE(YEAR(A796),MONTH(A796),1))</f>
      </c>
      <c r="C796" s="11"/>
      <c r="D796" s="11"/>
      <c r="E796" s="16">
        <f>IF(OR(D796="",C796&lt;&gt;"Chi"),"",IFERROR(INDEX('Danh mục'!$B$39:$B$78,MATCH(D796,'Danh mục'!$A$39:$A$78,0))&amp;"","?"))</f>
      </c>
      <c r="F796" s="16">
        <f>IF(D796="","",IF(C796="Thu",IFERROR(INDEX('Danh mục'!$B$26:$B$35,MATCH(D796,'Danh mục'!$A$26:$A$35,0))&amp;"","?"),IFERROR(INDEX('Danh mục'!$D$39:$D$78,MATCH(D796,'Danh mục'!$A$39:$A$78,0))&amp;"","?")))</f>
      </c>
      <c r="G796" s="16">
        <f>IF(OR(D796="",C796&lt;&gt;"Chi"),"",IFERROR(INDEX('Danh mục'!$C$39:$C$78,MATCH(D796,'Danh mục'!$A$39:$A$78,0))&amp;"",""))</f>
      </c>
      <c r="H796" s="11"/>
      <c r="I796" s="20"/>
      <c r="J796" s="11"/>
      <c r="K796" s="11"/>
      <c r="L796" s="11"/>
    </row>
    <row r="797" spans="1:12" x14ac:dyDescent="0.3">
      <c r="A797" s="31"/>
      <c r="B797" s="32">
        <f>IF(A797="","",DATE(YEAR(A797),MONTH(A797),1))</f>
      </c>
      <c r="C797" s="11"/>
      <c r="D797" s="11"/>
      <c r="E797" s="16">
        <f>IF(OR(D797="",C797&lt;&gt;"Chi"),"",IFERROR(INDEX('Danh mục'!$B$39:$B$78,MATCH(D797,'Danh mục'!$A$39:$A$78,0))&amp;"","?"))</f>
      </c>
      <c r="F797" s="16">
        <f>IF(D797="","",IF(C797="Thu",IFERROR(INDEX('Danh mục'!$B$26:$B$35,MATCH(D797,'Danh mục'!$A$26:$A$35,0))&amp;"","?"),IFERROR(INDEX('Danh mục'!$D$39:$D$78,MATCH(D797,'Danh mục'!$A$39:$A$78,0))&amp;"","?")))</f>
      </c>
      <c r="G797" s="16">
        <f>IF(OR(D797="",C797&lt;&gt;"Chi"),"",IFERROR(INDEX('Danh mục'!$C$39:$C$78,MATCH(D797,'Danh mục'!$A$39:$A$78,0))&amp;"",""))</f>
      </c>
      <c r="H797" s="11"/>
      <c r="I797" s="20"/>
      <c r="J797" s="11"/>
      <c r="K797" s="11"/>
      <c r="L797" s="11"/>
    </row>
    <row r="798" spans="1:12" x14ac:dyDescent="0.3">
      <c r="A798" s="31"/>
      <c r="B798" s="32">
        <f>IF(A798="","",DATE(YEAR(A798),MONTH(A798),1))</f>
      </c>
      <c r="C798" s="11"/>
      <c r="D798" s="11"/>
      <c r="E798" s="16">
        <f>IF(OR(D798="",C798&lt;&gt;"Chi"),"",IFERROR(INDEX('Danh mục'!$B$39:$B$78,MATCH(D798,'Danh mục'!$A$39:$A$78,0))&amp;"","?"))</f>
      </c>
      <c r="F798" s="16">
        <f>IF(D798="","",IF(C798="Thu",IFERROR(INDEX('Danh mục'!$B$26:$B$35,MATCH(D798,'Danh mục'!$A$26:$A$35,0))&amp;"","?"),IFERROR(INDEX('Danh mục'!$D$39:$D$78,MATCH(D798,'Danh mục'!$A$39:$A$78,0))&amp;"","?")))</f>
      </c>
      <c r="G798" s="16">
        <f>IF(OR(D798="",C798&lt;&gt;"Chi"),"",IFERROR(INDEX('Danh mục'!$C$39:$C$78,MATCH(D798,'Danh mục'!$A$39:$A$78,0))&amp;"",""))</f>
      </c>
      <c r="H798" s="11"/>
      <c r="I798" s="20"/>
      <c r="J798" s="11"/>
      <c r="K798" s="11"/>
      <c r="L798" s="11"/>
    </row>
    <row r="799" spans="1:12" x14ac:dyDescent="0.3">
      <c r="A799" s="31"/>
      <c r="B799" s="32">
        <f>IF(A799="","",DATE(YEAR(A799),MONTH(A799),1))</f>
      </c>
      <c r="C799" s="11"/>
      <c r="D799" s="11"/>
      <c r="E799" s="16">
        <f>IF(OR(D799="",C799&lt;&gt;"Chi"),"",IFERROR(INDEX('Danh mục'!$B$39:$B$78,MATCH(D799,'Danh mục'!$A$39:$A$78,0))&amp;"","?"))</f>
      </c>
      <c r="F799" s="16">
        <f>IF(D799="","",IF(C799="Thu",IFERROR(INDEX('Danh mục'!$B$26:$B$35,MATCH(D799,'Danh mục'!$A$26:$A$35,0))&amp;"","?"),IFERROR(INDEX('Danh mục'!$D$39:$D$78,MATCH(D799,'Danh mục'!$A$39:$A$78,0))&amp;"","?")))</f>
      </c>
      <c r="G799" s="16">
        <f>IF(OR(D799="",C799&lt;&gt;"Chi"),"",IFERROR(INDEX('Danh mục'!$C$39:$C$78,MATCH(D799,'Danh mục'!$A$39:$A$78,0))&amp;"",""))</f>
      </c>
      <c r="H799" s="11"/>
      <c r="I799" s="20"/>
      <c r="J799" s="11"/>
      <c r="K799" s="11"/>
      <c r="L799" s="11"/>
    </row>
    <row r="800" spans="1:12" x14ac:dyDescent="0.3">
      <c r="A800" s="31"/>
      <c r="B800" s="32">
        <f>IF(A800="","",DATE(YEAR(A800),MONTH(A800),1))</f>
      </c>
      <c r="C800" s="11"/>
      <c r="D800" s="11"/>
      <c r="E800" s="16">
        <f>IF(OR(D800="",C800&lt;&gt;"Chi"),"",IFERROR(INDEX('Danh mục'!$B$39:$B$78,MATCH(D800,'Danh mục'!$A$39:$A$78,0))&amp;"","?"))</f>
      </c>
      <c r="F800" s="16">
        <f>IF(D800="","",IF(C800="Thu",IFERROR(INDEX('Danh mục'!$B$26:$B$35,MATCH(D800,'Danh mục'!$A$26:$A$35,0))&amp;"","?"),IFERROR(INDEX('Danh mục'!$D$39:$D$78,MATCH(D800,'Danh mục'!$A$39:$A$78,0))&amp;"","?")))</f>
      </c>
      <c r="G800" s="16">
        <f>IF(OR(D800="",C800&lt;&gt;"Chi"),"",IFERROR(INDEX('Danh mục'!$C$39:$C$78,MATCH(D800,'Danh mục'!$A$39:$A$78,0))&amp;"",""))</f>
      </c>
      <c r="H800" s="11"/>
      <c r="I800" s="20"/>
      <c r="J800" s="11"/>
      <c r="K800" s="11"/>
      <c r="L800" s="11"/>
    </row>
    <row r="801" spans="1:12" x14ac:dyDescent="0.3">
      <c r="A801" s="31"/>
      <c r="B801" s="32">
        <f>IF(A801="","",DATE(YEAR(A801),MONTH(A801),1))</f>
      </c>
      <c r="C801" s="11"/>
      <c r="D801" s="11"/>
      <c r="E801" s="16">
        <f>IF(OR(D801="",C801&lt;&gt;"Chi"),"",IFERROR(INDEX('Danh mục'!$B$39:$B$78,MATCH(D801,'Danh mục'!$A$39:$A$78,0))&amp;"","?"))</f>
      </c>
      <c r="F801" s="16">
        <f>IF(D801="","",IF(C801="Thu",IFERROR(INDEX('Danh mục'!$B$26:$B$35,MATCH(D801,'Danh mục'!$A$26:$A$35,0))&amp;"","?"),IFERROR(INDEX('Danh mục'!$D$39:$D$78,MATCH(D801,'Danh mục'!$A$39:$A$78,0))&amp;"","?")))</f>
      </c>
      <c r="G801" s="16">
        <f>IF(OR(D801="",C801&lt;&gt;"Chi"),"",IFERROR(INDEX('Danh mục'!$C$39:$C$78,MATCH(D801,'Danh mục'!$A$39:$A$78,0))&amp;"",""))</f>
      </c>
      <c r="H801" s="11"/>
      <c r="I801" s="20"/>
      <c r="J801" s="11"/>
      <c r="K801" s="11"/>
      <c r="L801" s="11"/>
    </row>
    <row r="802" spans="1:12" x14ac:dyDescent="0.3">
      <c r="A802" s="31"/>
      <c r="B802" s="32">
        <f>IF(A802="","",DATE(YEAR(A802),MONTH(A802),1))</f>
      </c>
      <c r="C802" s="11"/>
      <c r="D802" s="11"/>
      <c r="E802" s="16">
        <f>IF(OR(D802="",C802&lt;&gt;"Chi"),"",IFERROR(INDEX('Danh mục'!$B$39:$B$78,MATCH(D802,'Danh mục'!$A$39:$A$78,0))&amp;"","?"))</f>
      </c>
      <c r="F802" s="16">
        <f>IF(D802="","",IF(C802="Thu",IFERROR(INDEX('Danh mục'!$B$26:$B$35,MATCH(D802,'Danh mục'!$A$26:$A$35,0))&amp;"","?"),IFERROR(INDEX('Danh mục'!$D$39:$D$78,MATCH(D802,'Danh mục'!$A$39:$A$78,0))&amp;"","?")))</f>
      </c>
      <c r="G802" s="16">
        <f>IF(OR(D802="",C802&lt;&gt;"Chi"),"",IFERROR(INDEX('Danh mục'!$C$39:$C$78,MATCH(D802,'Danh mục'!$A$39:$A$78,0))&amp;"",""))</f>
      </c>
      <c r="H802" s="11"/>
      <c r="I802" s="20"/>
      <c r="J802" s="11"/>
      <c r="K802" s="11"/>
      <c r="L802" s="11"/>
    </row>
    <row r="803" spans="1:12" x14ac:dyDescent="0.3">
      <c r="A803" s="31"/>
      <c r="B803" s="32">
        <f>IF(A803="","",DATE(YEAR(A803),MONTH(A803),1))</f>
      </c>
      <c r="C803" s="11"/>
      <c r="D803" s="11"/>
      <c r="E803" s="16">
        <f>IF(OR(D803="",C803&lt;&gt;"Chi"),"",IFERROR(INDEX('Danh mục'!$B$39:$B$78,MATCH(D803,'Danh mục'!$A$39:$A$78,0))&amp;"","?"))</f>
      </c>
      <c r="F803" s="16">
        <f>IF(D803="","",IF(C803="Thu",IFERROR(INDEX('Danh mục'!$B$26:$B$35,MATCH(D803,'Danh mục'!$A$26:$A$35,0))&amp;"","?"),IFERROR(INDEX('Danh mục'!$D$39:$D$78,MATCH(D803,'Danh mục'!$A$39:$A$78,0))&amp;"","?")))</f>
      </c>
      <c r="G803" s="16">
        <f>IF(OR(D803="",C803&lt;&gt;"Chi"),"",IFERROR(INDEX('Danh mục'!$C$39:$C$78,MATCH(D803,'Danh mục'!$A$39:$A$78,0))&amp;"",""))</f>
      </c>
      <c r="H803" s="11"/>
      <c r="I803" s="20"/>
      <c r="J803" s="11"/>
      <c r="K803" s="11"/>
      <c r="L803" s="11"/>
    </row>
    <row r="804" spans="1:12" x14ac:dyDescent="0.3">
      <c r="A804" s="31"/>
      <c r="B804" s="32">
        <f>IF(A804="","",DATE(YEAR(A804),MONTH(A804),1))</f>
      </c>
      <c r="C804" s="11"/>
      <c r="D804" s="11"/>
      <c r="E804" s="16">
        <f>IF(OR(D804="",C804&lt;&gt;"Chi"),"",IFERROR(INDEX('Danh mục'!$B$39:$B$78,MATCH(D804,'Danh mục'!$A$39:$A$78,0))&amp;"","?"))</f>
      </c>
      <c r="F804" s="16">
        <f>IF(D804="","",IF(C804="Thu",IFERROR(INDEX('Danh mục'!$B$26:$B$35,MATCH(D804,'Danh mục'!$A$26:$A$35,0))&amp;"","?"),IFERROR(INDEX('Danh mục'!$D$39:$D$78,MATCH(D804,'Danh mục'!$A$39:$A$78,0))&amp;"","?")))</f>
      </c>
      <c r="G804" s="16">
        <f>IF(OR(D804="",C804&lt;&gt;"Chi"),"",IFERROR(INDEX('Danh mục'!$C$39:$C$78,MATCH(D804,'Danh mục'!$A$39:$A$78,0))&amp;"",""))</f>
      </c>
      <c r="H804" s="11"/>
      <c r="I804" s="20"/>
      <c r="J804" s="11"/>
      <c r="K804" s="11"/>
      <c r="L804" s="11"/>
    </row>
    <row r="805" spans="1:12" x14ac:dyDescent="0.3">
      <c r="A805" s="31"/>
      <c r="B805" s="32">
        <f>IF(A805="","",DATE(YEAR(A805),MONTH(A805),1))</f>
      </c>
      <c r="C805" s="11"/>
      <c r="D805" s="11"/>
      <c r="E805" s="16">
        <f>IF(OR(D805="",C805&lt;&gt;"Chi"),"",IFERROR(INDEX('Danh mục'!$B$39:$B$78,MATCH(D805,'Danh mục'!$A$39:$A$78,0))&amp;"","?"))</f>
      </c>
      <c r="F805" s="16">
        <f>IF(D805="","",IF(C805="Thu",IFERROR(INDEX('Danh mục'!$B$26:$B$35,MATCH(D805,'Danh mục'!$A$26:$A$35,0))&amp;"","?"),IFERROR(INDEX('Danh mục'!$D$39:$D$78,MATCH(D805,'Danh mục'!$A$39:$A$78,0))&amp;"","?")))</f>
      </c>
      <c r="G805" s="16">
        <f>IF(OR(D805="",C805&lt;&gt;"Chi"),"",IFERROR(INDEX('Danh mục'!$C$39:$C$78,MATCH(D805,'Danh mục'!$A$39:$A$78,0))&amp;"",""))</f>
      </c>
      <c r="H805" s="11"/>
      <c r="I805" s="20"/>
      <c r="J805" s="11"/>
      <c r="K805" s="11"/>
      <c r="L805" s="11"/>
    </row>
    <row r="806" spans="1:12" x14ac:dyDescent="0.3">
      <c r="A806" s="31"/>
      <c r="B806" s="32">
        <f>IF(A806="","",DATE(YEAR(A806),MONTH(A806),1))</f>
      </c>
      <c r="C806" s="11"/>
      <c r="D806" s="11"/>
      <c r="E806" s="16">
        <f>IF(OR(D806="",C806&lt;&gt;"Chi"),"",IFERROR(INDEX('Danh mục'!$B$39:$B$78,MATCH(D806,'Danh mục'!$A$39:$A$78,0))&amp;"","?"))</f>
      </c>
      <c r="F806" s="16">
        <f>IF(D806="","",IF(C806="Thu",IFERROR(INDEX('Danh mục'!$B$26:$B$35,MATCH(D806,'Danh mục'!$A$26:$A$35,0))&amp;"","?"),IFERROR(INDEX('Danh mục'!$D$39:$D$78,MATCH(D806,'Danh mục'!$A$39:$A$78,0))&amp;"","?")))</f>
      </c>
      <c r="G806" s="16">
        <f>IF(OR(D806="",C806&lt;&gt;"Chi"),"",IFERROR(INDEX('Danh mục'!$C$39:$C$78,MATCH(D806,'Danh mục'!$A$39:$A$78,0))&amp;"",""))</f>
      </c>
      <c r="H806" s="11"/>
      <c r="I806" s="20"/>
      <c r="J806" s="11"/>
      <c r="K806" s="11"/>
      <c r="L806" s="11"/>
    </row>
    <row r="807" spans="1:12" x14ac:dyDescent="0.3">
      <c r="A807" s="31"/>
      <c r="B807" s="32">
        <f>IF(A807="","",DATE(YEAR(A807),MONTH(A807),1))</f>
      </c>
      <c r="C807" s="11"/>
      <c r="D807" s="11"/>
      <c r="E807" s="16">
        <f>IF(OR(D807="",C807&lt;&gt;"Chi"),"",IFERROR(INDEX('Danh mục'!$B$39:$B$78,MATCH(D807,'Danh mục'!$A$39:$A$78,0))&amp;"","?"))</f>
      </c>
      <c r="F807" s="16">
        <f>IF(D807="","",IF(C807="Thu",IFERROR(INDEX('Danh mục'!$B$26:$B$35,MATCH(D807,'Danh mục'!$A$26:$A$35,0))&amp;"","?"),IFERROR(INDEX('Danh mục'!$D$39:$D$78,MATCH(D807,'Danh mục'!$A$39:$A$78,0))&amp;"","?")))</f>
      </c>
      <c r="G807" s="16">
        <f>IF(OR(D807="",C807&lt;&gt;"Chi"),"",IFERROR(INDEX('Danh mục'!$C$39:$C$78,MATCH(D807,'Danh mục'!$A$39:$A$78,0))&amp;"",""))</f>
      </c>
      <c r="H807" s="11"/>
      <c r="I807" s="20"/>
      <c r="J807" s="11"/>
      <c r="K807" s="11"/>
      <c r="L807" s="11"/>
    </row>
    <row r="808" spans="1:12" x14ac:dyDescent="0.3">
      <c r="A808" s="31"/>
      <c r="B808" s="32">
        <f>IF(A808="","",DATE(YEAR(A808),MONTH(A808),1))</f>
      </c>
      <c r="C808" s="11"/>
      <c r="D808" s="11"/>
      <c r="E808" s="16">
        <f>IF(OR(D808="",C808&lt;&gt;"Chi"),"",IFERROR(INDEX('Danh mục'!$B$39:$B$78,MATCH(D808,'Danh mục'!$A$39:$A$78,0))&amp;"","?"))</f>
      </c>
      <c r="F808" s="16">
        <f>IF(D808="","",IF(C808="Thu",IFERROR(INDEX('Danh mục'!$B$26:$B$35,MATCH(D808,'Danh mục'!$A$26:$A$35,0))&amp;"","?"),IFERROR(INDEX('Danh mục'!$D$39:$D$78,MATCH(D808,'Danh mục'!$A$39:$A$78,0))&amp;"","?")))</f>
      </c>
      <c r="G808" s="16">
        <f>IF(OR(D808="",C808&lt;&gt;"Chi"),"",IFERROR(INDEX('Danh mục'!$C$39:$C$78,MATCH(D808,'Danh mục'!$A$39:$A$78,0))&amp;"",""))</f>
      </c>
      <c r="H808" s="11"/>
      <c r="I808" s="20"/>
      <c r="J808" s="11"/>
      <c r="K808" s="11"/>
      <c r="L808" s="11"/>
    </row>
    <row r="809" spans="1:12" x14ac:dyDescent="0.3">
      <c r="A809" s="31"/>
      <c r="B809" s="32">
        <f>IF(A809="","",DATE(YEAR(A809),MONTH(A809),1))</f>
      </c>
      <c r="C809" s="11"/>
      <c r="D809" s="11"/>
      <c r="E809" s="16">
        <f>IF(OR(D809="",C809&lt;&gt;"Chi"),"",IFERROR(INDEX('Danh mục'!$B$39:$B$78,MATCH(D809,'Danh mục'!$A$39:$A$78,0))&amp;"","?"))</f>
      </c>
      <c r="F809" s="16">
        <f>IF(D809="","",IF(C809="Thu",IFERROR(INDEX('Danh mục'!$B$26:$B$35,MATCH(D809,'Danh mục'!$A$26:$A$35,0))&amp;"","?"),IFERROR(INDEX('Danh mục'!$D$39:$D$78,MATCH(D809,'Danh mục'!$A$39:$A$78,0))&amp;"","?")))</f>
      </c>
      <c r="G809" s="16">
        <f>IF(OR(D809="",C809&lt;&gt;"Chi"),"",IFERROR(INDEX('Danh mục'!$C$39:$C$78,MATCH(D809,'Danh mục'!$A$39:$A$78,0))&amp;"",""))</f>
      </c>
      <c r="H809" s="11"/>
      <c r="I809" s="20"/>
      <c r="J809" s="11"/>
      <c r="K809" s="11"/>
      <c r="L809" s="11"/>
    </row>
    <row r="810" spans="1:12" x14ac:dyDescent="0.3">
      <c r="A810" s="31"/>
      <c r="B810" s="32">
        <f>IF(A810="","",DATE(YEAR(A810),MONTH(A810),1))</f>
      </c>
      <c r="C810" s="11"/>
      <c r="D810" s="11"/>
      <c r="E810" s="16">
        <f>IF(OR(D810="",C810&lt;&gt;"Chi"),"",IFERROR(INDEX('Danh mục'!$B$39:$B$78,MATCH(D810,'Danh mục'!$A$39:$A$78,0))&amp;"","?"))</f>
      </c>
      <c r="F810" s="16">
        <f>IF(D810="","",IF(C810="Thu",IFERROR(INDEX('Danh mục'!$B$26:$B$35,MATCH(D810,'Danh mục'!$A$26:$A$35,0))&amp;"","?"),IFERROR(INDEX('Danh mục'!$D$39:$D$78,MATCH(D810,'Danh mục'!$A$39:$A$78,0))&amp;"","?")))</f>
      </c>
      <c r="G810" s="16">
        <f>IF(OR(D810="",C810&lt;&gt;"Chi"),"",IFERROR(INDEX('Danh mục'!$C$39:$C$78,MATCH(D810,'Danh mục'!$A$39:$A$78,0))&amp;"",""))</f>
      </c>
      <c r="H810" s="11"/>
      <c r="I810" s="20"/>
      <c r="J810" s="11"/>
      <c r="K810" s="11"/>
      <c r="L810" s="11"/>
    </row>
    <row r="811" spans="1:12" x14ac:dyDescent="0.3">
      <c r="A811" s="31"/>
      <c r="B811" s="32">
        <f>IF(A811="","",DATE(YEAR(A811),MONTH(A811),1))</f>
      </c>
      <c r="C811" s="11"/>
      <c r="D811" s="11"/>
      <c r="E811" s="16">
        <f>IF(OR(D811="",C811&lt;&gt;"Chi"),"",IFERROR(INDEX('Danh mục'!$B$39:$B$78,MATCH(D811,'Danh mục'!$A$39:$A$78,0))&amp;"","?"))</f>
      </c>
      <c r="F811" s="16">
        <f>IF(D811="","",IF(C811="Thu",IFERROR(INDEX('Danh mục'!$B$26:$B$35,MATCH(D811,'Danh mục'!$A$26:$A$35,0))&amp;"","?"),IFERROR(INDEX('Danh mục'!$D$39:$D$78,MATCH(D811,'Danh mục'!$A$39:$A$78,0))&amp;"","?")))</f>
      </c>
      <c r="G811" s="16">
        <f>IF(OR(D811="",C811&lt;&gt;"Chi"),"",IFERROR(INDEX('Danh mục'!$C$39:$C$78,MATCH(D811,'Danh mục'!$A$39:$A$78,0))&amp;"",""))</f>
      </c>
      <c r="H811" s="11"/>
      <c r="I811" s="20"/>
      <c r="J811" s="11"/>
      <c r="K811" s="11"/>
      <c r="L811" s="11"/>
    </row>
    <row r="812" spans="1:12" x14ac:dyDescent="0.3">
      <c r="A812" s="31"/>
      <c r="B812" s="32">
        <f>IF(A812="","",DATE(YEAR(A812),MONTH(A812),1))</f>
      </c>
      <c r="C812" s="11"/>
      <c r="D812" s="11"/>
      <c r="E812" s="16">
        <f>IF(OR(D812="",C812&lt;&gt;"Chi"),"",IFERROR(INDEX('Danh mục'!$B$39:$B$78,MATCH(D812,'Danh mục'!$A$39:$A$78,0))&amp;"","?"))</f>
      </c>
      <c r="F812" s="16">
        <f>IF(D812="","",IF(C812="Thu",IFERROR(INDEX('Danh mục'!$B$26:$B$35,MATCH(D812,'Danh mục'!$A$26:$A$35,0))&amp;"","?"),IFERROR(INDEX('Danh mục'!$D$39:$D$78,MATCH(D812,'Danh mục'!$A$39:$A$78,0))&amp;"","?")))</f>
      </c>
      <c r="G812" s="16">
        <f>IF(OR(D812="",C812&lt;&gt;"Chi"),"",IFERROR(INDEX('Danh mục'!$C$39:$C$78,MATCH(D812,'Danh mục'!$A$39:$A$78,0))&amp;"",""))</f>
      </c>
      <c r="H812" s="11"/>
      <c r="I812" s="20"/>
      <c r="J812" s="11"/>
      <c r="K812" s="11"/>
      <c r="L812" s="11"/>
    </row>
    <row r="813" spans="1:12" x14ac:dyDescent="0.3">
      <c r="A813" s="31"/>
      <c r="B813" s="32">
        <f>IF(A813="","",DATE(YEAR(A813),MONTH(A813),1))</f>
      </c>
      <c r="C813" s="11"/>
      <c r="D813" s="11"/>
      <c r="E813" s="16">
        <f>IF(OR(D813="",C813&lt;&gt;"Chi"),"",IFERROR(INDEX('Danh mục'!$B$39:$B$78,MATCH(D813,'Danh mục'!$A$39:$A$78,0))&amp;"","?"))</f>
      </c>
      <c r="F813" s="16">
        <f>IF(D813="","",IF(C813="Thu",IFERROR(INDEX('Danh mục'!$B$26:$B$35,MATCH(D813,'Danh mục'!$A$26:$A$35,0))&amp;"","?"),IFERROR(INDEX('Danh mục'!$D$39:$D$78,MATCH(D813,'Danh mục'!$A$39:$A$78,0))&amp;"","?")))</f>
      </c>
      <c r="G813" s="16">
        <f>IF(OR(D813="",C813&lt;&gt;"Chi"),"",IFERROR(INDEX('Danh mục'!$C$39:$C$78,MATCH(D813,'Danh mục'!$A$39:$A$78,0))&amp;"",""))</f>
      </c>
      <c r="H813" s="11"/>
      <c r="I813" s="20"/>
      <c r="J813" s="11"/>
      <c r="K813" s="11"/>
      <c r="L813" s="11"/>
    </row>
    <row r="814" spans="1:12" x14ac:dyDescent="0.3">
      <c r="A814" s="31"/>
      <c r="B814" s="32">
        <f>IF(A814="","",DATE(YEAR(A814),MONTH(A814),1))</f>
      </c>
      <c r="C814" s="11"/>
      <c r="D814" s="11"/>
      <c r="E814" s="16">
        <f>IF(OR(D814="",C814&lt;&gt;"Chi"),"",IFERROR(INDEX('Danh mục'!$B$39:$B$78,MATCH(D814,'Danh mục'!$A$39:$A$78,0))&amp;"","?"))</f>
      </c>
      <c r="F814" s="16">
        <f>IF(D814="","",IF(C814="Thu",IFERROR(INDEX('Danh mục'!$B$26:$B$35,MATCH(D814,'Danh mục'!$A$26:$A$35,0))&amp;"","?"),IFERROR(INDEX('Danh mục'!$D$39:$D$78,MATCH(D814,'Danh mục'!$A$39:$A$78,0))&amp;"","?")))</f>
      </c>
      <c r="G814" s="16">
        <f>IF(OR(D814="",C814&lt;&gt;"Chi"),"",IFERROR(INDEX('Danh mục'!$C$39:$C$78,MATCH(D814,'Danh mục'!$A$39:$A$78,0))&amp;"",""))</f>
      </c>
      <c r="H814" s="11"/>
      <c r="I814" s="20"/>
      <c r="J814" s="11"/>
      <c r="K814" s="11"/>
      <c r="L814" s="11"/>
    </row>
    <row r="815" spans="1:12" x14ac:dyDescent="0.3">
      <c r="A815" s="31"/>
      <c r="B815" s="32">
        <f>IF(A815="","",DATE(YEAR(A815),MONTH(A815),1))</f>
      </c>
      <c r="C815" s="11"/>
      <c r="D815" s="11"/>
      <c r="E815" s="16">
        <f>IF(OR(D815="",C815&lt;&gt;"Chi"),"",IFERROR(INDEX('Danh mục'!$B$39:$B$78,MATCH(D815,'Danh mục'!$A$39:$A$78,0))&amp;"","?"))</f>
      </c>
      <c r="F815" s="16">
        <f>IF(D815="","",IF(C815="Thu",IFERROR(INDEX('Danh mục'!$B$26:$B$35,MATCH(D815,'Danh mục'!$A$26:$A$35,0))&amp;"","?"),IFERROR(INDEX('Danh mục'!$D$39:$D$78,MATCH(D815,'Danh mục'!$A$39:$A$78,0))&amp;"","?")))</f>
      </c>
      <c r="G815" s="16">
        <f>IF(OR(D815="",C815&lt;&gt;"Chi"),"",IFERROR(INDEX('Danh mục'!$C$39:$C$78,MATCH(D815,'Danh mục'!$A$39:$A$78,0))&amp;"",""))</f>
      </c>
      <c r="H815" s="11"/>
      <c r="I815" s="20"/>
      <c r="J815" s="11"/>
      <c r="K815" s="11"/>
      <c r="L815" s="11"/>
    </row>
    <row r="816" spans="1:12" x14ac:dyDescent="0.3">
      <c r="A816" s="31"/>
      <c r="B816" s="32">
        <f>IF(A816="","",DATE(YEAR(A816),MONTH(A816),1))</f>
      </c>
      <c r="C816" s="11"/>
      <c r="D816" s="11"/>
      <c r="E816" s="16">
        <f>IF(OR(D816="",C816&lt;&gt;"Chi"),"",IFERROR(INDEX('Danh mục'!$B$39:$B$78,MATCH(D816,'Danh mục'!$A$39:$A$78,0))&amp;"","?"))</f>
      </c>
      <c r="F816" s="16">
        <f>IF(D816="","",IF(C816="Thu",IFERROR(INDEX('Danh mục'!$B$26:$B$35,MATCH(D816,'Danh mục'!$A$26:$A$35,0))&amp;"","?"),IFERROR(INDEX('Danh mục'!$D$39:$D$78,MATCH(D816,'Danh mục'!$A$39:$A$78,0))&amp;"","?")))</f>
      </c>
      <c r="G816" s="16">
        <f>IF(OR(D816="",C816&lt;&gt;"Chi"),"",IFERROR(INDEX('Danh mục'!$C$39:$C$78,MATCH(D816,'Danh mục'!$A$39:$A$78,0))&amp;"",""))</f>
      </c>
      <c r="H816" s="11"/>
      <c r="I816" s="20"/>
      <c r="J816" s="11"/>
      <c r="K816" s="11"/>
      <c r="L816" s="11"/>
    </row>
    <row r="817" spans="1:12" x14ac:dyDescent="0.3">
      <c r="A817" s="31"/>
      <c r="B817" s="32">
        <f>IF(A817="","",DATE(YEAR(A817),MONTH(A817),1))</f>
      </c>
      <c r="C817" s="11"/>
      <c r="D817" s="11"/>
      <c r="E817" s="16">
        <f>IF(OR(D817="",C817&lt;&gt;"Chi"),"",IFERROR(INDEX('Danh mục'!$B$39:$B$78,MATCH(D817,'Danh mục'!$A$39:$A$78,0))&amp;"","?"))</f>
      </c>
      <c r="F817" s="16">
        <f>IF(D817="","",IF(C817="Thu",IFERROR(INDEX('Danh mục'!$B$26:$B$35,MATCH(D817,'Danh mục'!$A$26:$A$35,0))&amp;"","?"),IFERROR(INDEX('Danh mục'!$D$39:$D$78,MATCH(D817,'Danh mục'!$A$39:$A$78,0))&amp;"","?")))</f>
      </c>
      <c r="G817" s="16">
        <f>IF(OR(D817="",C817&lt;&gt;"Chi"),"",IFERROR(INDEX('Danh mục'!$C$39:$C$78,MATCH(D817,'Danh mục'!$A$39:$A$78,0))&amp;"",""))</f>
      </c>
      <c r="H817" s="11"/>
      <c r="I817" s="20"/>
      <c r="J817" s="11"/>
      <c r="K817" s="11"/>
      <c r="L817" s="11"/>
    </row>
    <row r="818" spans="1:12" x14ac:dyDescent="0.3">
      <c r="A818" s="31"/>
      <c r="B818" s="32">
        <f>IF(A818="","",DATE(YEAR(A818),MONTH(A818),1))</f>
      </c>
      <c r="C818" s="11"/>
      <c r="D818" s="11"/>
      <c r="E818" s="16">
        <f>IF(OR(D818="",C818&lt;&gt;"Chi"),"",IFERROR(INDEX('Danh mục'!$B$39:$B$78,MATCH(D818,'Danh mục'!$A$39:$A$78,0))&amp;"","?"))</f>
      </c>
      <c r="F818" s="16">
        <f>IF(D818="","",IF(C818="Thu",IFERROR(INDEX('Danh mục'!$B$26:$B$35,MATCH(D818,'Danh mục'!$A$26:$A$35,0))&amp;"","?"),IFERROR(INDEX('Danh mục'!$D$39:$D$78,MATCH(D818,'Danh mục'!$A$39:$A$78,0))&amp;"","?")))</f>
      </c>
      <c r="G818" s="16">
        <f>IF(OR(D818="",C818&lt;&gt;"Chi"),"",IFERROR(INDEX('Danh mục'!$C$39:$C$78,MATCH(D818,'Danh mục'!$A$39:$A$78,0))&amp;"",""))</f>
      </c>
      <c r="H818" s="11"/>
      <c r="I818" s="20"/>
      <c r="J818" s="11"/>
      <c r="K818" s="11"/>
      <c r="L818" s="11"/>
    </row>
    <row r="819" spans="1:12" x14ac:dyDescent="0.3">
      <c r="A819" s="31"/>
      <c r="B819" s="32">
        <f>IF(A819="","",DATE(YEAR(A819),MONTH(A819),1))</f>
      </c>
      <c r="C819" s="11"/>
      <c r="D819" s="11"/>
      <c r="E819" s="16">
        <f>IF(OR(D819="",C819&lt;&gt;"Chi"),"",IFERROR(INDEX('Danh mục'!$B$39:$B$78,MATCH(D819,'Danh mục'!$A$39:$A$78,0))&amp;"","?"))</f>
      </c>
      <c r="F819" s="16">
        <f>IF(D819="","",IF(C819="Thu",IFERROR(INDEX('Danh mục'!$B$26:$B$35,MATCH(D819,'Danh mục'!$A$26:$A$35,0))&amp;"","?"),IFERROR(INDEX('Danh mục'!$D$39:$D$78,MATCH(D819,'Danh mục'!$A$39:$A$78,0))&amp;"","?")))</f>
      </c>
      <c r="G819" s="16">
        <f>IF(OR(D819="",C819&lt;&gt;"Chi"),"",IFERROR(INDEX('Danh mục'!$C$39:$C$78,MATCH(D819,'Danh mục'!$A$39:$A$78,0))&amp;"",""))</f>
      </c>
      <c r="H819" s="11"/>
      <c r="I819" s="20"/>
      <c r="J819" s="11"/>
      <c r="K819" s="11"/>
      <c r="L819" s="11"/>
    </row>
    <row r="820" spans="1:12" x14ac:dyDescent="0.3">
      <c r="A820" s="31"/>
      <c r="B820" s="32">
        <f>IF(A820="","",DATE(YEAR(A820),MONTH(A820),1))</f>
      </c>
      <c r="C820" s="11"/>
      <c r="D820" s="11"/>
      <c r="E820" s="16">
        <f>IF(OR(D820="",C820&lt;&gt;"Chi"),"",IFERROR(INDEX('Danh mục'!$B$39:$B$78,MATCH(D820,'Danh mục'!$A$39:$A$78,0))&amp;"","?"))</f>
      </c>
      <c r="F820" s="16">
        <f>IF(D820="","",IF(C820="Thu",IFERROR(INDEX('Danh mục'!$B$26:$B$35,MATCH(D820,'Danh mục'!$A$26:$A$35,0))&amp;"","?"),IFERROR(INDEX('Danh mục'!$D$39:$D$78,MATCH(D820,'Danh mục'!$A$39:$A$78,0))&amp;"","?")))</f>
      </c>
      <c r="G820" s="16">
        <f>IF(OR(D820="",C820&lt;&gt;"Chi"),"",IFERROR(INDEX('Danh mục'!$C$39:$C$78,MATCH(D820,'Danh mục'!$A$39:$A$78,0))&amp;"",""))</f>
      </c>
      <c r="H820" s="11"/>
      <c r="I820" s="20"/>
      <c r="J820" s="11"/>
      <c r="K820" s="11"/>
      <c r="L820" s="11"/>
    </row>
    <row r="821" spans="1:12" x14ac:dyDescent="0.3">
      <c r="A821" s="31"/>
      <c r="B821" s="32">
        <f>IF(A821="","",DATE(YEAR(A821),MONTH(A821),1))</f>
      </c>
      <c r="C821" s="11"/>
      <c r="D821" s="11"/>
      <c r="E821" s="16">
        <f>IF(OR(D821="",C821&lt;&gt;"Chi"),"",IFERROR(INDEX('Danh mục'!$B$39:$B$78,MATCH(D821,'Danh mục'!$A$39:$A$78,0))&amp;"","?"))</f>
      </c>
      <c r="F821" s="16">
        <f>IF(D821="","",IF(C821="Thu",IFERROR(INDEX('Danh mục'!$B$26:$B$35,MATCH(D821,'Danh mục'!$A$26:$A$35,0))&amp;"","?"),IFERROR(INDEX('Danh mục'!$D$39:$D$78,MATCH(D821,'Danh mục'!$A$39:$A$78,0))&amp;"","?")))</f>
      </c>
      <c r="G821" s="16">
        <f>IF(OR(D821="",C821&lt;&gt;"Chi"),"",IFERROR(INDEX('Danh mục'!$C$39:$C$78,MATCH(D821,'Danh mục'!$A$39:$A$78,0))&amp;"",""))</f>
      </c>
      <c r="H821" s="11"/>
      <c r="I821" s="20"/>
      <c r="J821" s="11"/>
      <c r="K821" s="11"/>
      <c r="L821" s="11"/>
    </row>
    <row r="822" spans="1:12" x14ac:dyDescent="0.3">
      <c r="A822" s="31"/>
      <c r="B822" s="32">
        <f>IF(A822="","",DATE(YEAR(A822),MONTH(A822),1))</f>
      </c>
      <c r="C822" s="11"/>
      <c r="D822" s="11"/>
      <c r="E822" s="16">
        <f>IF(OR(D822="",C822&lt;&gt;"Chi"),"",IFERROR(INDEX('Danh mục'!$B$39:$B$78,MATCH(D822,'Danh mục'!$A$39:$A$78,0))&amp;"","?"))</f>
      </c>
      <c r="F822" s="16">
        <f>IF(D822="","",IF(C822="Thu",IFERROR(INDEX('Danh mục'!$B$26:$B$35,MATCH(D822,'Danh mục'!$A$26:$A$35,0))&amp;"","?"),IFERROR(INDEX('Danh mục'!$D$39:$D$78,MATCH(D822,'Danh mục'!$A$39:$A$78,0))&amp;"","?")))</f>
      </c>
      <c r="G822" s="16">
        <f>IF(OR(D822="",C822&lt;&gt;"Chi"),"",IFERROR(INDEX('Danh mục'!$C$39:$C$78,MATCH(D822,'Danh mục'!$A$39:$A$78,0))&amp;"",""))</f>
      </c>
      <c r="H822" s="11"/>
      <c r="I822" s="20"/>
      <c r="J822" s="11"/>
      <c r="K822" s="11"/>
      <c r="L822" s="11"/>
    </row>
    <row r="823" spans="1:12" x14ac:dyDescent="0.3">
      <c r="A823" s="31"/>
      <c r="B823" s="32">
        <f>IF(A823="","",DATE(YEAR(A823),MONTH(A823),1))</f>
      </c>
      <c r="C823" s="11"/>
      <c r="D823" s="11"/>
      <c r="E823" s="16">
        <f>IF(OR(D823="",C823&lt;&gt;"Chi"),"",IFERROR(INDEX('Danh mục'!$B$39:$B$78,MATCH(D823,'Danh mục'!$A$39:$A$78,0))&amp;"","?"))</f>
      </c>
      <c r="F823" s="16">
        <f>IF(D823="","",IF(C823="Thu",IFERROR(INDEX('Danh mục'!$B$26:$B$35,MATCH(D823,'Danh mục'!$A$26:$A$35,0))&amp;"","?"),IFERROR(INDEX('Danh mục'!$D$39:$D$78,MATCH(D823,'Danh mục'!$A$39:$A$78,0))&amp;"","?")))</f>
      </c>
      <c r="G823" s="16">
        <f>IF(OR(D823="",C823&lt;&gt;"Chi"),"",IFERROR(INDEX('Danh mục'!$C$39:$C$78,MATCH(D823,'Danh mục'!$A$39:$A$78,0))&amp;"",""))</f>
      </c>
      <c r="H823" s="11"/>
      <c r="I823" s="20"/>
      <c r="J823" s="11"/>
      <c r="K823" s="11"/>
      <c r="L823" s="11"/>
    </row>
    <row r="824" spans="1:12" x14ac:dyDescent="0.3">
      <c r="A824" s="31"/>
      <c r="B824" s="32">
        <f>IF(A824="","",DATE(YEAR(A824),MONTH(A824),1))</f>
      </c>
      <c r="C824" s="11"/>
      <c r="D824" s="11"/>
      <c r="E824" s="16">
        <f>IF(OR(D824="",C824&lt;&gt;"Chi"),"",IFERROR(INDEX('Danh mục'!$B$39:$B$78,MATCH(D824,'Danh mục'!$A$39:$A$78,0))&amp;"","?"))</f>
      </c>
      <c r="F824" s="16">
        <f>IF(D824="","",IF(C824="Thu",IFERROR(INDEX('Danh mục'!$B$26:$B$35,MATCH(D824,'Danh mục'!$A$26:$A$35,0))&amp;"","?"),IFERROR(INDEX('Danh mục'!$D$39:$D$78,MATCH(D824,'Danh mục'!$A$39:$A$78,0))&amp;"","?")))</f>
      </c>
      <c r="G824" s="16">
        <f>IF(OR(D824="",C824&lt;&gt;"Chi"),"",IFERROR(INDEX('Danh mục'!$C$39:$C$78,MATCH(D824,'Danh mục'!$A$39:$A$78,0))&amp;"",""))</f>
      </c>
      <c r="H824" s="11"/>
      <c r="I824" s="20"/>
      <c r="J824" s="11"/>
      <c r="K824" s="11"/>
      <c r="L824" s="11"/>
    </row>
    <row r="825" spans="1:12" x14ac:dyDescent="0.3">
      <c r="A825" s="31"/>
      <c r="B825" s="32">
        <f>IF(A825="","",DATE(YEAR(A825),MONTH(A825),1))</f>
      </c>
      <c r="C825" s="11"/>
      <c r="D825" s="11"/>
      <c r="E825" s="16">
        <f>IF(OR(D825="",C825&lt;&gt;"Chi"),"",IFERROR(INDEX('Danh mục'!$B$39:$B$78,MATCH(D825,'Danh mục'!$A$39:$A$78,0))&amp;"","?"))</f>
      </c>
      <c r="F825" s="16">
        <f>IF(D825="","",IF(C825="Thu",IFERROR(INDEX('Danh mục'!$B$26:$B$35,MATCH(D825,'Danh mục'!$A$26:$A$35,0))&amp;"","?"),IFERROR(INDEX('Danh mục'!$D$39:$D$78,MATCH(D825,'Danh mục'!$A$39:$A$78,0))&amp;"","?")))</f>
      </c>
      <c r="G825" s="16">
        <f>IF(OR(D825="",C825&lt;&gt;"Chi"),"",IFERROR(INDEX('Danh mục'!$C$39:$C$78,MATCH(D825,'Danh mục'!$A$39:$A$78,0))&amp;"",""))</f>
      </c>
      <c r="H825" s="11"/>
      <c r="I825" s="20"/>
      <c r="J825" s="11"/>
      <c r="K825" s="11"/>
      <c r="L825" s="11"/>
    </row>
    <row r="826" spans="1:12" x14ac:dyDescent="0.3">
      <c r="A826" s="31"/>
      <c r="B826" s="32">
        <f>IF(A826="","",DATE(YEAR(A826),MONTH(A826),1))</f>
      </c>
      <c r="C826" s="11"/>
      <c r="D826" s="11"/>
      <c r="E826" s="16">
        <f>IF(OR(D826="",C826&lt;&gt;"Chi"),"",IFERROR(INDEX('Danh mục'!$B$39:$B$78,MATCH(D826,'Danh mục'!$A$39:$A$78,0))&amp;"","?"))</f>
      </c>
      <c r="F826" s="16">
        <f>IF(D826="","",IF(C826="Thu",IFERROR(INDEX('Danh mục'!$B$26:$B$35,MATCH(D826,'Danh mục'!$A$26:$A$35,0))&amp;"","?"),IFERROR(INDEX('Danh mục'!$D$39:$D$78,MATCH(D826,'Danh mục'!$A$39:$A$78,0))&amp;"","?")))</f>
      </c>
      <c r="G826" s="16">
        <f>IF(OR(D826="",C826&lt;&gt;"Chi"),"",IFERROR(INDEX('Danh mục'!$C$39:$C$78,MATCH(D826,'Danh mục'!$A$39:$A$78,0))&amp;"",""))</f>
      </c>
      <c r="H826" s="11"/>
      <c r="I826" s="20"/>
      <c r="J826" s="11"/>
      <c r="K826" s="11"/>
      <c r="L826" s="11"/>
    </row>
    <row r="827" spans="1:12" x14ac:dyDescent="0.3">
      <c r="A827" s="31"/>
      <c r="B827" s="32">
        <f>IF(A827="","",DATE(YEAR(A827),MONTH(A827),1))</f>
      </c>
      <c r="C827" s="11"/>
      <c r="D827" s="11"/>
      <c r="E827" s="16">
        <f>IF(OR(D827="",C827&lt;&gt;"Chi"),"",IFERROR(INDEX('Danh mục'!$B$39:$B$78,MATCH(D827,'Danh mục'!$A$39:$A$78,0))&amp;"","?"))</f>
      </c>
      <c r="F827" s="16">
        <f>IF(D827="","",IF(C827="Thu",IFERROR(INDEX('Danh mục'!$B$26:$B$35,MATCH(D827,'Danh mục'!$A$26:$A$35,0))&amp;"","?"),IFERROR(INDEX('Danh mục'!$D$39:$D$78,MATCH(D827,'Danh mục'!$A$39:$A$78,0))&amp;"","?")))</f>
      </c>
      <c r="G827" s="16">
        <f>IF(OR(D827="",C827&lt;&gt;"Chi"),"",IFERROR(INDEX('Danh mục'!$C$39:$C$78,MATCH(D827,'Danh mục'!$A$39:$A$78,0))&amp;"",""))</f>
      </c>
      <c r="H827" s="11"/>
      <c r="I827" s="20"/>
      <c r="J827" s="11"/>
      <c r="K827" s="11"/>
      <c r="L827" s="11"/>
    </row>
    <row r="828" spans="1:12" x14ac:dyDescent="0.3">
      <c r="A828" s="31"/>
      <c r="B828" s="32">
        <f>IF(A828="","",DATE(YEAR(A828),MONTH(A828),1))</f>
      </c>
      <c r="C828" s="11"/>
      <c r="D828" s="11"/>
      <c r="E828" s="16">
        <f>IF(OR(D828="",C828&lt;&gt;"Chi"),"",IFERROR(INDEX('Danh mục'!$B$39:$B$78,MATCH(D828,'Danh mục'!$A$39:$A$78,0))&amp;"","?"))</f>
      </c>
      <c r="F828" s="16">
        <f>IF(D828="","",IF(C828="Thu",IFERROR(INDEX('Danh mục'!$B$26:$B$35,MATCH(D828,'Danh mục'!$A$26:$A$35,0))&amp;"","?"),IFERROR(INDEX('Danh mục'!$D$39:$D$78,MATCH(D828,'Danh mục'!$A$39:$A$78,0))&amp;"","?")))</f>
      </c>
      <c r="G828" s="16">
        <f>IF(OR(D828="",C828&lt;&gt;"Chi"),"",IFERROR(INDEX('Danh mục'!$C$39:$C$78,MATCH(D828,'Danh mục'!$A$39:$A$78,0))&amp;"",""))</f>
      </c>
      <c r="H828" s="11"/>
      <c r="I828" s="20"/>
      <c r="J828" s="11"/>
      <c r="K828" s="11"/>
      <c r="L828" s="11"/>
    </row>
    <row r="829" spans="1:12" x14ac:dyDescent="0.3">
      <c r="A829" s="31"/>
      <c r="B829" s="32">
        <f>IF(A829="","",DATE(YEAR(A829),MONTH(A829),1))</f>
      </c>
      <c r="C829" s="11"/>
      <c r="D829" s="11"/>
      <c r="E829" s="16">
        <f>IF(OR(D829="",C829&lt;&gt;"Chi"),"",IFERROR(INDEX('Danh mục'!$B$39:$B$78,MATCH(D829,'Danh mục'!$A$39:$A$78,0))&amp;"","?"))</f>
      </c>
      <c r="F829" s="16">
        <f>IF(D829="","",IF(C829="Thu",IFERROR(INDEX('Danh mục'!$B$26:$B$35,MATCH(D829,'Danh mục'!$A$26:$A$35,0))&amp;"","?"),IFERROR(INDEX('Danh mục'!$D$39:$D$78,MATCH(D829,'Danh mục'!$A$39:$A$78,0))&amp;"","?")))</f>
      </c>
      <c r="G829" s="16">
        <f>IF(OR(D829="",C829&lt;&gt;"Chi"),"",IFERROR(INDEX('Danh mục'!$C$39:$C$78,MATCH(D829,'Danh mục'!$A$39:$A$78,0))&amp;"",""))</f>
      </c>
      <c r="H829" s="11"/>
      <c r="I829" s="20"/>
      <c r="J829" s="11"/>
      <c r="K829" s="11"/>
      <c r="L829" s="11"/>
    </row>
    <row r="830" spans="1:12" x14ac:dyDescent="0.3">
      <c r="A830" s="31"/>
      <c r="B830" s="32">
        <f>IF(A830="","",DATE(YEAR(A830),MONTH(A830),1))</f>
      </c>
      <c r="C830" s="11"/>
      <c r="D830" s="11"/>
      <c r="E830" s="16">
        <f>IF(OR(D830="",C830&lt;&gt;"Chi"),"",IFERROR(INDEX('Danh mục'!$B$39:$B$78,MATCH(D830,'Danh mục'!$A$39:$A$78,0))&amp;"","?"))</f>
      </c>
      <c r="F830" s="16">
        <f>IF(D830="","",IF(C830="Thu",IFERROR(INDEX('Danh mục'!$B$26:$B$35,MATCH(D830,'Danh mục'!$A$26:$A$35,0))&amp;"","?"),IFERROR(INDEX('Danh mục'!$D$39:$D$78,MATCH(D830,'Danh mục'!$A$39:$A$78,0))&amp;"","?")))</f>
      </c>
      <c r="G830" s="16">
        <f>IF(OR(D830="",C830&lt;&gt;"Chi"),"",IFERROR(INDEX('Danh mục'!$C$39:$C$78,MATCH(D830,'Danh mục'!$A$39:$A$78,0))&amp;"",""))</f>
      </c>
      <c r="H830" s="11"/>
      <c r="I830" s="20"/>
      <c r="J830" s="11"/>
      <c r="K830" s="11"/>
      <c r="L830" s="11"/>
    </row>
    <row r="831" spans="1:12" x14ac:dyDescent="0.3">
      <c r="A831" s="31"/>
      <c r="B831" s="32">
        <f>IF(A831="","",DATE(YEAR(A831),MONTH(A831),1))</f>
      </c>
      <c r="C831" s="11"/>
      <c r="D831" s="11"/>
      <c r="E831" s="16">
        <f>IF(OR(D831="",C831&lt;&gt;"Chi"),"",IFERROR(INDEX('Danh mục'!$B$39:$B$78,MATCH(D831,'Danh mục'!$A$39:$A$78,0))&amp;"","?"))</f>
      </c>
      <c r="F831" s="16">
        <f>IF(D831="","",IF(C831="Thu",IFERROR(INDEX('Danh mục'!$B$26:$B$35,MATCH(D831,'Danh mục'!$A$26:$A$35,0))&amp;"","?"),IFERROR(INDEX('Danh mục'!$D$39:$D$78,MATCH(D831,'Danh mục'!$A$39:$A$78,0))&amp;"","?")))</f>
      </c>
      <c r="G831" s="16">
        <f>IF(OR(D831="",C831&lt;&gt;"Chi"),"",IFERROR(INDEX('Danh mục'!$C$39:$C$78,MATCH(D831,'Danh mục'!$A$39:$A$78,0))&amp;"",""))</f>
      </c>
      <c r="H831" s="11"/>
      <c r="I831" s="20"/>
      <c r="J831" s="11"/>
      <c r="K831" s="11"/>
      <c r="L831" s="11"/>
    </row>
    <row r="832" spans="1:12" x14ac:dyDescent="0.3">
      <c r="A832" s="31"/>
      <c r="B832" s="32">
        <f>IF(A832="","",DATE(YEAR(A832),MONTH(A832),1))</f>
      </c>
      <c r="C832" s="11"/>
      <c r="D832" s="11"/>
      <c r="E832" s="16">
        <f>IF(OR(D832="",C832&lt;&gt;"Chi"),"",IFERROR(INDEX('Danh mục'!$B$39:$B$78,MATCH(D832,'Danh mục'!$A$39:$A$78,0))&amp;"","?"))</f>
      </c>
      <c r="F832" s="16">
        <f>IF(D832="","",IF(C832="Thu",IFERROR(INDEX('Danh mục'!$B$26:$B$35,MATCH(D832,'Danh mục'!$A$26:$A$35,0))&amp;"","?"),IFERROR(INDEX('Danh mục'!$D$39:$D$78,MATCH(D832,'Danh mục'!$A$39:$A$78,0))&amp;"","?")))</f>
      </c>
      <c r="G832" s="16">
        <f>IF(OR(D832="",C832&lt;&gt;"Chi"),"",IFERROR(INDEX('Danh mục'!$C$39:$C$78,MATCH(D832,'Danh mục'!$A$39:$A$78,0))&amp;"",""))</f>
      </c>
      <c r="H832" s="11"/>
      <c r="I832" s="20"/>
      <c r="J832" s="11"/>
      <c r="K832" s="11"/>
      <c r="L832" s="11"/>
    </row>
    <row r="833" spans="1:12" x14ac:dyDescent="0.3">
      <c r="A833" s="31"/>
      <c r="B833" s="32">
        <f>IF(A833="","",DATE(YEAR(A833),MONTH(A833),1))</f>
      </c>
      <c r="C833" s="11"/>
      <c r="D833" s="11"/>
      <c r="E833" s="16">
        <f>IF(OR(D833="",C833&lt;&gt;"Chi"),"",IFERROR(INDEX('Danh mục'!$B$39:$B$78,MATCH(D833,'Danh mục'!$A$39:$A$78,0))&amp;"","?"))</f>
      </c>
      <c r="F833" s="16">
        <f>IF(D833="","",IF(C833="Thu",IFERROR(INDEX('Danh mục'!$B$26:$B$35,MATCH(D833,'Danh mục'!$A$26:$A$35,0))&amp;"","?"),IFERROR(INDEX('Danh mục'!$D$39:$D$78,MATCH(D833,'Danh mục'!$A$39:$A$78,0))&amp;"","?")))</f>
      </c>
      <c r="G833" s="16">
        <f>IF(OR(D833="",C833&lt;&gt;"Chi"),"",IFERROR(INDEX('Danh mục'!$C$39:$C$78,MATCH(D833,'Danh mục'!$A$39:$A$78,0))&amp;"",""))</f>
      </c>
      <c r="H833" s="11"/>
      <c r="I833" s="20"/>
      <c r="J833" s="11"/>
      <c r="K833" s="11"/>
      <c r="L833" s="11"/>
    </row>
    <row r="834" spans="1:12" x14ac:dyDescent="0.3">
      <c r="A834" s="31"/>
      <c r="B834" s="32">
        <f>IF(A834="","",DATE(YEAR(A834),MONTH(A834),1))</f>
      </c>
      <c r="C834" s="11"/>
      <c r="D834" s="11"/>
      <c r="E834" s="16">
        <f>IF(OR(D834="",C834&lt;&gt;"Chi"),"",IFERROR(INDEX('Danh mục'!$B$39:$B$78,MATCH(D834,'Danh mục'!$A$39:$A$78,0))&amp;"","?"))</f>
      </c>
      <c r="F834" s="16">
        <f>IF(D834="","",IF(C834="Thu",IFERROR(INDEX('Danh mục'!$B$26:$B$35,MATCH(D834,'Danh mục'!$A$26:$A$35,0))&amp;"","?"),IFERROR(INDEX('Danh mục'!$D$39:$D$78,MATCH(D834,'Danh mục'!$A$39:$A$78,0))&amp;"","?")))</f>
      </c>
      <c r="G834" s="16">
        <f>IF(OR(D834="",C834&lt;&gt;"Chi"),"",IFERROR(INDEX('Danh mục'!$C$39:$C$78,MATCH(D834,'Danh mục'!$A$39:$A$78,0))&amp;"",""))</f>
      </c>
      <c r="H834" s="11"/>
      <c r="I834" s="20"/>
      <c r="J834" s="11"/>
      <c r="K834" s="11"/>
      <c r="L834" s="11"/>
    </row>
    <row r="835" spans="1:12" x14ac:dyDescent="0.3">
      <c r="A835" s="31"/>
      <c r="B835" s="32">
        <f>IF(A835="","",DATE(YEAR(A835),MONTH(A835),1))</f>
      </c>
      <c r="C835" s="11"/>
      <c r="D835" s="11"/>
      <c r="E835" s="16">
        <f>IF(OR(D835="",C835&lt;&gt;"Chi"),"",IFERROR(INDEX('Danh mục'!$B$39:$B$78,MATCH(D835,'Danh mục'!$A$39:$A$78,0))&amp;"","?"))</f>
      </c>
      <c r="F835" s="16">
        <f>IF(D835="","",IF(C835="Thu",IFERROR(INDEX('Danh mục'!$B$26:$B$35,MATCH(D835,'Danh mục'!$A$26:$A$35,0))&amp;"","?"),IFERROR(INDEX('Danh mục'!$D$39:$D$78,MATCH(D835,'Danh mục'!$A$39:$A$78,0))&amp;"","?")))</f>
      </c>
      <c r="G835" s="16">
        <f>IF(OR(D835="",C835&lt;&gt;"Chi"),"",IFERROR(INDEX('Danh mục'!$C$39:$C$78,MATCH(D835,'Danh mục'!$A$39:$A$78,0))&amp;"",""))</f>
      </c>
      <c r="H835" s="11"/>
      <c r="I835" s="20"/>
      <c r="J835" s="11"/>
      <c r="K835" s="11"/>
      <c r="L835" s="11"/>
    </row>
    <row r="836" spans="1:12" x14ac:dyDescent="0.3">
      <c r="A836" s="31"/>
      <c r="B836" s="32">
        <f>IF(A836="","",DATE(YEAR(A836),MONTH(A836),1))</f>
      </c>
      <c r="C836" s="11"/>
      <c r="D836" s="11"/>
      <c r="E836" s="16">
        <f>IF(OR(D836="",C836&lt;&gt;"Chi"),"",IFERROR(INDEX('Danh mục'!$B$39:$B$78,MATCH(D836,'Danh mục'!$A$39:$A$78,0))&amp;"","?"))</f>
      </c>
      <c r="F836" s="16">
        <f>IF(D836="","",IF(C836="Thu",IFERROR(INDEX('Danh mục'!$B$26:$B$35,MATCH(D836,'Danh mục'!$A$26:$A$35,0))&amp;"","?"),IFERROR(INDEX('Danh mục'!$D$39:$D$78,MATCH(D836,'Danh mục'!$A$39:$A$78,0))&amp;"","?")))</f>
      </c>
      <c r="G836" s="16">
        <f>IF(OR(D836="",C836&lt;&gt;"Chi"),"",IFERROR(INDEX('Danh mục'!$C$39:$C$78,MATCH(D836,'Danh mục'!$A$39:$A$78,0))&amp;"",""))</f>
      </c>
      <c r="H836" s="11"/>
      <c r="I836" s="20"/>
      <c r="J836" s="11"/>
      <c r="K836" s="11"/>
      <c r="L836" s="11"/>
    </row>
    <row r="837" spans="1:12" x14ac:dyDescent="0.3">
      <c r="A837" s="31"/>
      <c r="B837" s="32">
        <f>IF(A837="","",DATE(YEAR(A837),MONTH(A837),1))</f>
      </c>
      <c r="C837" s="11"/>
      <c r="D837" s="11"/>
      <c r="E837" s="16">
        <f>IF(OR(D837="",C837&lt;&gt;"Chi"),"",IFERROR(INDEX('Danh mục'!$B$39:$B$78,MATCH(D837,'Danh mục'!$A$39:$A$78,0))&amp;"","?"))</f>
      </c>
      <c r="F837" s="16">
        <f>IF(D837="","",IF(C837="Thu",IFERROR(INDEX('Danh mục'!$B$26:$B$35,MATCH(D837,'Danh mục'!$A$26:$A$35,0))&amp;"","?"),IFERROR(INDEX('Danh mục'!$D$39:$D$78,MATCH(D837,'Danh mục'!$A$39:$A$78,0))&amp;"","?")))</f>
      </c>
      <c r="G837" s="16">
        <f>IF(OR(D837="",C837&lt;&gt;"Chi"),"",IFERROR(INDEX('Danh mục'!$C$39:$C$78,MATCH(D837,'Danh mục'!$A$39:$A$78,0))&amp;"",""))</f>
      </c>
      <c r="H837" s="11"/>
      <c r="I837" s="20"/>
      <c r="J837" s="11"/>
      <c r="K837" s="11"/>
      <c r="L837" s="11"/>
    </row>
    <row r="838" spans="1:12" x14ac:dyDescent="0.3">
      <c r="A838" s="31"/>
      <c r="B838" s="32">
        <f>IF(A838="","",DATE(YEAR(A838),MONTH(A838),1))</f>
      </c>
      <c r="C838" s="11"/>
      <c r="D838" s="11"/>
      <c r="E838" s="16">
        <f>IF(OR(D838="",C838&lt;&gt;"Chi"),"",IFERROR(INDEX('Danh mục'!$B$39:$B$78,MATCH(D838,'Danh mục'!$A$39:$A$78,0))&amp;"","?"))</f>
      </c>
      <c r="F838" s="16">
        <f>IF(D838="","",IF(C838="Thu",IFERROR(INDEX('Danh mục'!$B$26:$B$35,MATCH(D838,'Danh mục'!$A$26:$A$35,0))&amp;"","?"),IFERROR(INDEX('Danh mục'!$D$39:$D$78,MATCH(D838,'Danh mục'!$A$39:$A$78,0))&amp;"","?")))</f>
      </c>
      <c r="G838" s="16">
        <f>IF(OR(D838="",C838&lt;&gt;"Chi"),"",IFERROR(INDEX('Danh mục'!$C$39:$C$78,MATCH(D838,'Danh mục'!$A$39:$A$78,0))&amp;"",""))</f>
      </c>
      <c r="H838" s="11"/>
      <c r="I838" s="20"/>
      <c r="J838" s="11"/>
      <c r="K838" s="11"/>
      <c r="L838" s="11"/>
    </row>
    <row r="839" spans="1:12" x14ac:dyDescent="0.3">
      <c r="A839" s="31"/>
      <c r="B839" s="32">
        <f>IF(A839="","",DATE(YEAR(A839),MONTH(A839),1))</f>
      </c>
      <c r="C839" s="11"/>
      <c r="D839" s="11"/>
      <c r="E839" s="16">
        <f>IF(OR(D839="",C839&lt;&gt;"Chi"),"",IFERROR(INDEX('Danh mục'!$B$39:$B$78,MATCH(D839,'Danh mục'!$A$39:$A$78,0))&amp;"","?"))</f>
      </c>
      <c r="F839" s="16">
        <f>IF(D839="","",IF(C839="Thu",IFERROR(INDEX('Danh mục'!$B$26:$B$35,MATCH(D839,'Danh mục'!$A$26:$A$35,0))&amp;"","?"),IFERROR(INDEX('Danh mục'!$D$39:$D$78,MATCH(D839,'Danh mục'!$A$39:$A$78,0))&amp;"","?")))</f>
      </c>
      <c r="G839" s="16">
        <f>IF(OR(D839="",C839&lt;&gt;"Chi"),"",IFERROR(INDEX('Danh mục'!$C$39:$C$78,MATCH(D839,'Danh mục'!$A$39:$A$78,0))&amp;"",""))</f>
      </c>
      <c r="H839" s="11"/>
      <c r="I839" s="20"/>
      <c r="J839" s="11"/>
      <c r="K839" s="11"/>
      <c r="L839" s="11"/>
    </row>
    <row r="840" spans="1:12" x14ac:dyDescent="0.3">
      <c r="A840" s="31"/>
      <c r="B840" s="32">
        <f>IF(A840="","",DATE(YEAR(A840),MONTH(A840),1))</f>
      </c>
      <c r="C840" s="11"/>
      <c r="D840" s="11"/>
      <c r="E840" s="16">
        <f>IF(OR(D840="",C840&lt;&gt;"Chi"),"",IFERROR(INDEX('Danh mục'!$B$39:$B$78,MATCH(D840,'Danh mục'!$A$39:$A$78,0))&amp;"","?"))</f>
      </c>
      <c r="F840" s="16">
        <f>IF(D840="","",IF(C840="Thu",IFERROR(INDEX('Danh mục'!$B$26:$B$35,MATCH(D840,'Danh mục'!$A$26:$A$35,0))&amp;"","?"),IFERROR(INDEX('Danh mục'!$D$39:$D$78,MATCH(D840,'Danh mục'!$A$39:$A$78,0))&amp;"","?")))</f>
      </c>
      <c r="G840" s="16">
        <f>IF(OR(D840="",C840&lt;&gt;"Chi"),"",IFERROR(INDEX('Danh mục'!$C$39:$C$78,MATCH(D840,'Danh mục'!$A$39:$A$78,0))&amp;"",""))</f>
      </c>
      <c r="H840" s="11"/>
      <c r="I840" s="20"/>
      <c r="J840" s="11"/>
      <c r="K840" s="11"/>
      <c r="L840" s="11"/>
    </row>
    <row r="841" spans="1:12" x14ac:dyDescent="0.3">
      <c r="A841" s="31"/>
      <c r="B841" s="32">
        <f>IF(A841="","",DATE(YEAR(A841),MONTH(A841),1))</f>
      </c>
      <c r="C841" s="11"/>
      <c r="D841" s="11"/>
      <c r="E841" s="16">
        <f>IF(OR(D841="",C841&lt;&gt;"Chi"),"",IFERROR(INDEX('Danh mục'!$B$39:$B$78,MATCH(D841,'Danh mục'!$A$39:$A$78,0))&amp;"","?"))</f>
      </c>
      <c r="F841" s="16">
        <f>IF(D841="","",IF(C841="Thu",IFERROR(INDEX('Danh mục'!$B$26:$B$35,MATCH(D841,'Danh mục'!$A$26:$A$35,0))&amp;"","?"),IFERROR(INDEX('Danh mục'!$D$39:$D$78,MATCH(D841,'Danh mục'!$A$39:$A$78,0))&amp;"","?")))</f>
      </c>
      <c r="G841" s="16">
        <f>IF(OR(D841="",C841&lt;&gt;"Chi"),"",IFERROR(INDEX('Danh mục'!$C$39:$C$78,MATCH(D841,'Danh mục'!$A$39:$A$78,0))&amp;"",""))</f>
      </c>
      <c r="H841" s="11"/>
      <c r="I841" s="20"/>
      <c r="J841" s="11"/>
      <c r="K841" s="11"/>
      <c r="L841" s="11"/>
    </row>
    <row r="842" spans="1:12" x14ac:dyDescent="0.3">
      <c r="A842" s="31"/>
      <c r="B842" s="32">
        <f>IF(A842="","",DATE(YEAR(A842),MONTH(A842),1))</f>
      </c>
      <c r="C842" s="11"/>
      <c r="D842" s="11"/>
      <c r="E842" s="16">
        <f>IF(OR(D842="",C842&lt;&gt;"Chi"),"",IFERROR(INDEX('Danh mục'!$B$39:$B$78,MATCH(D842,'Danh mục'!$A$39:$A$78,0))&amp;"","?"))</f>
      </c>
      <c r="F842" s="16">
        <f>IF(D842="","",IF(C842="Thu",IFERROR(INDEX('Danh mục'!$B$26:$B$35,MATCH(D842,'Danh mục'!$A$26:$A$35,0))&amp;"","?"),IFERROR(INDEX('Danh mục'!$D$39:$D$78,MATCH(D842,'Danh mục'!$A$39:$A$78,0))&amp;"","?")))</f>
      </c>
      <c r="G842" s="16">
        <f>IF(OR(D842="",C842&lt;&gt;"Chi"),"",IFERROR(INDEX('Danh mục'!$C$39:$C$78,MATCH(D842,'Danh mục'!$A$39:$A$78,0))&amp;"",""))</f>
      </c>
      <c r="H842" s="11"/>
      <c r="I842" s="20"/>
      <c r="J842" s="11"/>
      <c r="K842" s="11"/>
      <c r="L842" s="11"/>
    </row>
    <row r="843" spans="1:12" x14ac:dyDescent="0.3">
      <c r="A843" s="31"/>
      <c r="B843" s="32">
        <f>IF(A843="","",DATE(YEAR(A843),MONTH(A843),1))</f>
      </c>
      <c r="C843" s="11"/>
      <c r="D843" s="11"/>
      <c r="E843" s="16">
        <f>IF(OR(D843="",C843&lt;&gt;"Chi"),"",IFERROR(INDEX('Danh mục'!$B$39:$B$78,MATCH(D843,'Danh mục'!$A$39:$A$78,0))&amp;"","?"))</f>
      </c>
      <c r="F843" s="16">
        <f>IF(D843="","",IF(C843="Thu",IFERROR(INDEX('Danh mục'!$B$26:$B$35,MATCH(D843,'Danh mục'!$A$26:$A$35,0))&amp;"","?"),IFERROR(INDEX('Danh mục'!$D$39:$D$78,MATCH(D843,'Danh mục'!$A$39:$A$78,0))&amp;"","?")))</f>
      </c>
      <c r="G843" s="16">
        <f>IF(OR(D843="",C843&lt;&gt;"Chi"),"",IFERROR(INDEX('Danh mục'!$C$39:$C$78,MATCH(D843,'Danh mục'!$A$39:$A$78,0))&amp;"",""))</f>
      </c>
      <c r="H843" s="11"/>
      <c r="I843" s="20"/>
      <c r="J843" s="11"/>
      <c r="K843" s="11"/>
      <c r="L843" s="11"/>
    </row>
    <row r="844" spans="1:12" x14ac:dyDescent="0.3">
      <c r="A844" s="31"/>
      <c r="B844" s="32">
        <f>IF(A844="","",DATE(YEAR(A844),MONTH(A844),1))</f>
      </c>
      <c r="C844" s="11"/>
      <c r="D844" s="11"/>
      <c r="E844" s="16">
        <f>IF(OR(D844="",C844&lt;&gt;"Chi"),"",IFERROR(INDEX('Danh mục'!$B$39:$B$78,MATCH(D844,'Danh mục'!$A$39:$A$78,0))&amp;"","?"))</f>
      </c>
      <c r="F844" s="16">
        <f>IF(D844="","",IF(C844="Thu",IFERROR(INDEX('Danh mục'!$B$26:$B$35,MATCH(D844,'Danh mục'!$A$26:$A$35,0))&amp;"","?"),IFERROR(INDEX('Danh mục'!$D$39:$D$78,MATCH(D844,'Danh mục'!$A$39:$A$78,0))&amp;"","?")))</f>
      </c>
      <c r="G844" s="16">
        <f>IF(OR(D844="",C844&lt;&gt;"Chi"),"",IFERROR(INDEX('Danh mục'!$C$39:$C$78,MATCH(D844,'Danh mục'!$A$39:$A$78,0))&amp;"",""))</f>
      </c>
      <c r="H844" s="11"/>
      <c r="I844" s="20"/>
      <c r="J844" s="11"/>
      <c r="K844" s="11"/>
      <c r="L844" s="11"/>
    </row>
    <row r="845" spans="1:12" x14ac:dyDescent="0.3">
      <c r="A845" s="31"/>
      <c r="B845" s="32">
        <f>IF(A845="","",DATE(YEAR(A845),MONTH(A845),1))</f>
      </c>
      <c r="C845" s="11"/>
      <c r="D845" s="11"/>
      <c r="E845" s="16">
        <f>IF(OR(D845="",C845&lt;&gt;"Chi"),"",IFERROR(INDEX('Danh mục'!$B$39:$B$78,MATCH(D845,'Danh mục'!$A$39:$A$78,0))&amp;"","?"))</f>
      </c>
      <c r="F845" s="16">
        <f>IF(D845="","",IF(C845="Thu",IFERROR(INDEX('Danh mục'!$B$26:$B$35,MATCH(D845,'Danh mục'!$A$26:$A$35,0))&amp;"","?"),IFERROR(INDEX('Danh mục'!$D$39:$D$78,MATCH(D845,'Danh mục'!$A$39:$A$78,0))&amp;"","?")))</f>
      </c>
      <c r="G845" s="16">
        <f>IF(OR(D845="",C845&lt;&gt;"Chi"),"",IFERROR(INDEX('Danh mục'!$C$39:$C$78,MATCH(D845,'Danh mục'!$A$39:$A$78,0))&amp;"",""))</f>
      </c>
      <c r="H845" s="11"/>
      <c r="I845" s="20"/>
      <c r="J845" s="11"/>
      <c r="K845" s="11"/>
      <c r="L845" s="11"/>
    </row>
    <row r="846" spans="1:12" x14ac:dyDescent="0.3">
      <c r="A846" s="31"/>
      <c r="B846" s="32">
        <f>IF(A846="","",DATE(YEAR(A846),MONTH(A846),1))</f>
      </c>
      <c r="C846" s="11"/>
      <c r="D846" s="11"/>
      <c r="E846" s="16">
        <f>IF(OR(D846="",C846&lt;&gt;"Chi"),"",IFERROR(INDEX('Danh mục'!$B$39:$B$78,MATCH(D846,'Danh mục'!$A$39:$A$78,0))&amp;"","?"))</f>
      </c>
      <c r="F846" s="16">
        <f>IF(D846="","",IF(C846="Thu",IFERROR(INDEX('Danh mục'!$B$26:$B$35,MATCH(D846,'Danh mục'!$A$26:$A$35,0))&amp;"","?"),IFERROR(INDEX('Danh mục'!$D$39:$D$78,MATCH(D846,'Danh mục'!$A$39:$A$78,0))&amp;"","?")))</f>
      </c>
      <c r="G846" s="16">
        <f>IF(OR(D846="",C846&lt;&gt;"Chi"),"",IFERROR(INDEX('Danh mục'!$C$39:$C$78,MATCH(D846,'Danh mục'!$A$39:$A$78,0))&amp;"",""))</f>
      </c>
      <c r="H846" s="11"/>
      <c r="I846" s="20"/>
      <c r="J846" s="11"/>
      <c r="K846" s="11"/>
      <c r="L846" s="11"/>
    </row>
    <row r="847" spans="1:12" x14ac:dyDescent="0.3">
      <c r="A847" s="31"/>
      <c r="B847" s="32">
        <f>IF(A847="","",DATE(YEAR(A847),MONTH(A847),1))</f>
      </c>
      <c r="C847" s="11"/>
      <c r="D847" s="11"/>
      <c r="E847" s="16">
        <f>IF(OR(D847="",C847&lt;&gt;"Chi"),"",IFERROR(INDEX('Danh mục'!$B$39:$B$78,MATCH(D847,'Danh mục'!$A$39:$A$78,0))&amp;"","?"))</f>
      </c>
      <c r="F847" s="16">
        <f>IF(D847="","",IF(C847="Thu",IFERROR(INDEX('Danh mục'!$B$26:$B$35,MATCH(D847,'Danh mục'!$A$26:$A$35,0))&amp;"","?"),IFERROR(INDEX('Danh mục'!$D$39:$D$78,MATCH(D847,'Danh mục'!$A$39:$A$78,0))&amp;"","?")))</f>
      </c>
      <c r="G847" s="16">
        <f>IF(OR(D847="",C847&lt;&gt;"Chi"),"",IFERROR(INDEX('Danh mục'!$C$39:$C$78,MATCH(D847,'Danh mục'!$A$39:$A$78,0))&amp;"",""))</f>
      </c>
      <c r="H847" s="11"/>
      <c r="I847" s="20"/>
      <c r="J847" s="11"/>
      <c r="K847" s="11"/>
      <c r="L847" s="11"/>
    </row>
    <row r="848" spans="1:12" x14ac:dyDescent="0.3">
      <c r="A848" s="31"/>
      <c r="B848" s="32">
        <f>IF(A848="","",DATE(YEAR(A848),MONTH(A848),1))</f>
      </c>
      <c r="C848" s="11"/>
      <c r="D848" s="11"/>
      <c r="E848" s="16">
        <f>IF(OR(D848="",C848&lt;&gt;"Chi"),"",IFERROR(INDEX('Danh mục'!$B$39:$B$78,MATCH(D848,'Danh mục'!$A$39:$A$78,0))&amp;"","?"))</f>
      </c>
      <c r="F848" s="16">
        <f>IF(D848="","",IF(C848="Thu",IFERROR(INDEX('Danh mục'!$B$26:$B$35,MATCH(D848,'Danh mục'!$A$26:$A$35,0))&amp;"","?"),IFERROR(INDEX('Danh mục'!$D$39:$D$78,MATCH(D848,'Danh mục'!$A$39:$A$78,0))&amp;"","?")))</f>
      </c>
      <c r="G848" s="16">
        <f>IF(OR(D848="",C848&lt;&gt;"Chi"),"",IFERROR(INDEX('Danh mục'!$C$39:$C$78,MATCH(D848,'Danh mục'!$A$39:$A$78,0))&amp;"",""))</f>
      </c>
      <c r="H848" s="11"/>
      <c r="I848" s="20"/>
      <c r="J848" s="11"/>
      <c r="K848" s="11"/>
      <c r="L848" s="11"/>
    </row>
    <row r="849" spans="1:12" x14ac:dyDescent="0.3">
      <c r="A849" s="31"/>
      <c r="B849" s="32">
        <f>IF(A849="","",DATE(YEAR(A849),MONTH(A849),1))</f>
      </c>
      <c r="C849" s="11"/>
      <c r="D849" s="11"/>
      <c r="E849" s="16">
        <f>IF(OR(D849="",C849&lt;&gt;"Chi"),"",IFERROR(INDEX('Danh mục'!$B$39:$B$78,MATCH(D849,'Danh mục'!$A$39:$A$78,0))&amp;"","?"))</f>
      </c>
      <c r="F849" s="16">
        <f>IF(D849="","",IF(C849="Thu",IFERROR(INDEX('Danh mục'!$B$26:$B$35,MATCH(D849,'Danh mục'!$A$26:$A$35,0))&amp;"","?"),IFERROR(INDEX('Danh mục'!$D$39:$D$78,MATCH(D849,'Danh mục'!$A$39:$A$78,0))&amp;"","?")))</f>
      </c>
      <c r="G849" s="16">
        <f>IF(OR(D849="",C849&lt;&gt;"Chi"),"",IFERROR(INDEX('Danh mục'!$C$39:$C$78,MATCH(D849,'Danh mục'!$A$39:$A$78,0))&amp;"",""))</f>
      </c>
      <c r="H849" s="11"/>
      <c r="I849" s="20"/>
      <c r="J849" s="11"/>
      <c r="K849" s="11"/>
      <c r="L849" s="11"/>
    </row>
    <row r="850" spans="1:12" x14ac:dyDescent="0.3">
      <c r="A850" s="31"/>
      <c r="B850" s="32">
        <f>IF(A850="","",DATE(YEAR(A850),MONTH(A850),1))</f>
      </c>
      <c r="C850" s="11"/>
      <c r="D850" s="11"/>
      <c r="E850" s="16">
        <f>IF(OR(D850="",C850&lt;&gt;"Chi"),"",IFERROR(INDEX('Danh mục'!$B$39:$B$78,MATCH(D850,'Danh mục'!$A$39:$A$78,0))&amp;"","?"))</f>
      </c>
      <c r="F850" s="16">
        <f>IF(D850="","",IF(C850="Thu",IFERROR(INDEX('Danh mục'!$B$26:$B$35,MATCH(D850,'Danh mục'!$A$26:$A$35,0))&amp;"","?"),IFERROR(INDEX('Danh mục'!$D$39:$D$78,MATCH(D850,'Danh mục'!$A$39:$A$78,0))&amp;"","?")))</f>
      </c>
      <c r="G850" s="16">
        <f>IF(OR(D850="",C850&lt;&gt;"Chi"),"",IFERROR(INDEX('Danh mục'!$C$39:$C$78,MATCH(D850,'Danh mục'!$A$39:$A$78,0))&amp;"",""))</f>
      </c>
      <c r="H850" s="11"/>
      <c r="I850" s="20"/>
      <c r="J850" s="11"/>
      <c r="K850" s="11"/>
      <c r="L850" s="11"/>
    </row>
    <row r="851" spans="1:12" x14ac:dyDescent="0.3">
      <c r="A851" s="31"/>
      <c r="B851" s="32">
        <f>IF(A851="","",DATE(YEAR(A851),MONTH(A851),1))</f>
      </c>
      <c r="C851" s="11"/>
      <c r="D851" s="11"/>
      <c r="E851" s="16">
        <f>IF(OR(D851="",C851&lt;&gt;"Chi"),"",IFERROR(INDEX('Danh mục'!$B$39:$B$78,MATCH(D851,'Danh mục'!$A$39:$A$78,0))&amp;"","?"))</f>
      </c>
      <c r="F851" s="16">
        <f>IF(D851="","",IF(C851="Thu",IFERROR(INDEX('Danh mục'!$B$26:$B$35,MATCH(D851,'Danh mục'!$A$26:$A$35,0))&amp;"","?"),IFERROR(INDEX('Danh mục'!$D$39:$D$78,MATCH(D851,'Danh mục'!$A$39:$A$78,0))&amp;"","?")))</f>
      </c>
      <c r="G851" s="16">
        <f>IF(OR(D851="",C851&lt;&gt;"Chi"),"",IFERROR(INDEX('Danh mục'!$C$39:$C$78,MATCH(D851,'Danh mục'!$A$39:$A$78,0))&amp;"",""))</f>
      </c>
      <c r="H851" s="11"/>
      <c r="I851" s="20"/>
      <c r="J851" s="11"/>
      <c r="K851" s="11"/>
      <c r="L851" s="11"/>
    </row>
    <row r="852" spans="1:12" x14ac:dyDescent="0.3">
      <c r="A852" s="31"/>
      <c r="B852" s="32">
        <f>IF(A852="","",DATE(YEAR(A852),MONTH(A852),1))</f>
      </c>
      <c r="C852" s="11"/>
      <c r="D852" s="11"/>
      <c r="E852" s="16">
        <f>IF(OR(D852="",C852&lt;&gt;"Chi"),"",IFERROR(INDEX('Danh mục'!$B$39:$B$78,MATCH(D852,'Danh mục'!$A$39:$A$78,0))&amp;"","?"))</f>
      </c>
      <c r="F852" s="16">
        <f>IF(D852="","",IF(C852="Thu",IFERROR(INDEX('Danh mục'!$B$26:$B$35,MATCH(D852,'Danh mục'!$A$26:$A$35,0))&amp;"","?"),IFERROR(INDEX('Danh mục'!$D$39:$D$78,MATCH(D852,'Danh mục'!$A$39:$A$78,0))&amp;"","?")))</f>
      </c>
      <c r="G852" s="16">
        <f>IF(OR(D852="",C852&lt;&gt;"Chi"),"",IFERROR(INDEX('Danh mục'!$C$39:$C$78,MATCH(D852,'Danh mục'!$A$39:$A$78,0))&amp;"",""))</f>
      </c>
      <c r="H852" s="11"/>
      <c r="I852" s="20"/>
      <c r="J852" s="11"/>
      <c r="K852" s="11"/>
      <c r="L852" s="11"/>
    </row>
    <row r="853" spans="1:12" x14ac:dyDescent="0.3">
      <c r="A853" s="31"/>
      <c r="B853" s="32">
        <f>IF(A853="","",DATE(YEAR(A853),MONTH(A853),1))</f>
      </c>
      <c r="C853" s="11"/>
      <c r="D853" s="11"/>
      <c r="E853" s="16">
        <f>IF(OR(D853="",C853&lt;&gt;"Chi"),"",IFERROR(INDEX('Danh mục'!$B$39:$B$78,MATCH(D853,'Danh mục'!$A$39:$A$78,0))&amp;"","?"))</f>
      </c>
      <c r="F853" s="16">
        <f>IF(D853="","",IF(C853="Thu",IFERROR(INDEX('Danh mục'!$B$26:$B$35,MATCH(D853,'Danh mục'!$A$26:$A$35,0))&amp;"","?"),IFERROR(INDEX('Danh mục'!$D$39:$D$78,MATCH(D853,'Danh mục'!$A$39:$A$78,0))&amp;"","?")))</f>
      </c>
      <c r="G853" s="16">
        <f>IF(OR(D853="",C853&lt;&gt;"Chi"),"",IFERROR(INDEX('Danh mục'!$C$39:$C$78,MATCH(D853,'Danh mục'!$A$39:$A$78,0))&amp;"",""))</f>
      </c>
      <c r="H853" s="11"/>
      <c r="I853" s="20"/>
      <c r="J853" s="11"/>
      <c r="K853" s="11"/>
      <c r="L853" s="11"/>
    </row>
    <row r="854" spans="1:12" x14ac:dyDescent="0.3">
      <c r="A854" s="31"/>
      <c r="B854" s="32">
        <f>IF(A854="","",DATE(YEAR(A854),MONTH(A854),1))</f>
      </c>
      <c r="C854" s="11"/>
      <c r="D854" s="11"/>
      <c r="E854" s="16">
        <f>IF(OR(D854="",C854&lt;&gt;"Chi"),"",IFERROR(INDEX('Danh mục'!$B$39:$B$78,MATCH(D854,'Danh mục'!$A$39:$A$78,0))&amp;"","?"))</f>
      </c>
      <c r="F854" s="16">
        <f>IF(D854="","",IF(C854="Thu",IFERROR(INDEX('Danh mục'!$B$26:$B$35,MATCH(D854,'Danh mục'!$A$26:$A$35,0))&amp;"","?"),IFERROR(INDEX('Danh mục'!$D$39:$D$78,MATCH(D854,'Danh mục'!$A$39:$A$78,0))&amp;"","?")))</f>
      </c>
      <c r="G854" s="16">
        <f>IF(OR(D854="",C854&lt;&gt;"Chi"),"",IFERROR(INDEX('Danh mục'!$C$39:$C$78,MATCH(D854,'Danh mục'!$A$39:$A$78,0))&amp;"",""))</f>
      </c>
      <c r="H854" s="11"/>
      <c r="I854" s="20"/>
      <c r="J854" s="11"/>
      <c r="K854" s="11"/>
      <c r="L854" s="11"/>
    </row>
    <row r="855" spans="1:12" x14ac:dyDescent="0.3">
      <c r="A855" s="31"/>
      <c r="B855" s="32">
        <f>IF(A855="","",DATE(YEAR(A855),MONTH(A855),1))</f>
      </c>
      <c r="C855" s="11"/>
      <c r="D855" s="11"/>
      <c r="E855" s="16">
        <f>IF(OR(D855="",C855&lt;&gt;"Chi"),"",IFERROR(INDEX('Danh mục'!$B$39:$B$78,MATCH(D855,'Danh mục'!$A$39:$A$78,0))&amp;"","?"))</f>
      </c>
      <c r="F855" s="16">
        <f>IF(D855="","",IF(C855="Thu",IFERROR(INDEX('Danh mục'!$B$26:$B$35,MATCH(D855,'Danh mục'!$A$26:$A$35,0))&amp;"","?"),IFERROR(INDEX('Danh mục'!$D$39:$D$78,MATCH(D855,'Danh mục'!$A$39:$A$78,0))&amp;"","?")))</f>
      </c>
      <c r="G855" s="16">
        <f>IF(OR(D855="",C855&lt;&gt;"Chi"),"",IFERROR(INDEX('Danh mục'!$C$39:$C$78,MATCH(D855,'Danh mục'!$A$39:$A$78,0))&amp;"",""))</f>
      </c>
      <c r="H855" s="11"/>
      <c r="I855" s="20"/>
      <c r="J855" s="11"/>
      <c r="K855" s="11"/>
      <c r="L855" s="11"/>
    </row>
    <row r="856" spans="1:12" x14ac:dyDescent="0.3">
      <c r="A856" s="31"/>
      <c r="B856" s="32">
        <f>IF(A856="","",DATE(YEAR(A856),MONTH(A856),1))</f>
      </c>
      <c r="C856" s="11"/>
      <c r="D856" s="11"/>
      <c r="E856" s="16">
        <f>IF(OR(D856="",C856&lt;&gt;"Chi"),"",IFERROR(INDEX('Danh mục'!$B$39:$B$78,MATCH(D856,'Danh mục'!$A$39:$A$78,0))&amp;"","?"))</f>
      </c>
      <c r="F856" s="16">
        <f>IF(D856="","",IF(C856="Thu",IFERROR(INDEX('Danh mục'!$B$26:$B$35,MATCH(D856,'Danh mục'!$A$26:$A$35,0))&amp;"","?"),IFERROR(INDEX('Danh mục'!$D$39:$D$78,MATCH(D856,'Danh mục'!$A$39:$A$78,0))&amp;"","?")))</f>
      </c>
      <c r="G856" s="16">
        <f>IF(OR(D856="",C856&lt;&gt;"Chi"),"",IFERROR(INDEX('Danh mục'!$C$39:$C$78,MATCH(D856,'Danh mục'!$A$39:$A$78,0))&amp;"",""))</f>
      </c>
      <c r="H856" s="11"/>
      <c r="I856" s="20"/>
      <c r="J856" s="11"/>
      <c r="K856" s="11"/>
      <c r="L856" s="11"/>
    </row>
    <row r="857" spans="1:12" x14ac:dyDescent="0.3">
      <c r="A857" s="31"/>
      <c r="B857" s="32">
        <f>IF(A857="","",DATE(YEAR(A857),MONTH(A857),1))</f>
      </c>
      <c r="C857" s="11"/>
      <c r="D857" s="11"/>
      <c r="E857" s="16">
        <f>IF(OR(D857="",C857&lt;&gt;"Chi"),"",IFERROR(INDEX('Danh mục'!$B$39:$B$78,MATCH(D857,'Danh mục'!$A$39:$A$78,0))&amp;"","?"))</f>
      </c>
      <c r="F857" s="16">
        <f>IF(D857="","",IF(C857="Thu",IFERROR(INDEX('Danh mục'!$B$26:$B$35,MATCH(D857,'Danh mục'!$A$26:$A$35,0))&amp;"","?"),IFERROR(INDEX('Danh mục'!$D$39:$D$78,MATCH(D857,'Danh mục'!$A$39:$A$78,0))&amp;"","?")))</f>
      </c>
      <c r="G857" s="16">
        <f>IF(OR(D857="",C857&lt;&gt;"Chi"),"",IFERROR(INDEX('Danh mục'!$C$39:$C$78,MATCH(D857,'Danh mục'!$A$39:$A$78,0))&amp;"",""))</f>
      </c>
      <c r="H857" s="11"/>
      <c r="I857" s="20"/>
      <c r="J857" s="11"/>
      <c r="K857" s="11"/>
      <c r="L857" s="11"/>
    </row>
    <row r="858" spans="1:12" x14ac:dyDescent="0.3">
      <c r="A858" s="31"/>
      <c r="B858" s="32">
        <f>IF(A858="","",DATE(YEAR(A858),MONTH(A858),1))</f>
      </c>
      <c r="C858" s="11"/>
      <c r="D858" s="11"/>
      <c r="E858" s="16">
        <f>IF(OR(D858="",C858&lt;&gt;"Chi"),"",IFERROR(INDEX('Danh mục'!$B$39:$B$78,MATCH(D858,'Danh mục'!$A$39:$A$78,0))&amp;"","?"))</f>
      </c>
      <c r="F858" s="16">
        <f>IF(D858="","",IF(C858="Thu",IFERROR(INDEX('Danh mục'!$B$26:$B$35,MATCH(D858,'Danh mục'!$A$26:$A$35,0))&amp;"","?"),IFERROR(INDEX('Danh mục'!$D$39:$D$78,MATCH(D858,'Danh mục'!$A$39:$A$78,0))&amp;"","?")))</f>
      </c>
      <c r="G858" s="16">
        <f>IF(OR(D858="",C858&lt;&gt;"Chi"),"",IFERROR(INDEX('Danh mục'!$C$39:$C$78,MATCH(D858,'Danh mục'!$A$39:$A$78,0))&amp;"",""))</f>
      </c>
      <c r="H858" s="11"/>
      <c r="I858" s="20"/>
      <c r="J858" s="11"/>
      <c r="K858" s="11"/>
      <c r="L858" s="11"/>
    </row>
    <row r="859" spans="1:12" x14ac:dyDescent="0.3">
      <c r="A859" s="31"/>
      <c r="B859" s="32">
        <f>IF(A859="","",DATE(YEAR(A859),MONTH(A859),1))</f>
      </c>
      <c r="C859" s="11"/>
      <c r="D859" s="11"/>
      <c r="E859" s="16">
        <f>IF(OR(D859="",C859&lt;&gt;"Chi"),"",IFERROR(INDEX('Danh mục'!$B$39:$B$78,MATCH(D859,'Danh mục'!$A$39:$A$78,0))&amp;"","?"))</f>
      </c>
      <c r="F859" s="16">
        <f>IF(D859="","",IF(C859="Thu",IFERROR(INDEX('Danh mục'!$B$26:$B$35,MATCH(D859,'Danh mục'!$A$26:$A$35,0))&amp;"","?"),IFERROR(INDEX('Danh mục'!$D$39:$D$78,MATCH(D859,'Danh mục'!$A$39:$A$78,0))&amp;"","?")))</f>
      </c>
      <c r="G859" s="16">
        <f>IF(OR(D859="",C859&lt;&gt;"Chi"),"",IFERROR(INDEX('Danh mục'!$C$39:$C$78,MATCH(D859,'Danh mục'!$A$39:$A$78,0))&amp;"",""))</f>
      </c>
      <c r="H859" s="11"/>
      <c r="I859" s="20"/>
      <c r="J859" s="11"/>
      <c r="K859" s="11"/>
      <c r="L859" s="11"/>
    </row>
    <row r="860" spans="1:12" x14ac:dyDescent="0.3">
      <c r="A860" s="31"/>
      <c r="B860" s="32">
        <f>IF(A860="","",DATE(YEAR(A860),MONTH(A860),1))</f>
      </c>
      <c r="C860" s="11"/>
      <c r="D860" s="11"/>
      <c r="E860" s="16">
        <f>IF(OR(D860="",C860&lt;&gt;"Chi"),"",IFERROR(INDEX('Danh mục'!$B$39:$B$78,MATCH(D860,'Danh mục'!$A$39:$A$78,0))&amp;"","?"))</f>
      </c>
      <c r="F860" s="16">
        <f>IF(D860="","",IF(C860="Thu",IFERROR(INDEX('Danh mục'!$B$26:$B$35,MATCH(D860,'Danh mục'!$A$26:$A$35,0))&amp;"","?"),IFERROR(INDEX('Danh mục'!$D$39:$D$78,MATCH(D860,'Danh mục'!$A$39:$A$78,0))&amp;"","?")))</f>
      </c>
      <c r="G860" s="16">
        <f>IF(OR(D860="",C860&lt;&gt;"Chi"),"",IFERROR(INDEX('Danh mục'!$C$39:$C$78,MATCH(D860,'Danh mục'!$A$39:$A$78,0))&amp;"",""))</f>
      </c>
      <c r="H860" s="11"/>
      <c r="I860" s="20"/>
      <c r="J860" s="11"/>
      <c r="K860" s="11"/>
      <c r="L860" s="11"/>
    </row>
    <row r="861" spans="1:12" x14ac:dyDescent="0.3">
      <c r="A861" s="31"/>
      <c r="B861" s="32">
        <f>IF(A861="","",DATE(YEAR(A861),MONTH(A861),1))</f>
      </c>
      <c r="C861" s="11"/>
      <c r="D861" s="11"/>
      <c r="E861" s="16">
        <f>IF(OR(D861="",C861&lt;&gt;"Chi"),"",IFERROR(INDEX('Danh mục'!$B$39:$B$78,MATCH(D861,'Danh mục'!$A$39:$A$78,0))&amp;"","?"))</f>
      </c>
      <c r="F861" s="16">
        <f>IF(D861="","",IF(C861="Thu",IFERROR(INDEX('Danh mục'!$B$26:$B$35,MATCH(D861,'Danh mục'!$A$26:$A$35,0))&amp;"","?"),IFERROR(INDEX('Danh mục'!$D$39:$D$78,MATCH(D861,'Danh mục'!$A$39:$A$78,0))&amp;"","?")))</f>
      </c>
      <c r="G861" s="16">
        <f>IF(OR(D861="",C861&lt;&gt;"Chi"),"",IFERROR(INDEX('Danh mục'!$C$39:$C$78,MATCH(D861,'Danh mục'!$A$39:$A$78,0))&amp;"",""))</f>
      </c>
      <c r="H861" s="11"/>
      <c r="I861" s="20"/>
      <c r="J861" s="11"/>
      <c r="K861" s="11"/>
      <c r="L861" s="11"/>
    </row>
    <row r="862" spans="1:12" x14ac:dyDescent="0.3">
      <c r="A862" s="31"/>
      <c r="B862" s="32">
        <f>IF(A862="","",DATE(YEAR(A862),MONTH(A862),1))</f>
      </c>
      <c r="C862" s="11"/>
      <c r="D862" s="11"/>
      <c r="E862" s="16">
        <f>IF(OR(D862="",C862&lt;&gt;"Chi"),"",IFERROR(INDEX('Danh mục'!$B$39:$B$78,MATCH(D862,'Danh mục'!$A$39:$A$78,0))&amp;"","?"))</f>
      </c>
      <c r="F862" s="16">
        <f>IF(D862="","",IF(C862="Thu",IFERROR(INDEX('Danh mục'!$B$26:$B$35,MATCH(D862,'Danh mục'!$A$26:$A$35,0))&amp;"","?"),IFERROR(INDEX('Danh mục'!$D$39:$D$78,MATCH(D862,'Danh mục'!$A$39:$A$78,0))&amp;"","?")))</f>
      </c>
      <c r="G862" s="16">
        <f>IF(OR(D862="",C862&lt;&gt;"Chi"),"",IFERROR(INDEX('Danh mục'!$C$39:$C$78,MATCH(D862,'Danh mục'!$A$39:$A$78,0))&amp;"",""))</f>
      </c>
      <c r="H862" s="11"/>
      <c r="I862" s="20"/>
      <c r="J862" s="11"/>
      <c r="K862" s="11"/>
      <c r="L862" s="11"/>
    </row>
    <row r="863" spans="1:12" x14ac:dyDescent="0.3">
      <c r="A863" s="31"/>
      <c r="B863" s="32">
        <f>IF(A863="","",DATE(YEAR(A863),MONTH(A863),1))</f>
      </c>
      <c r="C863" s="11"/>
      <c r="D863" s="11"/>
      <c r="E863" s="16">
        <f>IF(OR(D863="",C863&lt;&gt;"Chi"),"",IFERROR(INDEX('Danh mục'!$B$39:$B$78,MATCH(D863,'Danh mục'!$A$39:$A$78,0))&amp;"","?"))</f>
      </c>
      <c r="F863" s="16">
        <f>IF(D863="","",IF(C863="Thu",IFERROR(INDEX('Danh mục'!$B$26:$B$35,MATCH(D863,'Danh mục'!$A$26:$A$35,0))&amp;"","?"),IFERROR(INDEX('Danh mục'!$D$39:$D$78,MATCH(D863,'Danh mục'!$A$39:$A$78,0))&amp;"","?")))</f>
      </c>
      <c r="G863" s="16">
        <f>IF(OR(D863="",C863&lt;&gt;"Chi"),"",IFERROR(INDEX('Danh mục'!$C$39:$C$78,MATCH(D863,'Danh mục'!$A$39:$A$78,0))&amp;"",""))</f>
      </c>
      <c r="H863" s="11"/>
      <c r="I863" s="20"/>
      <c r="J863" s="11"/>
      <c r="K863" s="11"/>
      <c r="L863" s="11"/>
    </row>
    <row r="864" spans="1:12" x14ac:dyDescent="0.3">
      <c r="A864" s="31"/>
      <c r="B864" s="32">
        <f>IF(A864="","",DATE(YEAR(A864),MONTH(A864),1))</f>
      </c>
      <c r="C864" s="11"/>
      <c r="D864" s="11"/>
      <c r="E864" s="16">
        <f>IF(OR(D864="",C864&lt;&gt;"Chi"),"",IFERROR(INDEX('Danh mục'!$B$39:$B$78,MATCH(D864,'Danh mục'!$A$39:$A$78,0))&amp;"","?"))</f>
      </c>
      <c r="F864" s="16">
        <f>IF(D864="","",IF(C864="Thu",IFERROR(INDEX('Danh mục'!$B$26:$B$35,MATCH(D864,'Danh mục'!$A$26:$A$35,0))&amp;"","?"),IFERROR(INDEX('Danh mục'!$D$39:$D$78,MATCH(D864,'Danh mục'!$A$39:$A$78,0))&amp;"","?")))</f>
      </c>
      <c r="G864" s="16">
        <f>IF(OR(D864="",C864&lt;&gt;"Chi"),"",IFERROR(INDEX('Danh mục'!$C$39:$C$78,MATCH(D864,'Danh mục'!$A$39:$A$78,0))&amp;"",""))</f>
      </c>
      <c r="H864" s="11"/>
      <c r="I864" s="20"/>
      <c r="J864" s="11"/>
      <c r="K864" s="11"/>
      <c r="L864" s="11"/>
    </row>
    <row r="865" spans="1:12" x14ac:dyDescent="0.3">
      <c r="A865" s="31"/>
      <c r="B865" s="32">
        <f>IF(A865="","",DATE(YEAR(A865),MONTH(A865),1))</f>
      </c>
      <c r="C865" s="11"/>
      <c r="D865" s="11"/>
      <c r="E865" s="16">
        <f>IF(OR(D865="",C865&lt;&gt;"Chi"),"",IFERROR(INDEX('Danh mục'!$B$39:$B$78,MATCH(D865,'Danh mục'!$A$39:$A$78,0))&amp;"","?"))</f>
      </c>
      <c r="F865" s="16">
        <f>IF(D865="","",IF(C865="Thu",IFERROR(INDEX('Danh mục'!$B$26:$B$35,MATCH(D865,'Danh mục'!$A$26:$A$35,0))&amp;"","?"),IFERROR(INDEX('Danh mục'!$D$39:$D$78,MATCH(D865,'Danh mục'!$A$39:$A$78,0))&amp;"","?")))</f>
      </c>
      <c r="G865" s="16">
        <f>IF(OR(D865="",C865&lt;&gt;"Chi"),"",IFERROR(INDEX('Danh mục'!$C$39:$C$78,MATCH(D865,'Danh mục'!$A$39:$A$78,0))&amp;"",""))</f>
      </c>
      <c r="H865" s="11"/>
      <c r="I865" s="20"/>
      <c r="J865" s="11"/>
      <c r="K865" s="11"/>
      <c r="L865" s="11"/>
    </row>
    <row r="866" spans="1:12" x14ac:dyDescent="0.3">
      <c r="A866" s="31"/>
      <c r="B866" s="32">
        <f>IF(A866="","",DATE(YEAR(A866),MONTH(A866),1))</f>
      </c>
      <c r="C866" s="11"/>
      <c r="D866" s="11"/>
      <c r="E866" s="16">
        <f>IF(OR(D866="",C866&lt;&gt;"Chi"),"",IFERROR(INDEX('Danh mục'!$B$39:$B$78,MATCH(D866,'Danh mục'!$A$39:$A$78,0))&amp;"","?"))</f>
      </c>
      <c r="F866" s="16">
        <f>IF(D866="","",IF(C866="Thu",IFERROR(INDEX('Danh mục'!$B$26:$B$35,MATCH(D866,'Danh mục'!$A$26:$A$35,0))&amp;"","?"),IFERROR(INDEX('Danh mục'!$D$39:$D$78,MATCH(D866,'Danh mục'!$A$39:$A$78,0))&amp;"","?")))</f>
      </c>
      <c r="G866" s="16">
        <f>IF(OR(D866="",C866&lt;&gt;"Chi"),"",IFERROR(INDEX('Danh mục'!$C$39:$C$78,MATCH(D866,'Danh mục'!$A$39:$A$78,0))&amp;"",""))</f>
      </c>
      <c r="H866" s="11"/>
      <c r="I866" s="20"/>
      <c r="J866" s="11"/>
      <c r="K866" s="11"/>
      <c r="L866" s="11"/>
    </row>
    <row r="867" spans="1:12" x14ac:dyDescent="0.3">
      <c r="A867" s="31"/>
      <c r="B867" s="32">
        <f>IF(A867="","",DATE(YEAR(A867),MONTH(A867),1))</f>
      </c>
      <c r="C867" s="11"/>
      <c r="D867" s="11"/>
      <c r="E867" s="16">
        <f>IF(OR(D867="",C867&lt;&gt;"Chi"),"",IFERROR(INDEX('Danh mục'!$B$39:$B$78,MATCH(D867,'Danh mục'!$A$39:$A$78,0))&amp;"","?"))</f>
      </c>
      <c r="F867" s="16">
        <f>IF(D867="","",IF(C867="Thu",IFERROR(INDEX('Danh mục'!$B$26:$B$35,MATCH(D867,'Danh mục'!$A$26:$A$35,0))&amp;"","?"),IFERROR(INDEX('Danh mục'!$D$39:$D$78,MATCH(D867,'Danh mục'!$A$39:$A$78,0))&amp;"","?")))</f>
      </c>
      <c r="G867" s="16">
        <f>IF(OR(D867="",C867&lt;&gt;"Chi"),"",IFERROR(INDEX('Danh mục'!$C$39:$C$78,MATCH(D867,'Danh mục'!$A$39:$A$78,0))&amp;"",""))</f>
      </c>
      <c r="H867" s="11"/>
      <c r="I867" s="20"/>
      <c r="J867" s="11"/>
      <c r="K867" s="11"/>
      <c r="L867" s="11"/>
    </row>
    <row r="868" spans="1:12" x14ac:dyDescent="0.3">
      <c r="A868" s="31"/>
      <c r="B868" s="32">
        <f>IF(A868="","",DATE(YEAR(A868),MONTH(A868),1))</f>
      </c>
      <c r="C868" s="11"/>
      <c r="D868" s="11"/>
      <c r="E868" s="16">
        <f>IF(OR(D868="",C868&lt;&gt;"Chi"),"",IFERROR(INDEX('Danh mục'!$B$39:$B$78,MATCH(D868,'Danh mục'!$A$39:$A$78,0))&amp;"","?"))</f>
      </c>
      <c r="F868" s="16">
        <f>IF(D868="","",IF(C868="Thu",IFERROR(INDEX('Danh mục'!$B$26:$B$35,MATCH(D868,'Danh mục'!$A$26:$A$35,0))&amp;"","?"),IFERROR(INDEX('Danh mục'!$D$39:$D$78,MATCH(D868,'Danh mục'!$A$39:$A$78,0))&amp;"","?")))</f>
      </c>
      <c r="G868" s="16">
        <f>IF(OR(D868="",C868&lt;&gt;"Chi"),"",IFERROR(INDEX('Danh mục'!$C$39:$C$78,MATCH(D868,'Danh mục'!$A$39:$A$78,0))&amp;"",""))</f>
      </c>
      <c r="H868" s="11"/>
      <c r="I868" s="20"/>
      <c r="J868" s="11"/>
      <c r="K868" s="11"/>
      <c r="L868" s="11"/>
    </row>
    <row r="869" spans="1:12" x14ac:dyDescent="0.3">
      <c r="A869" s="31"/>
      <c r="B869" s="32">
        <f>IF(A869="","",DATE(YEAR(A869),MONTH(A869),1))</f>
      </c>
      <c r="C869" s="11"/>
      <c r="D869" s="11"/>
      <c r="E869" s="16">
        <f>IF(OR(D869="",C869&lt;&gt;"Chi"),"",IFERROR(INDEX('Danh mục'!$B$39:$B$78,MATCH(D869,'Danh mục'!$A$39:$A$78,0))&amp;"","?"))</f>
      </c>
      <c r="F869" s="16">
        <f>IF(D869="","",IF(C869="Thu",IFERROR(INDEX('Danh mục'!$B$26:$B$35,MATCH(D869,'Danh mục'!$A$26:$A$35,0))&amp;"","?"),IFERROR(INDEX('Danh mục'!$D$39:$D$78,MATCH(D869,'Danh mục'!$A$39:$A$78,0))&amp;"","?")))</f>
      </c>
      <c r="G869" s="16">
        <f>IF(OR(D869="",C869&lt;&gt;"Chi"),"",IFERROR(INDEX('Danh mục'!$C$39:$C$78,MATCH(D869,'Danh mục'!$A$39:$A$78,0))&amp;"",""))</f>
      </c>
      <c r="H869" s="11"/>
      <c r="I869" s="20"/>
      <c r="J869" s="11"/>
      <c r="K869" s="11"/>
      <c r="L869" s="11"/>
    </row>
    <row r="870" spans="1:12" x14ac:dyDescent="0.3">
      <c r="A870" s="31"/>
      <c r="B870" s="32">
        <f>IF(A870="","",DATE(YEAR(A870),MONTH(A870),1))</f>
      </c>
      <c r="C870" s="11"/>
      <c r="D870" s="11"/>
      <c r="E870" s="16">
        <f>IF(OR(D870="",C870&lt;&gt;"Chi"),"",IFERROR(INDEX('Danh mục'!$B$39:$B$78,MATCH(D870,'Danh mục'!$A$39:$A$78,0))&amp;"","?"))</f>
      </c>
      <c r="F870" s="16">
        <f>IF(D870="","",IF(C870="Thu",IFERROR(INDEX('Danh mục'!$B$26:$B$35,MATCH(D870,'Danh mục'!$A$26:$A$35,0))&amp;"","?"),IFERROR(INDEX('Danh mục'!$D$39:$D$78,MATCH(D870,'Danh mục'!$A$39:$A$78,0))&amp;"","?")))</f>
      </c>
      <c r="G870" s="16">
        <f>IF(OR(D870="",C870&lt;&gt;"Chi"),"",IFERROR(INDEX('Danh mục'!$C$39:$C$78,MATCH(D870,'Danh mục'!$A$39:$A$78,0))&amp;"",""))</f>
      </c>
      <c r="H870" s="11"/>
      <c r="I870" s="20"/>
      <c r="J870" s="11"/>
      <c r="K870" s="11"/>
      <c r="L870" s="11"/>
    </row>
    <row r="871" spans="1:12" x14ac:dyDescent="0.3">
      <c r="A871" s="31"/>
      <c r="B871" s="32">
        <f>IF(A871="","",DATE(YEAR(A871),MONTH(A871),1))</f>
      </c>
      <c r="C871" s="11"/>
      <c r="D871" s="11"/>
      <c r="E871" s="16">
        <f>IF(OR(D871="",C871&lt;&gt;"Chi"),"",IFERROR(INDEX('Danh mục'!$B$39:$B$78,MATCH(D871,'Danh mục'!$A$39:$A$78,0))&amp;"","?"))</f>
      </c>
      <c r="F871" s="16">
        <f>IF(D871="","",IF(C871="Thu",IFERROR(INDEX('Danh mục'!$B$26:$B$35,MATCH(D871,'Danh mục'!$A$26:$A$35,0))&amp;"","?"),IFERROR(INDEX('Danh mục'!$D$39:$D$78,MATCH(D871,'Danh mục'!$A$39:$A$78,0))&amp;"","?")))</f>
      </c>
      <c r="G871" s="16">
        <f>IF(OR(D871="",C871&lt;&gt;"Chi"),"",IFERROR(INDEX('Danh mục'!$C$39:$C$78,MATCH(D871,'Danh mục'!$A$39:$A$78,0))&amp;"",""))</f>
      </c>
      <c r="H871" s="11"/>
      <c r="I871" s="20"/>
      <c r="J871" s="11"/>
      <c r="K871" s="11"/>
      <c r="L871" s="11"/>
    </row>
    <row r="872" spans="1:12" x14ac:dyDescent="0.3">
      <c r="A872" s="31"/>
      <c r="B872" s="32">
        <f>IF(A872="","",DATE(YEAR(A872),MONTH(A872),1))</f>
      </c>
      <c r="C872" s="11"/>
      <c r="D872" s="11"/>
      <c r="E872" s="16">
        <f>IF(OR(D872="",C872&lt;&gt;"Chi"),"",IFERROR(INDEX('Danh mục'!$B$39:$B$78,MATCH(D872,'Danh mục'!$A$39:$A$78,0))&amp;"","?"))</f>
      </c>
      <c r="F872" s="16">
        <f>IF(D872="","",IF(C872="Thu",IFERROR(INDEX('Danh mục'!$B$26:$B$35,MATCH(D872,'Danh mục'!$A$26:$A$35,0))&amp;"","?"),IFERROR(INDEX('Danh mục'!$D$39:$D$78,MATCH(D872,'Danh mục'!$A$39:$A$78,0))&amp;"","?")))</f>
      </c>
      <c r="G872" s="16">
        <f>IF(OR(D872="",C872&lt;&gt;"Chi"),"",IFERROR(INDEX('Danh mục'!$C$39:$C$78,MATCH(D872,'Danh mục'!$A$39:$A$78,0))&amp;"",""))</f>
      </c>
      <c r="H872" s="11"/>
      <c r="I872" s="20"/>
      <c r="J872" s="11"/>
      <c r="K872" s="11"/>
      <c r="L872" s="11"/>
    </row>
    <row r="873" spans="1:12" x14ac:dyDescent="0.3">
      <c r="A873" s="31"/>
      <c r="B873" s="32">
        <f>IF(A873="","",DATE(YEAR(A873),MONTH(A873),1))</f>
      </c>
      <c r="C873" s="11"/>
      <c r="D873" s="11"/>
      <c r="E873" s="16">
        <f>IF(OR(D873="",C873&lt;&gt;"Chi"),"",IFERROR(INDEX('Danh mục'!$B$39:$B$78,MATCH(D873,'Danh mục'!$A$39:$A$78,0))&amp;"","?"))</f>
      </c>
      <c r="F873" s="16">
        <f>IF(D873="","",IF(C873="Thu",IFERROR(INDEX('Danh mục'!$B$26:$B$35,MATCH(D873,'Danh mục'!$A$26:$A$35,0))&amp;"","?"),IFERROR(INDEX('Danh mục'!$D$39:$D$78,MATCH(D873,'Danh mục'!$A$39:$A$78,0))&amp;"","?")))</f>
      </c>
      <c r="G873" s="16">
        <f>IF(OR(D873="",C873&lt;&gt;"Chi"),"",IFERROR(INDEX('Danh mục'!$C$39:$C$78,MATCH(D873,'Danh mục'!$A$39:$A$78,0))&amp;"",""))</f>
      </c>
      <c r="H873" s="11"/>
      <c r="I873" s="20"/>
      <c r="J873" s="11"/>
      <c r="K873" s="11"/>
      <c r="L873" s="11"/>
    </row>
    <row r="874" spans="1:12" x14ac:dyDescent="0.3">
      <c r="A874" s="31"/>
      <c r="B874" s="32">
        <f>IF(A874="","",DATE(YEAR(A874),MONTH(A874),1))</f>
      </c>
      <c r="C874" s="11"/>
      <c r="D874" s="11"/>
      <c r="E874" s="16">
        <f>IF(OR(D874="",C874&lt;&gt;"Chi"),"",IFERROR(INDEX('Danh mục'!$B$39:$B$78,MATCH(D874,'Danh mục'!$A$39:$A$78,0))&amp;"","?"))</f>
      </c>
      <c r="F874" s="16">
        <f>IF(D874="","",IF(C874="Thu",IFERROR(INDEX('Danh mục'!$B$26:$B$35,MATCH(D874,'Danh mục'!$A$26:$A$35,0))&amp;"","?"),IFERROR(INDEX('Danh mục'!$D$39:$D$78,MATCH(D874,'Danh mục'!$A$39:$A$78,0))&amp;"","?")))</f>
      </c>
      <c r="G874" s="16">
        <f>IF(OR(D874="",C874&lt;&gt;"Chi"),"",IFERROR(INDEX('Danh mục'!$C$39:$C$78,MATCH(D874,'Danh mục'!$A$39:$A$78,0))&amp;"",""))</f>
      </c>
      <c r="H874" s="11"/>
      <c r="I874" s="20"/>
      <c r="J874" s="11"/>
      <c r="K874" s="11"/>
      <c r="L874" s="11"/>
    </row>
    <row r="875" spans="1:12" x14ac:dyDescent="0.3">
      <c r="A875" s="31"/>
      <c r="B875" s="32">
        <f>IF(A875="","",DATE(YEAR(A875),MONTH(A875),1))</f>
      </c>
      <c r="C875" s="11"/>
      <c r="D875" s="11"/>
      <c r="E875" s="16">
        <f>IF(OR(D875="",C875&lt;&gt;"Chi"),"",IFERROR(INDEX('Danh mục'!$B$39:$B$78,MATCH(D875,'Danh mục'!$A$39:$A$78,0))&amp;"","?"))</f>
      </c>
      <c r="F875" s="16">
        <f>IF(D875="","",IF(C875="Thu",IFERROR(INDEX('Danh mục'!$B$26:$B$35,MATCH(D875,'Danh mục'!$A$26:$A$35,0))&amp;"","?"),IFERROR(INDEX('Danh mục'!$D$39:$D$78,MATCH(D875,'Danh mục'!$A$39:$A$78,0))&amp;"","?")))</f>
      </c>
      <c r="G875" s="16">
        <f>IF(OR(D875="",C875&lt;&gt;"Chi"),"",IFERROR(INDEX('Danh mục'!$C$39:$C$78,MATCH(D875,'Danh mục'!$A$39:$A$78,0))&amp;"",""))</f>
      </c>
      <c r="H875" s="11"/>
      <c r="I875" s="20"/>
      <c r="J875" s="11"/>
      <c r="K875" s="11"/>
      <c r="L875" s="11"/>
    </row>
    <row r="876" spans="1:12" x14ac:dyDescent="0.3">
      <c r="A876" s="31"/>
      <c r="B876" s="32">
        <f>IF(A876="","",DATE(YEAR(A876),MONTH(A876),1))</f>
      </c>
      <c r="C876" s="11"/>
      <c r="D876" s="11"/>
      <c r="E876" s="16">
        <f>IF(OR(D876="",C876&lt;&gt;"Chi"),"",IFERROR(INDEX('Danh mục'!$B$39:$B$78,MATCH(D876,'Danh mục'!$A$39:$A$78,0))&amp;"","?"))</f>
      </c>
      <c r="F876" s="16">
        <f>IF(D876="","",IF(C876="Thu",IFERROR(INDEX('Danh mục'!$B$26:$B$35,MATCH(D876,'Danh mục'!$A$26:$A$35,0))&amp;"","?"),IFERROR(INDEX('Danh mục'!$D$39:$D$78,MATCH(D876,'Danh mục'!$A$39:$A$78,0))&amp;"","?")))</f>
      </c>
      <c r="G876" s="16">
        <f>IF(OR(D876="",C876&lt;&gt;"Chi"),"",IFERROR(INDEX('Danh mục'!$C$39:$C$78,MATCH(D876,'Danh mục'!$A$39:$A$78,0))&amp;"",""))</f>
      </c>
      <c r="H876" s="11"/>
      <c r="I876" s="20"/>
      <c r="J876" s="11"/>
      <c r="K876" s="11"/>
      <c r="L876" s="11"/>
    </row>
    <row r="877" spans="1:12" x14ac:dyDescent="0.3">
      <c r="A877" s="31"/>
      <c r="B877" s="32">
        <f>IF(A877="","",DATE(YEAR(A877),MONTH(A877),1))</f>
      </c>
      <c r="C877" s="11"/>
      <c r="D877" s="11"/>
      <c r="E877" s="16">
        <f>IF(OR(D877="",C877&lt;&gt;"Chi"),"",IFERROR(INDEX('Danh mục'!$B$39:$B$78,MATCH(D877,'Danh mục'!$A$39:$A$78,0))&amp;"","?"))</f>
      </c>
      <c r="F877" s="16">
        <f>IF(D877="","",IF(C877="Thu",IFERROR(INDEX('Danh mục'!$B$26:$B$35,MATCH(D877,'Danh mục'!$A$26:$A$35,0))&amp;"","?"),IFERROR(INDEX('Danh mục'!$D$39:$D$78,MATCH(D877,'Danh mục'!$A$39:$A$78,0))&amp;"","?")))</f>
      </c>
      <c r="G877" s="16">
        <f>IF(OR(D877="",C877&lt;&gt;"Chi"),"",IFERROR(INDEX('Danh mục'!$C$39:$C$78,MATCH(D877,'Danh mục'!$A$39:$A$78,0))&amp;"",""))</f>
      </c>
      <c r="H877" s="11"/>
      <c r="I877" s="20"/>
      <c r="J877" s="11"/>
      <c r="K877" s="11"/>
      <c r="L877" s="11"/>
    </row>
    <row r="878" spans="1:12" x14ac:dyDescent="0.3">
      <c r="A878" s="31"/>
      <c r="B878" s="32">
        <f>IF(A878="","",DATE(YEAR(A878),MONTH(A878),1))</f>
      </c>
      <c r="C878" s="11"/>
      <c r="D878" s="11"/>
      <c r="E878" s="16">
        <f>IF(OR(D878="",C878&lt;&gt;"Chi"),"",IFERROR(INDEX('Danh mục'!$B$39:$B$78,MATCH(D878,'Danh mục'!$A$39:$A$78,0))&amp;"","?"))</f>
      </c>
      <c r="F878" s="16">
        <f>IF(D878="","",IF(C878="Thu",IFERROR(INDEX('Danh mục'!$B$26:$B$35,MATCH(D878,'Danh mục'!$A$26:$A$35,0))&amp;"","?"),IFERROR(INDEX('Danh mục'!$D$39:$D$78,MATCH(D878,'Danh mục'!$A$39:$A$78,0))&amp;"","?")))</f>
      </c>
      <c r="G878" s="16">
        <f>IF(OR(D878="",C878&lt;&gt;"Chi"),"",IFERROR(INDEX('Danh mục'!$C$39:$C$78,MATCH(D878,'Danh mục'!$A$39:$A$78,0))&amp;"",""))</f>
      </c>
      <c r="H878" s="11"/>
      <c r="I878" s="20"/>
      <c r="J878" s="11"/>
      <c r="K878" s="11"/>
      <c r="L878" s="11"/>
    </row>
    <row r="879" spans="1:12" x14ac:dyDescent="0.3">
      <c r="A879" s="31"/>
      <c r="B879" s="32">
        <f>IF(A879="","",DATE(YEAR(A879),MONTH(A879),1))</f>
      </c>
      <c r="C879" s="11"/>
      <c r="D879" s="11"/>
      <c r="E879" s="16">
        <f>IF(OR(D879="",C879&lt;&gt;"Chi"),"",IFERROR(INDEX('Danh mục'!$B$39:$B$78,MATCH(D879,'Danh mục'!$A$39:$A$78,0))&amp;"","?"))</f>
      </c>
      <c r="F879" s="16">
        <f>IF(D879="","",IF(C879="Thu",IFERROR(INDEX('Danh mục'!$B$26:$B$35,MATCH(D879,'Danh mục'!$A$26:$A$35,0))&amp;"","?"),IFERROR(INDEX('Danh mục'!$D$39:$D$78,MATCH(D879,'Danh mục'!$A$39:$A$78,0))&amp;"","?")))</f>
      </c>
      <c r="G879" s="16">
        <f>IF(OR(D879="",C879&lt;&gt;"Chi"),"",IFERROR(INDEX('Danh mục'!$C$39:$C$78,MATCH(D879,'Danh mục'!$A$39:$A$78,0))&amp;"",""))</f>
      </c>
      <c r="H879" s="11"/>
      <c r="I879" s="20"/>
      <c r="J879" s="11"/>
      <c r="K879" s="11"/>
      <c r="L879" s="11"/>
    </row>
    <row r="880" spans="1:12" x14ac:dyDescent="0.3">
      <c r="A880" s="31"/>
      <c r="B880" s="32">
        <f>IF(A880="","",DATE(YEAR(A880),MONTH(A880),1))</f>
      </c>
      <c r="C880" s="11"/>
      <c r="D880" s="11"/>
      <c r="E880" s="16">
        <f>IF(OR(D880="",C880&lt;&gt;"Chi"),"",IFERROR(INDEX('Danh mục'!$B$39:$B$78,MATCH(D880,'Danh mục'!$A$39:$A$78,0))&amp;"","?"))</f>
      </c>
      <c r="F880" s="16">
        <f>IF(D880="","",IF(C880="Thu",IFERROR(INDEX('Danh mục'!$B$26:$B$35,MATCH(D880,'Danh mục'!$A$26:$A$35,0))&amp;"","?"),IFERROR(INDEX('Danh mục'!$D$39:$D$78,MATCH(D880,'Danh mục'!$A$39:$A$78,0))&amp;"","?")))</f>
      </c>
      <c r="G880" s="16">
        <f>IF(OR(D880="",C880&lt;&gt;"Chi"),"",IFERROR(INDEX('Danh mục'!$C$39:$C$78,MATCH(D880,'Danh mục'!$A$39:$A$78,0))&amp;"",""))</f>
      </c>
      <c r="H880" s="11"/>
      <c r="I880" s="20"/>
      <c r="J880" s="11"/>
      <c r="K880" s="11"/>
      <c r="L880" s="11"/>
    </row>
    <row r="881" spans="1:12" x14ac:dyDescent="0.3">
      <c r="A881" s="31"/>
      <c r="B881" s="32">
        <f>IF(A881="","",DATE(YEAR(A881),MONTH(A881),1))</f>
      </c>
      <c r="C881" s="11"/>
      <c r="D881" s="11"/>
      <c r="E881" s="16">
        <f>IF(OR(D881="",C881&lt;&gt;"Chi"),"",IFERROR(INDEX('Danh mục'!$B$39:$B$78,MATCH(D881,'Danh mục'!$A$39:$A$78,0))&amp;"","?"))</f>
      </c>
      <c r="F881" s="16">
        <f>IF(D881="","",IF(C881="Thu",IFERROR(INDEX('Danh mục'!$B$26:$B$35,MATCH(D881,'Danh mục'!$A$26:$A$35,0))&amp;"","?"),IFERROR(INDEX('Danh mục'!$D$39:$D$78,MATCH(D881,'Danh mục'!$A$39:$A$78,0))&amp;"","?")))</f>
      </c>
      <c r="G881" s="16">
        <f>IF(OR(D881="",C881&lt;&gt;"Chi"),"",IFERROR(INDEX('Danh mục'!$C$39:$C$78,MATCH(D881,'Danh mục'!$A$39:$A$78,0))&amp;"",""))</f>
      </c>
      <c r="H881" s="11"/>
      <c r="I881" s="20"/>
      <c r="J881" s="11"/>
      <c r="K881" s="11"/>
      <c r="L881" s="11"/>
    </row>
    <row r="882" spans="1:12" x14ac:dyDescent="0.3">
      <c r="A882" s="31"/>
      <c r="B882" s="32">
        <f>IF(A882="","",DATE(YEAR(A882),MONTH(A882),1))</f>
      </c>
      <c r="C882" s="11"/>
      <c r="D882" s="11"/>
      <c r="E882" s="16">
        <f>IF(OR(D882="",C882&lt;&gt;"Chi"),"",IFERROR(INDEX('Danh mục'!$B$39:$B$78,MATCH(D882,'Danh mục'!$A$39:$A$78,0))&amp;"","?"))</f>
      </c>
      <c r="F882" s="16">
        <f>IF(D882="","",IF(C882="Thu",IFERROR(INDEX('Danh mục'!$B$26:$B$35,MATCH(D882,'Danh mục'!$A$26:$A$35,0))&amp;"","?"),IFERROR(INDEX('Danh mục'!$D$39:$D$78,MATCH(D882,'Danh mục'!$A$39:$A$78,0))&amp;"","?")))</f>
      </c>
      <c r="G882" s="16">
        <f>IF(OR(D882="",C882&lt;&gt;"Chi"),"",IFERROR(INDEX('Danh mục'!$C$39:$C$78,MATCH(D882,'Danh mục'!$A$39:$A$78,0))&amp;"",""))</f>
      </c>
      <c r="H882" s="11"/>
      <c r="I882" s="20"/>
      <c r="J882" s="11"/>
      <c r="K882" s="11"/>
      <c r="L882" s="11"/>
    </row>
    <row r="883" spans="1:12" x14ac:dyDescent="0.3">
      <c r="A883" s="31"/>
      <c r="B883" s="32">
        <f>IF(A883="","",DATE(YEAR(A883),MONTH(A883),1))</f>
      </c>
      <c r="C883" s="11"/>
      <c r="D883" s="11"/>
      <c r="E883" s="16">
        <f>IF(OR(D883="",C883&lt;&gt;"Chi"),"",IFERROR(INDEX('Danh mục'!$B$39:$B$78,MATCH(D883,'Danh mục'!$A$39:$A$78,0))&amp;"","?"))</f>
      </c>
      <c r="F883" s="16">
        <f>IF(D883="","",IF(C883="Thu",IFERROR(INDEX('Danh mục'!$B$26:$B$35,MATCH(D883,'Danh mục'!$A$26:$A$35,0))&amp;"","?"),IFERROR(INDEX('Danh mục'!$D$39:$D$78,MATCH(D883,'Danh mục'!$A$39:$A$78,0))&amp;"","?")))</f>
      </c>
      <c r="G883" s="16">
        <f>IF(OR(D883="",C883&lt;&gt;"Chi"),"",IFERROR(INDEX('Danh mục'!$C$39:$C$78,MATCH(D883,'Danh mục'!$A$39:$A$78,0))&amp;"",""))</f>
      </c>
      <c r="H883" s="11"/>
      <c r="I883" s="20"/>
      <c r="J883" s="11"/>
      <c r="K883" s="11"/>
      <c r="L883" s="11"/>
    </row>
    <row r="884" spans="1:12" x14ac:dyDescent="0.3">
      <c r="A884" s="31"/>
      <c r="B884" s="32">
        <f>IF(A884="","",DATE(YEAR(A884),MONTH(A884),1))</f>
      </c>
      <c r="C884" s="11"/>
      <c r="D884" s="11"/>
      <c r="E884" s="16">
        <f>IF(OR(D884="",C884&lt;&gt;"Chi"),"",IFERROR(INDEX('Danh mục'!$B$39:$B$78,MATCH(D884,'Danh mục'!$A$39:$A$78,0))&amp;"","?"))</f>
      </c>
      <c r="F884" s="16">
        <f>IF(D884="","",IF(C884="Thu",IFERROR(INDEX('Danh mục'!$B$26:$B$35,MATCH(D884,'Danh mục'!$A$26:$A$35,0))&amp;"","?"),IFERROR(INDEX('Danh mục'!$D$39:$D$78,MATCH(D884,'Danh mục'!$A$39:$A$78,0))&amp;"","?")))</f>
      </c>
      <c r="G884" s="16">
        <f>IF(OR(D884="",C884&lt;&gt;"Chi"),"",IFERROR(INDEX('Danh mục'!$C$39:$C$78,MATCH(D884,'Danh mục'!$A$39:$A$78,0))&amp;"",""))</f>
      </c>
      <c r="H884" s="11"/>
      <c r="I884" s="20"/>
      <c r="J884" s="11"/>
      <c r="K884" s="11"/>
      <c r="L884" s="11"/>
    </row>
    <row r="885" spans="1:12" x14ac:dyDescent="0.3">
      <c r="A885" s="31"/>
      <c r="B885" s="32">
        <f>IF(A885="","",DATE(YEAR(A885),MONTH(A885),1))</f>
      </c>
      <c r="C885" s="11"/>
      <c r="D885" s="11"/>
      <c r="E885" s="16">
        <f>IF(OR(D885="",C885&lt;&gt;"Chi"),"",IFERROR(INDEX('Danh mục'!$B$39:$B$78,MATCH(D885,'Danh mục'!$A$39:$A$78,0))&amp;"","?"))</f>
      </c>
      <c r="F885" s="16">
        <f>IF(D885="","",IF(C885="Thu",IFERROR(INDEX('Danh mục'!$B$26:$B$35,MATCH(D885,'Danh mục'!$A$26:$A$35,0))&amp;"","?"),IFERROR(INDEX('Danh mục'!$D$39:$D$78,MATCH(D885,'Danh mục'!$A$39:$A$78,0))&amp;"","?")))</f>
      </c>
      <c r="G885" s="16">
        <f>IF(OR(D885="",C885&lt;&gt;"Chi"),"",IFERROR(INDEX('Danh mục'!$C$39:$C$78,MATCH(D885,'Danh mục'!$A$39:$A$78,0))&amp;"",""))</f>
      </c>
      <c r="H885" s="11"/>
      <c r="I885" s="20"/>
      <c r="J885" s="11"/>
      <c r="K885" s="11"/>
      <c r="L885" s="11"/>
    </row>
    <row r="886" spans="1:12" x14ac:dyDescent="0.3">
      <c r="A886" s="31"/>
      <c r="B886" s="32">
        <f>IF(A886="","",DATE(YEAR(A886),MONTH(A886),1))</f>
      </c>
      <c r="C886" s="11"/>
      <c r="D886" s="11"/>
      <c r="E886" s="16">
        <f>IF(OR(D886="",C886&lt;&gt;"Chi"),"",IFERROR(INDEX('Danh mục'!$B$39:$B$78,MATCH(D886,'Danh mục'!$A$39:$A$78,0))&amp;"","?"))</f>
      </c>
      <c r="F886" s="16">
        <f>IF(D886="","",IF(C886="Thu",IFERROR(INDEX('Danh mục'!$B$26:$B$35,MATCH(D886,'Danh mục'!$A$26:$A$35,0))&amp;"","?"),IFERROR(INDEX('Danh mục'!$D$39:$D$78,MATCH(D886,'Danh mục'!$A$39:$A$78,0))&amp;"","?")))</f>
      </c>
      <c r="G886" s="16">
        <f>IF(OR(D886="",C886&lt;&gt;"Chi"),"",IFERROR(INDEX('Danh mục'!$C$39:$C$78,MATCH(D886,'Danh mục'!$A$39:$A$78,0))&amp;"",""))</f>
      </c>
      <c r="H886" s="11"/>
      <c r="I886" s="20"/>
      <c r="J886" s="11"/>
      <c r="K886" s="11"/>
      <c r="L886" s="11"/>
    </row>
    <row r="887" spans="1:12" x14ac:dyDescent="0.3">
      <c r="A887" s="31"/>
      <c r="B887" s="32">
        <f>IF(A887="","",DATE(YEAR(A887),MONTH(A887),1))</f>
      </c>
      <c r="C887" s="11"/>
      <c r="D887" s="11"/>
      <c r="E887" s="16">
        <f>IF(OR(D887="",C887&lt;&gt;"Chi"),"",IFERROR(INDEX('Danh mục'!$B$39:$B$78,MATCH(D887,'Danh mục'!$A$39:$A$78,0))&amp;"","?"))</f>
      </c>
      <c r="F887" s="16">
        <f>IF(D887="","",IF(C887="Thu",IFERROR(INDEX('Danh mục'!$B$26:$B$35,MATCH(D887,'Danh mục'!$A$26:$A$35,0))&amp;"","?"),IFERROR(INDEX('Danh mục'!$D$39:$D$78,MATCH(D887,'Danh mục'!$A$39:$A$78,0))&amp;"","?")))</f>
      </c>
      <c r="G887" s="16">
        <f>IF(OR(D887="",C887&lt;&gt;"Chi"),"",IFERROR(INDEX('Danh mục'!$C$39:$C$78,MATCH(D887,'Danh mục'!$A$39:$A$78,0))&amp;"",""))</f>
      </c>
      <c r="H887" s="11"/>
      <c r="I887" s="20"/>
      <c r="J887" s="11"/>
      <c r="K887" s="11"/>
      <c r="L887" s="11"/>
    </row>
    <row r="888" spans="1:12" x14ac:dyDescent="0.3">
      <c r="A888" s="31"/>
      <c r="B888" s="32">
        <f>IF(A888="","",DATE(YEAR(A888),MONTH(A888),1))</f>
      </c>
      <c r="C888" s="11"/>
      <c r="D888" s="11"/>
      <c r="E888" s="16">
        <f>IF(OR(D888="",C888&lt;&gt;"Chi"),"",IFERROR(INDEX('Danh mục'!$B$39:$B$78,MATCH(D888,'Danh mục'!$A$39:$A$78,0))&amp;"","?"))</f>
      </c>
      <c r="F888" s="16">
        <f>IF(D888="","",IF(C888="Thu",IFERROR(INDEX('Danh mục'!$B$26:$B$35,MATCH(D888,'Danh mục'!$A$26:$A$35,0))&amp;"","?"),IFERROR(INDEX('Danh mục'!$D$39:$D$78,MATCH(D888,'Danh mục'!$A$39:$A$78,0))&amp;"","?")))</f>
      </c>
      <c r="G888" s="16">
        <f>IF(OR(D888="",C888&lt;&gt;"Chi"),"",IFERROR(INDEX('Danh mục'!$C$39:$C$78,MATCH(D888,'Danh mục'!$A$39:$A$78,0))&amp;"",""))</f>
      </c>
      <c r="H888" s="11"/>
      <c r="I888" s="20"/>
      <c r="J888" s="11"/>
      <c r="K888" s="11"/>
      <c r="L888" s="11"/>
    </row>
    <row r="889" spans="1:12" x14ac:dyDescent="0.3">
      <c r="A889" s="31"/>
      <c r="B889" s="32">
        <f>IF(A889="","",DATE(YEAR(A889),MONTH(A889),1))</f>
      </c>
      <c r="C889" s="11"/>
      <c r="D889" s="11"/>
      <c r="E889" s="16">
        <f>IF(OR(D889="",C889&lt;&gt;"Chi"),"",IFERROR(INDEX('Danh mục'!$B$39:$B$78,MATCH(D889,'Danh mục'!$A$39:$A$78,0))&amp;"","?"))</f>
      </c>
      <c r="F889" s="16">
        <f>IF(D889="","",IF(C889="Thu",IFERROR(INDEX('Danh mục'!$B$26:$B$35,MATCH(D889,'Danh mục'!$A$26:$A$35,0))&amp;"","?"),IFERROR(INDEX('Danh mục'!$D$39:$D$78,MATCH(D889,'Danh mục'!$A$39:$A$78,0))&amp;"","?")))</f>
      </c>
      <c r="G889" s="16">
        <f>IF(OR(D889="",C889&lt;&gt;"Chi"),"",IFERROR(INDEX('Danh mục'!$C$39:$C$78,MATCH(D889,'Danh mục'!$A$39:$A$78,0))&amp;"",""))</f>
      </c>
      <c r="H889" s="11"/>
      <c r="I889" s="20"/>
      <c r="J889" s="11"/>
      <c r="K889" s="11"/>
      <c r="L889" s="11"/>
    </row>
    <row r="890" spans="1:12" x14ac:dyDescent="0.3">
      <c r="A890" s="31"/>
      <c r="B890" s="32">
        <f>IF(A890="","",DATE(YEAR(A890),MONTH(A890),1))</f>
      </c>
      <c r="C890" s="11"/>
      <c r="D890" s="11"/>
      <c r="E890" s="16">
        <f>IF(OR(D890="",C890&lt;&gt;"Chi"),"",IFERROR(INDEX('Danh mục'!$B$39:$B$78,MATCH(D890,'Danh mục'!$A$39:$A$78,0))&amp;"","?"))</f>
      </c>
      <c r="F890" s="16">
        <f>IF(D890="","",IF(C890="Thu",IFERROR(INDEX('Danh mục'!$B$26:$B$35,MATCH(D890,'Danh mục'!$A$26:$A$35,0))&amp;"","?"),IFERROR(INDEX('Danh mục'!$D$39:$D$78,MATCH(D890,'Danh mục'!$A$39:$A$78,0))&amp;"","?")))</f>
      </c>
      <c r="G890" s="16">
        <f>IF(OR(D890="",C890&lt;&gt;"Chi"),"",IFERROR(INDEX('Danh mục'!$C$39:$C$78,MATCH(D890,'Danh mục'!$A$39:$A$78,0))&amp;"",""))</f>
      </c>
      <c r="H890" s="11"/>
      <c r="I890" s="20"/>
      <c r="J890" s="11"/>
      <c r="K890" s="11"/>
      <c r="L890" s="11"/>
    </row>
    <row r="891" spans="1:12" x14ac:dyDescent="0.3">
      <c r="A891" s="31"/>
      <c r="B891" s="32">
        <f>IF(A891="","",DATE(YEAR(A891),MONTH(A891),1))</f>
      </c>
      <c r="C891" s="11"/>
      <c r="D891" s="11"/>
      <c r="E891" s="16">
        <f>IF(OR(D891="",C891&lt;&gt;"Chi"),"",IFERROR(INDEX('Danh mục'!$B$39:$B$78,MATCH(D891,'Danh mục'!$A$39:$A$78,0))&amp;"","?"))</f>
      </c>
      <c r="F891" s="16">
        <f>IF(D891="","",IF(C891="Thu",IFERROR(INDEX('Danh mục'!$B$26:$B$35,MATCH(D891,'Danh mục'!$A$26:$A$35,0))&amp;"","?"),IFERROR(INDEX('Danh mục'!$D$39:$D$78,MATCH(D891,'Danh mục'!$A$39:$A$78,0))&amp;"","?")))</f>
      </c>
      <c r="G891" s="16">
        <f>IF(OR(D891="",C891&lt;&gt;"Chi"),"",IFERROR(INDEX('Danh mục'!$C$39:$C$78,MATCH(D891,'Danh mục'!$A$39:$A$78,0))&amp;"",""))</f>
      </c>
      <c r="H891" s="11"/>
      <c r="I891" s="20"/>
      <c r="J891" s="11"/>
      <c r="K891" s="11"/>
      <c r="L891" s="11"/>
    </row>
    <row r="892" spans="1:12" x14ac:dyDescent="0.3">
      <c r="A892" s="31"/>
      <c r="B892" s="32">
        <f>IF(A892="","",DATE(YEAR(A892),MONTH(A892),1))</f>
      </c>
      <c r="C892" s="11"/>
      <c r="D892" s="11"/>
      <c r="E892" s="16">
        <f>IF(OR(D892="",C892&lt;&gt;"Chi"),"",IFERROR(INDEX('Danh mục'!$B$39:$B$78,MATCH(D892,'Danh mục'!$A$39:$A$78,0))&amp;"","?"))</f>
      </c>
      <c r="F892" s="16">
        <f>IF(D892="","",IF(C892="Thu",IFERROR(INDEX('Danh mục'!$B$26:$B$35,MATCH(D892,'Danh mục'!$A$26:$A$35,0))&amp;"","?"),IFERROR(INDEX('Danh mục'!$D$39:$D$78,MATCH(D892,'Danh mục'!$A$39:$A$78,0))&amp;"","?")))</f>
      </c>
      <c r="G892" s="16">
        <f>IF(OR(D892="",C892&lt;&gt;"Chi"),"",IFERROR(INDEX('Danh mục'!$C$39:$C$78,MATCH(D892,'Danh mục'!$A$39:$A$78,0))&amp;"",""))</f>
      </c>
      <c r="H892" s="11"/>
      <c r="I892" s="20"/>
      <c r="J892" s="11"/>
      <c r="K892" s="11"/>
      <c r="L892" s="11"/>
    </row>
    <row r="893" spans="1:12" x14ac:dyDescent="0.3">
      <c r="A893" s="31"/>
      <c r="B893" s="32">
        <f>IF(A893="","",DATE(YEAR(A893),MONTH(A893),1))</f>
      </c>
      <c r="C893" s="11"/>
      <c r="D893" s="11"/>
      <c r="E893" s="16">
        <f>IF(OR(D893="",C893&lt;&gt;"Chi"),"",IFERROR(INDEX('Danh mục'!$B$39:$B$78,MATCH(D893,'Danh mục'!$A$39:$A$78,0))&amp;"","?"))</f>
      </c>
      <c r="F893" s="16">
        <f>IF(D893="","",IF(C893="Thu",IFERROR(INDEX('Danh mục'!$B$26:$B$35,MATCH(D893,'Danh mục'!$A$26:$A$35,0))&amp;"","?"),IFERROR(INDEX('Danh mục'!$D$39:$D$78,MATCH(D893,'Danh mục'!$A$39:$A$78,0))&amp;"","?")))</f>
      </c>
      <c r="G893" s="16">
        <f>IF(OR(D893="",C893&lt;&gt;"Chi"),"",IFERROR(INDEX('Danh mục'!$C$39:$C$78,MATCH(D893,'Danh mục'!$A$39:$A$78,0))&amp;"",""))</f>
      </c>
      <c r="H893" s="11"/>
      <c r="I893" s="20"/>
      <c r="J893" s="11"/>
      <c r="K893" s="11"/>
      <c r="L893" s="11"/>
    </row>
    <row r="894" spans="1:12" x14ac:dyDescent="0.3">
      <c r="A894" s="31"/>
      <c r="B894" s="32">
        <f>IF(A894="","",DATE(YEAR(A894),MONTH(A894),1))</f>
      </c>
      <c r="C894" s="11"/>
      <c r="D894" s="11"/>
      <c r="E894" s="16">
        <f>IF(OR(D894="",C894&lt;&gt;"Chi"),"",IFERROR(INDEX('Danh mục'!$B$39:$B$78,MATCH(D894,'Danh mục'!$A$39:$A$78,0))&amp;"","?"))</f>
      </c>
      <c r="F894" s="16">
        <f>IF(D894="","",IF(C894="Thu",IFERROR(INDEX('Danh mục'!$B$26:$B$35,MATCH(D894,'Danh mục'!$A$26:$A$35,0))&amp;"","?"),IFERROR(INDEX('Danh mục'!$D$39:$D$78,MATCH(D894,'Danh mục'!$A$39:$A$78,0))&amp;"","?")))</f>
      </c>
      <c r="G894" s="16">
        <f>IF(OR(D894="",C894&lt;&gt;"Chi"),"",IFERROR(INDEX('Danh mục'!$C$39:$C$78,MATCH(D894,'Danh mục'!$A$39:$A$78,0))&amp;"",""))</f>
      </c>
      <c r="H894" s="11"/>
      <c r="I894" s="20"/>
      <c r="J894" s="11"/>
      <c r="K894" s="11"/>
      <c r="L894" s="11"/>
    </row>
    <row r="895" spans="1:12" x14ac:dyDescent="0.3">
      <c r="A895" s="31"/>
      <c r="B895" s="32">
        <f>IF(A895="","",DATE(YEAR(A895),MONTH(A895),1))</f>
      </c>
      <c r="C895" s="11"/>
      <c r="D895" s="11"/>
      <c r="E895" s="16">
        <f>IF(OR(D895="",C895&lt;&gt;"Chi"),"",IFERROR(INDEX('Danh mục'!$B$39:$B$78,MATCH(D895,'Danh mục'!$A$39:$A$78,0))&amp;"","?"))</f>
      </c>
      <c r="F895" s="16">
        <f>IF(D895="","",IF(C895="Thu",IFERROR(INDEX('Danh mục'!$B$26:$B$35,MATCH(D895,'Danh mục'!$A$26:$A$35,0))&amp;"","?"),IFERROR(INDEX('Danh mục'!$D$39:$D$78,MATCH(D895,'Danh mục'!$A$39:$A$78,0))&amp;"","?")))</f>
      </c>
      <c r="G895" s="16">
        <f>IF(OR(D895="",C895&lt;&gt;"Chi"),"",IFERROR(INDEX('Danh mục'!$C$39:$C$78,MATCH(D895,'Danh mục'!$A$39:$A$78,0))&amp;"",""))</f>
      </c>
      <c r="H895" s="11"/>
      <c r="I895" s="20"/>
      <c r="J895" s="11"/>
      <c r="K895" s="11"/>
      <c r="L895" s="11"/>
    </row>
    <row r="896" spans="1:12" x14ac:dyDescent="0.3">
      <c r="A896" s="31"/>
      <c r="B896" s="32">
        <f>IF(A896="","",DATE(YEAR(A896),MONTH(A896),1))</f>
      </c>
      <c r="C896" s="11"/>
      <c r="D896" s="11"/>
      <c r="E896" s="16">
        <f>IF(OR(D896="",C896&lt;&gt;"Chi"),"",IFERROR(INDEX('Danh mục'!$B$39:$B$78,MATCH(D896,'Danh mục'!$A$39:$A$78,0))&amp;"","?"))</f>
      </c>
      <c r="F896" s="16">
        <f>IF(D896="","",IF(C896="Thu",IFERROR(INDEX('Danh mục'!$B$26:$B$35,MATCH(D896,'Danh mục'!$A$26:$A$35,0))&amp;"","?"),IFERROR(INDEX('Danh mục'!$D$39:$D$78,MATCH(D896,'Danh mục'!$A$39:$A$78,0))&amp;"","?")))</f>
      </c>
      <c r="G896" s="16">
        <f>IF(OR(D896="",C896&lt;&gt;"Chi"),"",IFERROR(INDEX('Danh mục'!$C$39:$C$78,MATCH(D896,'Danh mục'!$A$39:$A$78,0))&amp;"",""))</f>
      </c>
      <c r="H896" s="11"/>
      <c r="I896" s="20"/>
      <c r="J896" s="11"/>
      <c r="K896" s="11"/>
      <c r="L896" s="11"/>
    </row>
    <row r="897" spans="1:12" x14ac:dyDescent="0.3">
      <c r="A897" s="31"/>
      <c r="B897" s="32">
        <f>IF(A897="","",DATE(YEAR(A897),MONTH(A897),1))</f>
      </c>
      <c r="C897" s="11"/>
      <c r="D897" s="11"/>
      <c r="E897" s="16">
        <f>IF(OR(D897="",C897&lt;&gt;"Chi"),"",IFERROR(INDEX('Danh mục'!$B$39:$B$78,MATCH(D897,'Danh mục'!$A$39:$A$78,0))&amp;"","?"))</f>
      </c>
      <c r="F897" s="16">
        <f>IF(D897="","",IF(C897="Thu",IFERROR(INDEX('Danh mục'!$B$26:$B$35,MATCH(D897,'Danh mục'!$A$26:$A$35,0))&amp;"","?"),IFERROR(INDEX('Danh mục'!$D$39:$D$78,MATCH(D897,'Danh mục'!$A$39:$A$78,0))&amp;"","?")))</f>
      </c>
      <c r="G897" s="16">
        <f>IF(OR(D897="",C897&lt;&gt;"Chi"),"",IFERROR(INDEX('Danh mục'!$C$39:$C$78,MATCH(D897,'Danh mục'!$A$39:$A$78,0))&amp;"",""))</f>
      </c>
      <c r="H897" s="11"/>
      <c r="I897" s="20"/>
      <c r="J897" s="11"/>
      <c r="K897" s="11"/>
      <c r="L897" s="11"/>
    </row>
    <row r="898" spans="1:12" x14ac:dyDescent="0.3">
      <c r="A898" s="31"/>
      <c r="B898" s="32">
        <f>IF(A898="","",DATE(YEAR(A898),MONTH(A898),1))</f>
      </c>
      <c r="C898" s="11"/>
      <c r="D898" s="11"/>
      <c r="E898" s="16">
        <f>IF(OR(D898="",C898&lt;&gt;"Chi"),"",IFERROR(INDEX('Danh mục'!$B$39:$B$78,MATCH(D898,'Danh mục'!$A$39:$A$78,0))&amp;"","?"))</f>
      </c>
      <c r="F898" s="16">
        <f>IF(D898="","",IF(C898="Thu",IFERROR(INDEX('Danh mục'!$B$26:$B$35,MATCH(D898,'Danh mục'!$A$26:$A$35,0))&amp;"","?"),IFERROR(INDEX('Danh mục'!$D$39:$D$78,MATCH(D898,'Danh mục'!$A$39:$A$78,0))&amp;"","?")))</f>
      </c>
      <c r="G898" s="16">
        <f>IF(OR(D898="",C898&lt;&gt;"Chi"),"",IFERROR(INDEX('Danh mục'!$C$39:$C$78,MATCH(D898,'Danh mục'!$A$39:$A$78,0))&amp;"",""))</f>
      </c>
      <c r="H898" s="11"/>
      <c r="I898" s="20"/>
      <c r="J898" s="11"/>
      <c r="K898" s="11"/>
      <c r="L898" s="11"/>
    </row>
    <row r="899" spans="1:12" x14ac:dyDescent="0.3">
      <c r="A899" s="31"/>
      <c r="B899" s="32">
        <f>IF(A899="","",DATE(YEAR(A899),MONTH(A899),1))</f>
      </c>
      <c r="C899" s="11"/>
      <c r="D899" s="11"/>
      <c r="E899" s="16">
        <f>IF(OR(D899="",C899&lt;&gt;"Chi"),"",IFERROR(INDEX('Danh mục'!$B$39:$B$78,MATCH(D899,'Danh mục'!$A$39:$A$78,0))&amp;"","?"))</f>
      </c>
      <c r="F899" s="16">
        <f>IF(D899="","",IF(C899="Thu",IFERROR(INDEX('Danh mục'!$B$26:$B$35,MATCH(D899,'Danh mục'!$A$26:$A$35,0))&amp;"","?"),IFERROR(INDEX('Danh mục'!$D$39:$D$78,MATCH(D899,'Danh mục'!$A$39:$A$78,0))&amp;"","?")))</f>
      </c>
      <c r="G899" s="16">
        <f>IF(OR(D899="",C899&lt;&gt;"Chi"),"",IFERROR(INDEX('Danh mục'!$C$39:$C$78,MATCH(D899,'Danh mục'!$A$39:$A$78,0))&amp;"",""))</f>
      </c>
      <c r="H899" s="11"/>
      <c r="I899" s="20"/>
      <c r="J899" s="11"/>
      <c r="K899" s="11"/>
      <c r="L899" s="11"/>
    </row>
    <row r="900" spans="1:12" x14ac:dyDescent="0.3">
      <c r="A900" s="31"/>
      <c r="B900" s="32">
        <f>IF(A900="","",DATE(YEAR(A900),MONTH(A900),1))</f>
      </c>
      <c r="C900" s="11"/>
      <c r="D900" s="11"/>
      <c r="E900" s="16">
        <f>IF(OR(D900="",C900&lt;&gt;"Chi"),"",IFERROR(INDEX('Danh mục'!$B$39:$B$78,MATCH(D900,'Danh mục'!$A$39:$A$78,0))&amp;"","?"))</f>
      </c>
      <c r="F900" s="16">
        <f>IF(D900="","",IF(C900="Thu",IFERROR(INDEX('Danh mục'!$B$26:$B$35,MATCH(D900,'Danh mục'!$A$26:$A$35,0))&amp;"","?"),IFERROR(INDEX('Danh mục'!$D$39:$D$78,MATCH(D900,'Danh mục'!$A$39:$A$78,0))&amp;"","?")))</f>
      </c>
      <c r="G900" s="16">
        <f>IF(OR(D900="",C900&lt;&gt;"Chi"),"",IFERROR(INDEX('Danh mục'!$C$39:$C$78,MATCH(D900,'Danh mục'!$A$39:$A$78,0))&amp;"",""))</f>
      </c>
      <c r="H900" s="11"/>
      <c r="I900" s="20"/>
      <c r="J900" s="11"/>
      <c r="K900" s="11"/>
      <c r="L900" s="11"/>
    </row>
    <row r="901" spans="1:12" x14ac:dyDescent="0.3">
      <c r="A901" s="31"/>
      <c r="B901" s="32">
        <f>IF(A901="","",DATE(YEAR(A901),MONTH(A901),1))</f>
      </c>
      <c r="C901" s="11"/>
      <c r="D901" s="11"/>
      <c r="E901" s="16">
        <f>IF(OR(D901="",C901&lt;&gt;"Chi"),"",IFERROR(INDEX('Danh mục'!$B$39:$B$78,MATCH(D901,'Danh mục'!$A$39:$A$78,0))&amp;"","?"))</f>
      </c>
      <c r="F901" s="16">
        <f>IF(D901="","",IF(C901="Thu",IFERROR(INDEX('Danh mục'!$B$26:$B$35,MATCH(D901,'Danh mục'!$A$26:$A$35,0))&amp;"","?"),IFERROR(INDEX('Danh mục'!$D$39:$D$78,MATCH(D901,'Danh mục'!$A$39:$A$78,0))&amp;"","?")))</f>
      </c>
      <c r="G901" s="16">
        <f>IF(OR(D901="",C901&lt;&gt;"Chi"),"",IFERROR(INDEX('Danh mục'!$C$39:$C$78,MATCH(D901,'Danh mục'!$A$39:$A$78,0))&amp;"",""))</f>
      </c>
      <c r="H901" s="11"/>
      <c r="I901" s="20"/>
      <c r="J901" s="11"/>
      <c r="K901" s="11"/>
      <c r="L901" s="11"/>
    </row>
    <row r="902" spans="1:12" x14ac:dyDescent="0.3">
      <c r="A902" s="31"/>
      <c r="B902" s="32">
        <f>IF(A902="","",DATE(YEAR(A902),MONTH(A902),1))</f>
      </c>
      <c r="C902" s="11"/>
      <c r="D902" s="11"/>
      <c r="E902" s="16">
        <f>IF(OR(D902="",C902&lt;&gt;"Chi"),"",IFERROR(INDEX('Danh mục'!$B$39:$B$78,MATCH(D902,'Danh mục'!$A$39:$A$78,0))&amp;"","?"))</f>
      </c>
      <c r="F902" s="16">
        <f>IF(D902="","",IF(C902="Thu",IFERROR(INDEX('Danh mục'!$B$26:$B$35,MATCH(D902,'Danh mục'!$A$26:$A$35,0))&amp;"","?"),IFERROR(INDEX('Danh mục'!$D$39:$D$78,MATCH(D902,'Danh mục'!$A$39:$A$78,0))&amp;"","?")))</f>
      </c>
      <c r="G902" s="16">
        <f>IF(OR(D902="",C902&lt;&gt;"Chi"),"",IFERROR(INDEX('Danh mục'!$C$39:$C$78,MATCH(D902,'Danh mục'!$A$39:$A$78,0))&amp;"",""))</f>
      </c>
      <c r="H902" s="11"/>
      <c r="I902" s="20"/>
      <c r="J902" s="11"/>
      <c r="K902" s="11"/>
      <c r="L902" s="11"/>
    </row>
    <row r="903" spans="1:12" x14ac:dyDescent="0.3">
      <c r="A903" s="31"/>
      <c r="B903" s="32">
        <f>IF(A903="","",DATE(YEAR(A903),MONTH(A903),1))</f>
      </c>
      <c r="C903" s="11"/>
      <c r="D903" s="11"/>
      <c r="E903" s="16">
        <f>IF(OR(D903="",C903&lt;&gt;"Chi"),"",IFERROR(INDEX('Danh mục'!$B$39:$B$78,MATCH(D903,'Danh mục'!$A$39:$A$78,0))&amp;"","?"))</f>
      </c>
      <c r="F903" s="16">
        <f>IF(D903="","",IF(C903="Thu",IFERROR(INDEX('Danh mục'!$B$26:$B$35,MATCH(D903,'Danh mục'!$A$26:$A$35,0))&amp;"","?"),IFERROR(INDEX('Danh mục'!$D$39:$D$78,MATCH(D903,'Danh mục'!$A$39:$A$78,0))&amp;"","?")))</f>
      </c>
      <c r="G903" s="16">
        <f>IF(OR(D903="",C903&lt;&gt;"Chi"),"",IFERROR(INDEX('Danh mục'!$C$39:$C$78,MATCH(D903,'Danh mục'!$A$39:$A$78,0))&amp;"",""))</f>
      </c>
      <c r="H903" s="11"/>
      <c r="I903" s="20"/>
      <c r="J903" s="11"/>
      <c r="K903" s="11"/>
      <c r="L903" s="11"/>
    </row>
    <row r="904" spans="1:12" x14ac:dyDescent="0.3">
      <c r="A904" s="31"/>
      <c r="B904" s="32">
        <f>IF(A904="","",DATE(YEAR(A904),MONTH(A904),1))</f>
      </c>
      <c r="C904" s="11"/>
      <c r="D904" s="11"/>
      <c r="E904" s="16">
        <f>IF(OR(D904="",C904&lt;&gt;"Chi"),"",IFERROR(INDEX('Danh mục'!$B$39:$B$78,MATCH(D904,'Danh mục'!$A$39:$A$78,0))&amp;"","?"))</f>
      </c>
      <c r="F904" s="16">
        <f>IF(D904="","",IF(C904="Thu",IFERROR(INDEX('Danh mục'!$B$26:$B$35,MATCH(D904,'Danh mục'!$A$26:$A$35,0))&amp;"","?"),IFERROR(INDEX('Danh mục'!$D$39:$D$78,MATCH(D904,'Danh mục'!$A$39:$A$78,0))&amp;"","?")))</f>
      </c>
      <c r="G904" s="16">
        <f>IF(OR(D904="",C904&lt;&gt;"Chi"),"",IFERROR(INDEX('Danh mục'!$C$39:$C$78,MATCH(D904,'Danh mục'!$A$39:$A$78,0))&amp;"",""))</f>
      </c>
      <c r="H904" s="11"/>
      <c r="I904" s="20"/>
      <c r="J904" s="11"/>
      <c r="K904" s="11"/>
      <c r="L904" s="11"/>
    </row>
    <row r="905" spans="1:12" x14ac:dyDescent="0.3">
      <c r="A905" s="31"/>
      <c r="B905" s="32">
        <f>IF(A905="","",DATE(YEAR(A905),MONTH(A905),1))</f>
      </c>
      <c r="C905" s="11"/>
      <c r="D905" s="11"/>
      <c r="E905" s="16">
        <f>IF(OR(D905="",C905&lt;&gt;"Chi"),"",IFERROR(INDEX('Danh mục'!$B$39:$B$78,MATCH(D905,'Danh mục'!$A$39:$A$78,0))&amp;"","?"))</f>
      </c>
      <c r="F905" s="16">
        <f>IF(D905="","",IF(C905="Thu",IFERROR(INDEX('Danh mục'!$B$26:$B$35,MATCH(D905,'Danh mục'!$A$26:$A$35,0))&amp;"","?"),IFERROR(INDEX('Danh mục'!$D$39:$D$78,MATCH(D905,'Danh mục'!$A$39:$A$78,0))&amp;"","?")))</f>
      </c>
      <c r="G905" s="16">
        <f>IF(OR(D905="",C905&lt;&gt;"Chi"),"",IFERROR(INDEX('Danh mục'!$C$39:$C$78,MATCH(D905,'Danh mục'!$A$39:$A$78,0))&amp;"",""))</f>
      </c>
      <c r="H905" s="11"/>
      <c r="I905" s="20"/>
      <c r="J905" s="11"/>
      <c r="K905" s="11"/>
      <c r="L905" s="11"/>
    </row>
    <row r="906" spans="1:12" x14ac:dyDescent="0.3">
      <c r="A906" s="31"/>
      <c r="B906" s="32">
        <f>IF(A906="","",DATE(YEAR(A906),MONTH(A906),1))</f>
      </c>
      <c r="C906" s="11"/>
      <c r="D906" s="11"/>
      <c r="E906" s="16">
        <f>IF(OR(D906="",C906&lt;&gt;"Chi"),"",IFERROR(INDEX('Danh mục'!$B$39:$B$78,MATCH(D906,'Danh mục'!$A$39:$A$78,0))&amp;"","?"))</f>
      </c>
      <c r="F906" s="16">
        <f>IF(D906="","",IF(C906="Thu",IFERROR(INDEX('Danh mục'!$B$26:$B$35,MATCH(D906,'Danh mục'!$A$26:$A$35,0))&amp;"","?"),IFERROR(INDEX('Danh mục'!$D$39:$D$78,MATCH(D906,'Danh mục'!$A$39:$A$78,0))&amp;"","?")))</f>
      </c>
      <c r="G906" s="16">
        <f>IF(OR(D906="",C906&lt;&gt;"Chi"),"",IFERROR(INDEX('Danh mục'!$C$39:$C$78,MATCH(D906,'Danh mục'!$A$39:$A$78,0))&amp;"",""))</f>
      </c>
      <c r="H906" s="11"/>
      <c r="I906" s="20"/>
      <c r="J906" s="11"/>
      <c r="K906" s="11"/>
      <c r="L906" s="11"/>
    </row>
    <row r="907" spans="1:12" x14ac:dyDescent="0.3">
      <c r="A907" s="31"/>
      <c r="B907" s="32">
        <f>IF(A907="","",DATE(YEAR(A907),MONTH(A907),1))</f>
      </c>
      <c r="C907" s="11"/>
      <c r="D907" s="11"/>
      <c r="E907" s="16">
        <f>IF(OR(D907="",C907&lt;&gt;"Chi"),"",IFERROR(INDEX('Danh mục'!$B$39:$B$78,MATCH(D907,'Danh mục'!$A$39:$A$78,0))&amp;"","?"))</f>
      </c>
      <c r="F907" s="16">
        <f>IF(D907="","",IF(C907="Thu",IFERROR(INDEX('Danh mục'!$B$26:$B$35,MATCH(D907,'Danh mục'!$A$26:$A$35,0))&amp;"","?"),IFERROR(INDEX('Danh mục'!$D$39:$D$78,MATCH(D907,'Danh mục'!$A$39:$A$78,0))&amp;"","?")))</f>
      </c>
      <c r="G907" s="16">
        <f>IF(OR(D907="",C907&lt;&gt;"Chi"),"",IFERROR(INDEX('Danh mục'!$C$39:$C$78,MATCH(D907,'Danh mục'!$A$39:$A$78,0))&amp;"",""))</f>
      </c>
      <c r="H907" s="11"/>
      <c r="I907" s="20"/>
      <c r="J907" s="11"/>
      <c r="K907" s="11"/>
      <c r="L907" s="11"/>
    </row>
    <row r="908" spans="1:12" x14ac:dyDescent="0.3">
      <c r="A908" s="31"/>
      <c r="B908" s="32">
        <f>IF(A908="","",DATE(YEAR(A908),MONTH(A908),1))</f>
      </c>
      <c r="C908" s="11"/>
      <c r="D908" s="11"/>
      <c r="E908" s="16">
        <f>IF(OR(D908="",C908&lt;&gt;"Chi"),"",IFERROR(INDEX('Danh mục'!$B$39:$B$78,MATCH(D908,'Danh mục'!$A$39:$A$78,0))&amp;"","?"))</f>
      </c>
      <c r="F908" s="16">
        <f>IF(D908="","",IF(C908="Thu",IFERROR(INDEX('Danh mục'!$B$26:$B$35,MATCH(D908,'Danh mục'!$A$26:$A$35,0))&amp;"","?"),IFERROR(INDEX('Danh mục'!$D$39:$D$78,MATCH(D908,'Danh mục'!$A$39:$A$78,0))&amp;"","?")))</f>
      </c>
      <c r="G908" s="16">
        <f>IF(OR(D908="",C908&lt;&gt;"Chi"),"",IFERROR(INDEX('Danh mục'!$C$39:$C$78,MATCH(D908,'Danh mục'!$A$39:$A$78,0))&amp;"",""))</f>
      </c>
      <c r="H908" s="11"/>
      <c r="I908" s="20"/>
      <c r="J908" s="11"/>
      <c r="K908" s="11"/>
      <c r="L908" s="11"/>
    </row>
    <row r="909" spans="1:12" x14ac:dyDescent="0.3">
      <c r="A909" s="31"/>
      <c r="B909" s="32">
        <f>IF(A909="","",DATE(YEAR(A909),MONTH(A909),1))</f>
      </c>
      <c r="C909" s="11"/>
      <c r="D909" s="11"/>
      <c r="E909" s="16">
        <f>IF(OR(D909="",C909&lt;&gt;"Chi"),"",IFERROR(INDEX('Danh mục'!$B$39:$B$78,MATCH(D909,'Danh mục'!$A$39:$A$78,0))&amp;"","?"))</f>
      </c>
      <c r="F909" s="16">
        <f>IF(D909="","",IF(C909="Thu",IFERROR(INDEX('Danh mục'!$B$26:$B$35,MATCH(D909,'Danh mục'!$A$26:$A$35,0))&amp;"","?"),IFERROR(INDEX('Danh mục'!$D$39:$D$78,MATCH(D909,'Danh mục'!$A$39:$A$78,0))&amp;"","?")))</f>
      </c>
      <c r="G909" s="16">
        <f>IF(OR(D909="",C909&lt;&gt;"Chi"),"",IFERROR(INDEX('Danh mục'!$C$39:$C$78,MATCH(D909,'Danh mục'!$A$39:$A$78,0))&amp;"",""))</f>
      </c>
      <c r="H909" s="11"/>
      <c r="I909" s="20"/>
      <c r="J909" s="11"/>
      <c r="K909" s="11"/>
      <c r="L909" s="11"/>
    </row>
    <row r="910" spans="1:12" x14ac:dyDescent="0.3">
      <c r="A910" s="31"/>
      <c r="B910" s="32">
        <f>IF(A910="","",DATE(YEAR(A910),MONTH(A910),1))</f>
      </c>
      <c r="C910" s="11"/>
      <c r="D910" s="11"/>
      <c r="E910" s="16">
        <f>IF(OR(D910="",C910&lt;&gt;"Chi"),"",IFERROR(INDEX('Danh mục'!$B$39:$B$78,MATCH(D910,'Danh mục'!$A$39:$A$78,0))&amp;"","?"))</f>
      </c>
      <c r="F910" s="16">
        <f>IF(D910="","",IF(C910="Thu",IFERROR(INDEX('Danh mục'!$B$26:$B$35,MATCH(D910,'Danh mục'!$A$26:$A$35,0))&amp;"","?"),IFERROR(INDEX('Danh mục'!$D$39:$D$78,MATCH(D910,'Danh mục'!$A$39:$A$78,0))&amp;"","?")))</f>
      </c>
      <c r="G910" s="16">
        <f>IF(OR(D910="",C910&lt;&gt;"Chi"),"",IFERROR(INDEX('Danh mục'!$C$39:$C$78,MATCH(D910,'Danh mục'!$A$39:$A$78,0))&amp;"",""))</f>
      </c>
      <c r="H910" s="11"/>
      <c r="I910" s="20"/>
      <c r="J910" s="11"/>
      <c r="K910" s="11"/>
      <c r="L910" s="11"/>
    </row>
    <row r="911" spans="1:12" x14ac:dyDescent="0.3">
      <c r="A911" s="31"/>
      <c r="B911" s="32">
        <f>IF(A911="","",DATE(YEAR(A911),MONTH(A911),1))</f>
      </c>
      <c r="C911" s="11"/>
      <c r="D911" s="11"/>
      <c r="E911" s="16">
        <f>IF(OR(D911="",C911&lt;&gt;"Chi"),"",IFERROR(INDEX('Danh mục'!$B$39:$B$78,MATCH(D911,'Danh mục'!$A$39:$A$78,0))&amp;"","?"))</f>
      </c>
      <c r="F911" s="16">
        <f>IF(D911="","",IF(C911="Thu",IFERROR(INDEX('Danh mục'!$B$26:$B$35,MATCH(D911,'Danh mục'!$A$26:$A$35,0))&amp;"","?"),IFERROR(INDEX('Danh mục'!$D$39:$D$78,MATCH(D911,'Danh mục'!$A$39:$A$78,0))&amp;"","?")))</f>
      </c>
      <c r="G911" s="16">
        <f>IF(OR(D911="",C911&lt;&gt;"Chi"),"",IFERROR(INDEX('Danh mục'!$C$39:$C$78,MATCH(D911,'Danh mục'!$A$39:$A$78,0))&amp;"",""))</f>
      </c>
      <c r="H911" s="11"/>
      <c r="I911" s="20"/>
      <c r="J911" s="11"/>
      <c r="K911" s="11"/>
      <c r="L911" s="11"/>
    </row>
    <row r="912" spans="1:12" x14ac:dyDescent="0.3">
      <c r="A912" s="31"/>
      <c r="B912" s="32">
        <f>IF(A912="","",DATE(YEAR(A912),MONTH(A912),1))</f>
      </c>
      <c r="C912" s="11"/>
      <c r="D912" s="11"/>
      <c r="E912" s="16">
        <f>IF(OR(D912="",C912&lt;&gt;"Chi"),"",IFERROR(INDEX('Danh mục'!$B$39:$B$78,MATCH(D912,'Danh mục'!$A$39:$A$78,0))&amp;"","?"))</f>
      </c>
      <c r="F912" s="16">
        <f>IF(D912="","",IF(C912="Thu",IFERROR(INDEX('Danh mục'!$B$26:$B$35,MATCH(D912,'Danh mục'!$A$26:$A$35,0))&amp;"","?"),IFERROR(INDEX('Danh mục'!$D$39:$D$78,MATCH(D912,'Danh mục'!$A$39:$A$78,0))&amp;"","?")))</f>
      </c>
      <c r="G912" s="16">
        <f>IF(OR(D912="",C912&lt;&gt;"Chi"),"",IFERROR(INDEX('Danh mục'!$C$39:$C$78,MATCH(D912,'Danh mục'!$A$39:$A$78,0))&amp;"",""))</f>
      </c>
      <c r="H912" s="11"/>
      <c r="I912" s="20"/>
      <c r="J912" s="11"/>
      <c r="K912" s="11"/>
      <c r="L912" s="11"/>
    </row>
    <row r="913" spans="1:12" x14ac:dyDescent="0.3">
      <c r="A913" s="31"/>
      <c r="B913" s="32">
        <f>IF(A913="","",DATE(YEAR(A913),MONTH(A913),1))</f>
      </c>
      <c r="C913" s="11"/>
      <c r="D913" s="11"/>
      <c r="E913" s="16">
        <f>IF(OR(D913="",C913&lt;&gt;"Chi"),"",IFERROR(INDEX('Danh mục'!$B$39:$B$78,MATCH(D913,'Danh mục'!$A$39:$A$78,0))&amp;"","?"))</f>
      </c>
      <c r="F913" s="16">
        <f>IF(D913="","",IF(C913="Thu",IFERROR(INDEX('Danh mục'!$B$26:$B$35,MATCH(D913,'Danh mục'!$A$26:$A$35,0))&amp;"","?"),IFERROR(INDEX('Danh mục'!$D$39:$D$78,MATCH(D913,'Danh mục'!$A$39:$A$78,0))&amp;"","?")))</f>
      </c>
      <c r="G913" s="16">
        <f>IF(OR(D913="",C913&lt;&gt;"Chi"),"",IFERROR(INDEX('Danh mục'!$C$39:$C$78,MATCH(D913,'Danh mục'!$A$39:$A$78,0))&amp;"",""))</f>
      </c>
      <c r="H913" s="11"/>
      <c r="I913" s="20"/>
      <c r="J913" s="11"/>
      <c r="K913" s="11"/>
      <c r="L913" s="11"/>
    </row>
    <row r="914" spans="1:12" x14ac:dyDescent="0.3">
      <c r="A914" s="31"/>
      <c r="B914" s="32">
        <f>IF(A914="","",DATE(YEAR(A914),MONTH(A914),1))</f>
      </c>
      <c r="C914" s="11"/>
      <c r="D914" s="11"/>
      <c r="E914" s="16">
        <f>IF(OR(D914="",C914&lt;&gt;"Chi"),"",IFERROR(INDEX('Danh mục'!$B$39:$B$78,MATCH(D914,'Danh mục'!$A$39:$A$78,0))&amp;"","?"))</f>
      </c>
      <c r="F914" s="16">
        <f>IF(D914="","",IF(C914="Thu",IFERROR(INDEX('Danh mục'!$B$26:$B$35,MATCH(D914,'Danh mục'!$A$26:$A$35,0))&amp;"","?"),IFERROR(INDEX('Danh mục'!$D$39:$D$78,MATCH(D914,'Danh mục'!$A$39:$A$78,0))&amp;"","?")))</f>
      </c>
      <c r="G914" s="16">
        <f>IF(OR(D914="",C914&lt;&gt;"Chi"),"",IFERROR(INDEX('Danh mục'!$C$39:$C$78,MATCH(D914,'Danh mục'!$A$39:$A$78,0))&amp;"",""))</f>
      </c>
      <c r="H914" s="11"/>
      <c r="I914" s="20"/>
      <c r="J914" s="11"/>
      <c r="K914" s="11"/>
      <c r="L914" s="11"/>
    </row>
    <row r="915" spans="1:12" x14ac:dyDescent="0.3">
      <c r="A915" s="31"/>
      <c r="B915" s="32">
        <f>IF(A915="","",DATE(YEAR(A915),MONTH(A915),1))</f>
      </c>
      <c r="C915" s="11"/>
      <c r="D915" s="11"/>
      <c r="E915" s="16">
        <f>IF(OR(D915="",C915&lt;&gt;"Chi"),"",IFERROR(INDEX('Danh mục'!$B$39:$B$78,MATCH(D915,'Danh mục'!$A$39:$A$78,0))&amp;"","?"))</f>
      </c>
      <c r="F915" s="16">
        <f>IF(D915="","",IF(C915="Thu",IFERROR(INDEX('Danh mục'!$B$26:$B$35,MATCH(D915,'Danh mục'!$A$26:$A$35,0))&amp;"","?"),IFERROR(INDEX('Danh mục'!$D$39:$D$78,MATCH(D915,'Danh mục'!$A$39:$A$78,0))&amp;"","?")))</f>
      </c>
      <c r="G915" s="16">
        <f>IF(OR(D915="",C915&lt;&gt;"Chi"),"",IFERROR(INDEX('Danh mục'!$C$39:$C$78,MATCH(D915,'Danh mục'!$A$39:$A$78,0))&amp;"",""))</f>
      </c>
      <c r="H915" s="11"/>
      <c r="I915" s="20"/>
      <c r="J915" s="11"/>
      <c r="K915" s="11"/>
      <c r="L915" s="11"/>
    </row>
    <row r="916" spans="1:12" x14ac:dyDescent="0.3">
      <c r="A916" s="31"/>
      <c r="B916" s="32">
        <f>IF(A916="","",DATE(YEAR(A916),MONTH(A916),1))</f>
      </c>
      <c r="C916" s="11"/>
      <c r="D916" s="11"/>
      <c r="E916" s="16">
        <f>IF(OR(D916="",C916&lt;&gt;"Chi"),"",IFERROR(INDEX('Danh mục'!$B$39:$B$78,MATCH(D916,'Danh mục'!$A$39:$A$78,0))&amp;"","?"))</f>
      </c>
      <c r="F916" s="16">
        <f>IF(D916="","",IF(C916="Thu",IFERROR(INDEX('Danh mục'!$B$26:$B$35,MATCH(D916,'Danh mục'!$A$26:$A$35,0))&amp;"","?"),IFERROR(INDEX('Danh mục'!$D$39:$D$78,MATCH(D916,'Danh mục'!$A$39:$A$78,0))&amp;"","?")))</f>
      </c>
      <c r="G916" s="16">
        <f>IF(OR(D916="",C916&lt;&gt;"Chi"),"",IFERROR(INDEX('Danh mục'!$C$39:$C$78,MATCH(D916,'Danh mục'!$A$39:$A$78,0))&amp;"",""))</f>
      </c>
      <c r="H916" s="11"/>
      <c r="I916" s="20"/>
      <c r="J916" s="11"/>
      <c r="K916" s="11"/>
      <c r="L916" s="11"/>
    </row>
    <row r="917" spans="1:12" x14ac:dyDescent="0.3">
      <c r="A917" s="31"/>
      <c r="B917" s="32">
        <f>IF(A917="","",DATE(YEAR(A917),MONTH(A917),1))</f>
      </c>
      <c r="C917" s="11"/>
      <c r="D917" s="11"/>
      <c r="E917" s="16">
        <f>IF(OR(D917="",C917&lt;&gt;"Chi"),"",IFERROR(INDEX('Danh mục'!$B$39:$B$78,MATCH(D917,'Danh mục'!$A$39:$A$78,0))&amp;"","?"))</f>
      </c>
      <c r="F917" s="16">
        <f>IF(D917="","",IF(C917="Thu",IFERROR(INDEX('Danh mục'!$B$26:$B$35,MATCH(D917,'Danh mục'!$A$26:$A$35,0))&amp;"","?"),IFERROR(INDEX('Danh mục'!$D$39:$D$78,MATCH(D917,'Danh mục'!$A$39:$A$78,0))&amp;"","?")))</f>
      </c>
      <c r="G917" s="16">
        <f>IF(OR(D917="",C917&lt;&gt;"Chi"),"",IFERROR(INDEX('Danh mục'!$C$39:$C$78,MATCH(D917,'Danh mục'!$A$39:$A$78,0))&amp;"",""))</f>
      </c>
      <c r="H917" s="11"/>
      <c r="I917" s="20"/>
      <c r="J917" s="11"/>
      <c r="K917" s="11"/>
      <c r="L917" s="11"/>
    </row>
    <row r="918" spans="1:12" x14ac:dyDescent="0.3">
      <c r="A918" s="31"/>
      <c r="B918" s="32">
        <f>IF(A918="","",DATE(YEAR(A918),MONTH(A918),1))</f>
      </c>
      <c r="C918" s="11"/>
      <c r="D918" s="11"/>
      <c r="E918" s="16">
        <f>IF(OR(D918="",C918&lt;&gt;"Chi"),"",IFERROR(INDEX('Danh mục'!$B$39:$B$78,MATCH(D918,'Danh mục'!$A$39:$A$78,0))&amp;"","?"))</f>
      </c>
      <c r="F918" s="16">
        <f>IF(D918="","",IF(C918="Thu",IFERROR(INDEX('Danh mục'!$B$26:$B$35,MATCH(D918,'Danh mục'!$A$26:$A$35,0))&amp;"","?"),IFERROR(INDEX('Danh mục'!$D$39:$D$78,MATCH(D918,'Danh mục'!$A$39:$A$78,0))&amp;"","?")))</f>
      </c>
      <c r="G918" s="16">
        <f>IF(OR(D918="",C918&lt;&gt;"Chi"),"",IFERROR(INDEX('Danh mục'!$C$39:$C$78,MATCH(D918,'Danh mục'!$A$39:$A$78,0))&amp;"",""))</f>
      </c>
      <c r="H918" s="11"/>
      <c r="I918" s="20"/>
      <c r="J918" s="11"/>
      <c r="K918" s="11"/>
      <c r="L918" s="11"/>
    </row>
    <row r="919" spans="1:12" x14ac:dyDescent="0.3">
      <c r="A919" s="31"/>
      <c r="B919" s="32">
        <f>IF(A919="","",DATE(YEAR(A919),MONTH(A919),1))</f>
      </c>
      <c r="C919" s="11"/>
      <c r="D919" s="11"/>
      <c r="E919" s="16">
        <f>IF(OR(D919="",C919&lt;&gt;"Chi"),"",IFERROR(INDEX('Danh mục'!$B$39:$B$78,MATCH(D919,'Danh mục'!$A$39:$A$78,0))&amp;"","?"))</f>
      </c>
      <c r="F919" s="16">
        <f>IF(D919="","",IF(C919="Thu",IFERROR(INDEX('Danh mục'!$B$26:$B$35,MATCH(D919,'Danh mục'!$A$26:$A$35,0))&amp;"","?"),IFERROR(INDEX('Danh mục'!$D$39:$D$78,MATCH(D919,'Danh mục'!$A$39:$A$78,0))&amp;"","?")))</f>
      </c>
      <c r="G919" s="16">
        <f>IF(OR(D919="",C919&lt;&gt;"Chi"),"",IFERROR(INDEX('Danh mục'!$C$39:$C$78,MATCH(D919,'Danh mục'!$A$39:$A$78,0))&amp;"",""))</f>
      </c>
      <c r="H919" s="11"/>
      <c r="I919" s="20"/>
      <c r="J919" s="11"/>
      <c r="K919" s="11"/>
      <c r="L919" s="11"/>
    </row>
    <row r="920" spans="1:12" x14ac:dyDescent="0.3">
      <c r="A920" s="31"/>
      <c r="B920" s="32">
        <f>IF(A920="","",DATE(YEAR(A920),MONTH(A920),1))</f>
      </c>
      <c r="C920" s="11"/>
      <c r="D920" s="11"/>
      <c r="E920" s="16">
        <f>IF(OR(D920="",C920&lt;&gt;"Chi"),"",IFERROR(INDEX('Danh mục'!$B$39:$B$78,MATCH(D920,'Danh mục'!$A$39:$A$78,0))&amp;"","?"))</f>
      </c>
      <c r="F920" s="16">
        <f>IF(D920="","",IF(C920="Thu",IFERROR(INDEX('Danh mục'!$B$26:$B$35,MATCH(D920,'Danh mục'!$A$26:$A$35,0))&amp;"","?"),IFERROR(INDEX('Danh mục'!$D$39:$D$78,MATCH(D920,'Danh mục'!$A$39:$A$78,0))&amp;"","?")))</f>
      </c>
      <c r="G920" s="16">
        <f>IF(OR(D920="",C920&lt;&gt;"Chi"),"",IFERROR(INDEX('Danh mục'!$C$39:$C$78,MATCH(D920,'Danh mục'!$A$39:$A$78,0))&amp;"",""))</f>
      </c>
      <c r="H920" s="11"/>
      <c r="I920" s="20"/>
      <c r="J920" s="11"/>
      <c r="K920" s="11"/>
      <c r="L920" s="11"/>
    </row>
    <row r="921" spans="1:12" x14ac:dyDescent="0.3">
      <c r="A921" s="31"/>
      <c r="B921" s="32">
        <f>IF(A921="","",DATE(YEAR(A921),MONTH(A921),1))</f>
      </c>
      <c r="C921" s="11"/>
      <c r="D921" s="11"/>
      <c r="E921" s="16">
        <f>IF(OR(D921="",C921&lt;&gt;"Chi"),"",IFERROR(INDEX('Danh mục'!$B$39:$B$78,MATCH(D921,'Danh mục'!$A$39:$A$78,0))&amp;"","?"))</f>
      </c>
      <c r="F921" s="16">
        <f>IF(D921="","",IF(C921="Thu",IFERROR(INDEX('Danh mục'!$B$26:$B$35,MATCH(D921,'Danh mục'!$A$26:$A$35,0))&amp;"","?"),IFERROR(INDEX('Danh mục'!$D$39:$D$78,MATCH(D921,'Danh mục'!$A$39:$A$78,0))&amp;"","?")))</f>
      </c>
      <c r="G921" s="16">
        <f>IF(OR(D921="",C921&lt;&gt;"Chi"),"",IFERROR(INDEX('Danh mục'!$C$39:$C$78,MATCH(D921,'Danh mục'!$A$39:$A$78,0))&amp;"",""))</f>
      </c>
      <c r="H921" s="11"/>
      <c r="I921" s="20"/>
      <c r="J921" s="11"/>
      <c r="K921" s="11"/>
      <c r="L921" s="11"/>
    </row>
    <row r="922" spans="1:12" x14ac:dyDescent="0.3">
      <c r="A922" s="31"/>
      <c r="B922" s="32">
        <f>IF(A922="","",DATE(YEAR(A922),MONTH(A922),1))</f>
      </c>
      <c r="C922" s="11"/>
      <c r="D922" s="11"/>
      <c r="E922" s="16">
        <f>IF(OR(D922="",C922&lt;&gt;"Chi"),"",IFERROR(INDEX('Danh mục'!$B$39:$B$78,MATCH(D922,'Danh mục'!$A$39:$A$78,0))&amp;"","?"))</f>
      </c>
      <c r="F922" s="16">
        <f>IF(D922="","",IF(C922="Thu",IFERROR(INDEX('Danh mục'!$B$26:$B$35,MATCH(D922,'Danh mục'!$A$26:$A$35,0))&amp;"","?"),IFERROR(INDEX('Danh mục'!$D$39:$D$78,MATCH(D922,'Danh mục'!$A$39:$A$78,0))&amp;"","?")))</f>
      </c>
      <c r="G922" s="16">
        <f>IF(OR(D922="",C922&lt;&gt;"Chi"),"",IFERROR(INDEX('Danh mục'!$C$39:$C$78,MATCH(D922,'Danh mục'!$A$39:$A$78,0))&amp;"",""))</f>
      </c>
      <c r="H922" s="11"/>
      <c r="I922" s="20"/>
      <c r="J922" s="11"/>
      <c r="K922" s="11"/>
      <c r="L922" s="11"/>
    </row>
    <row r="923" spans="1:12" x14ac:dyDescent="0.3">
      <c r="A923" s="31"/>
      <c r="B923" s="32">
        <f>IF(A923="","",DATE(YEAR(A923),MONTH(A923),1))</f>
      </c>
      <c r="C923" s="11"/>
      <c r="D923" s="11"/>
      <c r="E923" s="16">
        <f>IF(OR(D923="",C923&lt;&gt;"Chi"),"",IFERROR(INDEX('Danh mục'!$B$39:$B$78,MATCH(D923,'Danh mục'!$A$39:$A$78,0))&amp;"","?"))</f>
      </c>
      <c r="F923" s="16">
        <f>IF(D923="","",IF(C923="Thu",IFERROR(INDEX('Danh mục'!$B$26:$B$35,MATCH(D923,'Danh mục'!$A$26:$A$35,0))&amp;"","?"),IFERROR(INDEX('Danh mục'!$D$39:$D$78,MATCH(D923,'Danh mục'!$A$39:$A$78,0))&amp;"","?")))</f>
      </c>
      <c r="G923" s="16">
        <f>IF(OR(D923="",C923&lt;&gt;"Chi"),"",IFERROR(INDEX('Danh mục'!$C$39:$C$78,MATCH(D923,'Danh mục'!$A$39:$A$78,0))&amp;"",""))</f>
      </c>
      <c r="H923" s="11"/>
      <c r="I923" s="20"/>
      <c r="J923" s="11"/>
      <c r="K923" s="11"/>
      <c r="L923" s="11"/>
    </row>
    <row r="924" spans="1:12" x14ac:dyDescent="0.3">
      <c r="A924" s="31"/>
      <c r="B924" s="32">
        <f>IF(A924="","",DATE(YEAR(A924),MONTH(A924),1))</f>
      </c>
      <c r="C924" s="11"/>
      <c r="D924" s="11"/>
      <c r="E924" s="16">
        <f>IF(OR(D924="",C924&lt;&gt;"Chi"),"",IFERROR(INDEX('Danh mục'!$B$39:$B$78,MATCH(D924,'Danh mục'!$A$39:$A$78,0))&amp;"","?"))</f>
      </c>
      <c r="F924" s="16">
        <f>IF(D924="","",IF(C924="Thu",IFERROR(INDEX('Danh mục'!$B$26:$B$35,MATCH(D924,'Danh mục'!$A$26:$A$35,0))&amp;"","?"),IFERROR(INDEX('Danh mục'!$D$39:$D$78,MATCH(D924,'Danh mục'!$A$39:$A$78,0))&amp;"","?")))</f>
      </c>
      <c r="G924" s="16">
        <f>IF(OR(D924="",C924&lt;&gt;"Chi"),"",IFERROR(INDEX('Danh mục'!$C$39:$C$78,MATCH(D924,'Danh mục'!$A$39:$A$78,0))&amp;"",""))</f>
      </c>
      <c r="H924" s="11"/>
      <c r="I924" s="20"/>
      <c r="J924" s="11"/>
      <c r="K924" s="11"/>
      <c r="L924" s="11"/>
    </row>
    <row r="925" spans="1:12" x14ac:dyDescent="0.3">
      <c r="A925" s="31"/>
      <c r="B925" s="32">
        <f>IF(A925="","",DATE(YEAR(A925),MONTH(A925),1))</f>
      </c>
      <c r="C925" s="11"/>
      <c r="D925" s="11"/>
      <c r="E925" s="16">
        <f>IF(OR(D925="",C925&lt;&gt;"Chi"),"",IFERROR(INDEX('Danh mục'!$B$39:$B$78,MATCH(D925,'Danh mục'!$A$39:$A$78,0))&amp;"","?"))</f>
      </c>
      <c r="F925" s="16">
        <f>IF(D925="","",IF(C925="Thu",IFERROR(INDEX('Danh mục'!$B$26:$B$35,MATCH(D925,'Danh mục'!$A$26:$A$35,0))&amp;"","?"),IFERROR(INDEX('Danh mục'!$D$39:$D$78,MATCH(D925,'Danh mục'!$A$39:$A$78,0))&amp;"","?")))</f>
      </c>
      <c r="G925" s="16">
        <f>IF(OR(D925="",C925&lt;&gt;"Chi"),"",IFERROR(INDEX('Danh mục'!$C$39:$C$78,MATCH(D925,'Danh mục'!$A$39:$A$78,0))&amp;"",""))</f>
      </c>
      <c r="H925" s="11"/>
      <c r="I925" s="20"/>
      <c r="J925" s="11"/>
      <c r="K925" s="11"/>
      <c r="L925" s="11"/>
    </row>
    <row r="926" spans="1:12" x14ac:dyDescent="0.3">
      <c r="A926" s="31"/>
      <c r="B926" s="32">
        <f>IF(A926="","",DATE(YEAR(A926),MONTH(A926),1))</f>
      </c>
      <c r="C926" s="11"/>
      <c r="D926" s="11"/>
      <c r="E926" s="16">
        <f>IF(OR(D926="",C926&lt;&gt;"Chi"),"",IFERROR(INDEX('Danh mục'!$B$39:$B$78,MATCH(D926,'Danh mục'!$A$39:$A$78,0))&amp;"","?"))</f>
      </c>
      <c r="F926" s="16">
        <f>IF(D926="","",IF(C926="Thu",IFERROR(INDEX('Danh mục'!$B$26:$B$35,MATCH(D926,'Danh mục'!$A$26:$A$35,0))&amp;"","?"),IFERROR(INDEX('Danh mục'!$D$39:$D$78,MATCH(D926,'Danh mục'!$A$39:$A$78,0))&amp;"","?")))</f>
      </c>
      <c r="G926" s="16">
        <f>IF(OR(D926="",C926&lt;&gt;"Chi"),"",IFERROR(INDEX('Danh mục'!$C$39:$C$78,MATCH(D926,'Danh mục'!$A$39:$A$78,0))&amp;"",""))</f>
      </c>
      <c r="H926" s="11"/>
      <c r="I926" s="20"/>
      <c r="J926" s="11"/>
      <c r="K926" s="11"/>
      <c r="L926" s="11"/>
    </row>
    <row r="927" spans="1:12" x14ac:dyDescent="0.3">
      <c r="A927" s="31"/>
      <c r="B927" s="32">
        <f>IF(A927="","",DATE(YEAR(A927),MONTH(A927),1))</f>
      </c>
      <c r="C927" s="11"/>
      <c r="D927" s="11"/>
      <c r="E927" s="16">
        <f>IF(OR(D927="",C927&lt;&gt;"Chi"),"",IFERROR(INDEX('Danh mục'!$B$39:$B$78,MATCH(D927,'Danh mục'!$A$39:$A$78,0))&amp;"","?"))</f>
      </c>
      <c r="F927" s="16">
        <f>IF(D927="","",IF(C927="Thu",IFERROR(INDEX('Danh mục'!$B$26:$B$35,MATCH(D927,'Danh mục'!$A$26:$A$35,0))&amp;"","?"),IFERROR(INDEX('Danh mục'!$D$39:$D$78,MATCH(D927,'Danh mục'!$A$39:$A$78,0))&amp;"","?")))</f>
      </c>
      <c r="G927" s="16">
        <f>IF(OR(D927="",C927&lt;&gt;"Chi"),"",IFERROR(INDEX('Danh mục'!$C$39:$C$78,MATCH(D927,'Danh mục'!$A$39:$A$78,0))&amp;"",""))</f>
      </c>
      <c r="H927" s="11"/>
      <c r="I927" s="20"/>
      <c r="J927" s="11"/>
      <c r="K927" s="11"/>
      <c r="L927" s="11"/>
    </row>
    <row r="928" spans="1:12" x14ac:dyDescent="0.3">
      <c r="A928" s="31"/>
      <c r="B928" s="32">
        <f>IF(A928="","",DATE(YEAR(A928),MONTH(A928),1))</f>
      </c>
      <c r="C928" s="11"/>
      <c r="D928" s="11"/>
      <c r="E928" s="16">
        <f>IF(OR(D928="",C928&lt;&gt;"Chi"),"",IFERROR(INDEX('Danh mục'!$B$39:$B$78,MATCH(D928,'Danh mục'!$A$39:$A$78,0))&amp;"","?"))</f>
      </c>
      <c r="F928" s="16">
        <f>IF(D928="","",IF(C928="Thu",IFERROR(INDEX('Danh mục'!$B$26:$B$35,MATCH(D928,'Danh mục'!$A$26:$A$35,0))&amp;"","?"),IFERROR(INDEX('Danh mục'!$D$39:$D$78,MATCH(D928,'Danh mục'!$A$39:$A$78,0))&amp;"","?")))</f>
      </c>
      <c r="G928" s="16">
        <f>IF(OR(D928="",C928&lt;&gt;"Chi"),"",IFERROR(INDEX('Danh mục'!$C$39:$C$78,MATCH(D928,'Danh mục'!$A$39:$A$78,0))&amp;"",""))</f>
      </c>
      <c r="H928" s="11"/>
      <c r="I928" s="20"/>
      <c r="J928" s="11"/>
      <c r="K928" s="11"/>
      <c r="L928" s="11"/>
    </row>
    <row r="929" spans="1:12" x14ac:dyDescent="0.3">
      <c r="A929" s="31"/>
      <c r="B929" s="32">
        <f>IF(A929="","",DATE(YEAR(A929),MONTH(A929),1))</f>
      </c>
      <c r="C929" s="11"/>
      <c r="D929" s="11"/>
      <c r="E929" s="16">
        <f>IF(OR(D929="",C929&lt;&gt;"Chi"),"",IFERROR(INDEX('Danh mục'!$B$39:$B$78,MATCH(D929,'Danh mục'!$A$39:$A$78,0))&amp;"","?"))</f>
      </c>
      <c r="F929" s="16">
        <f>IF(D929="","",IF(C929="Thu",IFERROR(INDEX('Danh mục'!$B$26:$B$35,MATCH(D929,'Danh mục'!$A$26:$A$35,0))&amp;"","?"),IFERROR(INDEX('Danh mục'!$D$39:$D$78,MATCH(D929,'Danh mục'!$A$39:$A$78,0))&amp;"","?")))</f>
      </c>
      <c r="G929" s="16">
        <f>IF(OR(D929="",C929&lt;&gt;"Chi"),"",IFERROR(INDEX('Danh mục'!$C$39:$C$78,MATCH(D929,'Danh mục'!$A$39:$A$78,0))&amp;"",""))</f>
      </c>
      <c r="H929" s="11"/>
      <c r="I929" s="20"/>
      <c r="J929" s="11"/>
      <c r="K929" s="11"/>
      <c r="L929" s="11"/>
    </row>
    <row r="930" spans="1:12" x14ac:dyDescent="0.3">
      <c r="A930" s="31"/>
      <c r="B930" s="32">
        <f>IF(A930="","",DATE(YEAR(A930),MONTH(A930),1))</f>
      </c>
      <c r="C930" s="11"/>
      <c r="D930" s="11"/>
      <c r="E930" s="16">
        <f>IF(OR(D930="",C930&lt;&gt;"Chi"),"",IFERROR(INDEX('Danh mục'!$B$39:$B$78,MATCH(D930,'Danh mục'!$A$39:$A$78,0))&amp;"","?"))</f>
      </c>
      <c r="F930" s="16">
        <f>IF(D930="","",IF(C930="Thu",IFERROR(INDEX('Danh mục'!$B$26:$B$35,MATCH(D930,'Danh mục'!$A$26:$A$35,0))&amp;"","?"),IFERROR(INDEX('Danh mục'!$D$39:$D$78,MATCH(D930,'Danh mục'!$A$39:$A$78,0))&amp;"","?")))</f>
      </c>
      <c r="G930" s="16">
        <f>IF(OR(D930="",C930&lt;&gt;"Chi"),"",IFERROR(INDEX('Danh mục'!$C$39:$C$78,MATCH(D930,'Danh mục'!$A$39:$A$78,0))&amp;"",""))</f>
      </c>
      <c r="H930" s="11"/>
      <c r="I930" s="20"/>
      <c r="J930" s="11"/>
      <c r="K930" s="11"/>
      <c r="L930" s="11"/>
    </row>
    <row r="931" spans="1:12" x14ac:dyDescent="0.3">
      <c r="A931" s="31"/>
      <c r="B931" s="32">
        <f>IF(A931="","",DATE(YEAR(A931),MONTH(A931),1))</f>
      </c>
      <c r="C931" s="11"/>
      <c r="D931" s="11"/>
      <c r="E931" s="16">
        <f>IF(OR(D931="",C931&lt;&gt;"Chi"),"",IFERROR(INDEX('Danh mục'!$B$39:$B$78,MATCH(D931,'Danh mục'!$A$39:$A$78,0))&amp;"","?"))</f>
      </c>
      <c r="F931" s="16">
        <f>IF(D931="","",IF(C931="Thu",IFERROR(INDEX('Danh mục'!$B$26:$B$35,MATCH(D931,'Danh mục'!$A$26:$A$35,0))&amp;"","?"),IFERROR(INDEX('Danh mục'!$D$39:$D$78,MATCH(D931,'Danh mục'!$A$39:$A$78,0))&amp;"","?")))</f>
      </c>
      <c r="G931" s="16">
        <f>IF(OR(D931="",C931&lt;&gt;"Chi"),"",IFERROR(INDEX('Danh mục'!$C$39:$C$78,MATCH(D931,'Danh mục'!$A$39:$A$78,0))&amp;"",""))</f>
      </c>
      <c r="H931" s="11"/>
      <c r="I931" s="20"/>
      <c r="J931" s="11"/>
      <c r="K931" s="11"/>
      <c r="L931" s="11"/>
    </row>
    <row r="932" spans="1:12" x14ac:dyDescent="0.3">
      <c r="A932" s="31"/>
      <c r="B932" s="32">
        <f>IF(A932="","",DATE(YEAR(A932),MONTH(A932),1))</f>
      </c>
      <c r="C932" s="11"/>
      <c r="D932" s="11"/>
      <c r="E932" s="16">
        <f>IF(OR(D932="",C932&lt;&gt;"Chi"),"",IFERROR(INDEX('Danh mục'!$B$39:$B$78,MATCH(D932,'Danh mục'!$A$39:$A$78,0))&amp;"","?"))</f>
      </c>
      <c r="F932" s="16">
        <f>IF(D932="","",IF(C932="Thu",IFERROR(INDEX('Danh mục'!$B$26:$B$35,MATCH(D932,'Danh mục'!$A$26:$A$35,0))&amp;"","?"),IFERROR(INDEX('Danh mục'!$D$39:$D$78,MATCH(D932,'Danh mục'!$A$39:$A$78,0))&amp;"","?")))</f>
      </c>
      <c r="G932" s="16">
        <f>IF(OR(D932="",C932&lt;&gt;"Chi"),"",IFERROR(INDEX('Danh mục'!$C$39:$C$78,MATCH(D932,'Danh mục'!$A$39:$A$78,0))&amp;"",""))</f>
      </c>
      <c r="H932" s="11"/>
      <c r="I932" s="20"/>
      <c r="J932" s="11"/>
      <c r="K932" s="11"/>
      <c r="L932" s="11"/>
    </row>
    <row r="933" spans="1:12" x14ac:dyDescent="0.3">
      <c r="A933" s="31"/>
      <c r="B933" s="32">
        <f>IF(A933="","",DATE(YEAR(A933),MONTH(A933),1))</f>
      </c>
      <c r="C933" s="11"/>
      <c r="D933" s="11"/>
      <c r="E933" s="16">
        <f>IF(OR(D933="",C933&lt;&gt;"Chi"),"",IFERROR(INDEX('Danh mục'!$B$39:$B$78,MATCH(D933,'Danh mục'!$A$39:$A$78,0))&amp;"","?"))</f>
      </c>
      <c r="F933" s="16">
        <f>IF(D933="","",IF(C933="Thu",IFERROR(INDEX('Danh mục'!$B$26:$B$35,MATCH(D933,'Danh mục'!$A$26:$A$35,0))&amp;"","?"),IFERROR(INDEX('Danh mục'!$D$39:$D$78,MATCH(D933,'Danh mục'!$A$39:$A$78,0))&amp;"","?")))</f>
      </c>
      <c r="G933" s="16">
        <f>IF(OR(D933="",C933&lt;&gt;"Chi"),"",IFERROR(INDEX('Danh mục'!$C$39:$C$78,MATCH(D933,'Danh mục'!$A$39:$A$78,0))&amp;"",""))</f>
      </c>
      <c r="H933" s="11"/>
      <c r="I933" s="20"/>
      <c r="J933" s="11"/>
      <c r="K933" s="11"/>
      <c r="L933" s="11"/>
    </row>
    <row r="934" spans="1:12" x14ac:dyDescent="0.3">
      <c r="A934" s="31"/>
      <c r="B934" s="32">
        <f>IF(A934="","",DATE(YEAR(A934),MONTH(A934),1))</f>
      </c>
      <c r="C934" s="11"/>
      <c r="D934" s="11"/>
      <c r="E934" s="16">
        <f>IF(OR(D934="",C934&lt;&gt;"Chi"),"",IFERROR(INDEX('Danh mục'!$B$39:$B$78,MATCH(D934,'Danh mục'!$A$39:$A$78,0))&amp;"","?"))</f>
      </c>
      <c r="F934" s="16">
        <f>IF(D934="","",IF(C934="Thu",IFERROR(INDEX('Danh mục'!$B$26:$B$35,MATCH(D934,'Danh mục'!$A$26:$A$35,0))&amp;"","?"),IFERROR(INDEX('Danh mục'!$D$39:$D$78,MATCH(D934,'Danh mục'!$A$39:$A$78,0))&amp;"","?")))</f>
      </c>
      <c r="G934" s="16">
        <f>IF(OR(D934="",C934&lt;&gt;"Chi"),"",IFERROR(INDEX('Danh mục'!$C$39:$C$78,MATCH(D934,'Danh mục'!$A$39:$A$78,0))&amp;"",""))</f>
      </c>
      <c r="H934" s="11"/>
      <c r="I934" s="20"/>
      <c r="J934" s="11"/>
      <c r="K934" s="11"/>
      <c r="L934" s="11"/>
    </row>
    <row r="935" spans="1:12" x14ac:dyDescent="0.3">
      <c r="A935" s="31"/>
      <c r="B935" s="32">
        <f>IF(A935="","",DATE(YEAR(A935),MONTH(A935),1))</f>
      </c>
      <c r="C935" s="11"/>
      <c r="D935" s="11"/>
      <c r="E935" s="16">
        <f>IF(OR(D935="",C935&lt;&gt;"Chi"),"",IFERROR(INDEX('Danh mục'!$B$39:$B$78,MATCH(D935,'Danh mục'!$A$39:$A$78,0))&amp;"","?"))</f>
      </c>
      <c r="F935" s="16">
        <f>IF(D935="","",IF(C935="Thu",IFERROR(INDEX('Danh mục'!$B$26:$B$35,MATCH(D935,'Danh mục'!$A$26:$A$35,0))&amp;"","?"),IFERROR(INDEX('Danh mục'!$D$39:$D$78,MATCH(D935,'Danh mục'!$A$39:$A$78,0))&amp;"","?")))</f>
      </c>
      <c r="G935" s="16">
        <f>IF(OR(D935="",C935&lt;&gt;"Chi"),"",IFERROR(INDEX('Danh mục'!$C$39:$C$78,MATCH(D935,'Danh mục'!$A$39:$A$78,0))&amp;"",""))</f>
      </c>
      <c r="H935" s="11"/>
      <c r="I935" s="20"/>
      <c r="J935" s="11"/>
      <c r="K935" s="11"/>
      <c r="L935" s="11"/>
    </row>
    <row r="936" spans="1:12" x14ac:dyDescent="0.3">
      <c r="A936" s="31"/>
      <c r="B936" s="32">
        <f>IF(A936="","",DATE(YEAR(A936),MONTH(A936),1))</f>
      </c>
      <c r="C936" s="11"/>
      <c r="D936" s="11"/>
      <c r="E936" s="16">
        <f>IF(OR(D936="",C936&lt;&gt;"Chi"),"",IFERROR(INDEX('Danh mục'!$B$39:$B$78,MATCH(D936,'Danh mục'!$A$39:$A$78,0))&amp;"","?"))</f>
      </c>
      <c r="F936" s="16">
        <f>IF(D936="","",IF(C936="Thu",IFERROR(INDEX('Danh mục'!$B$26:$B$35,MATCH(D936,'Danh mục'!$A$26:$A$35,0))&amp;"","?"),IFERROR(INDEX('Danh mục'!$D$39:$D$78,MATCH(D936,'Danh mục'!$A$39:$A$78,0))&amp;"","?")))</f>
      </c>
      <c r="G936" s="16">
        <f>IF(OR(D936="",C936&lt;&gt;"Chi"),"",IFERROR(INDEX('Danh mục'!$C$39:$C$78,MATCH(D936,'Danh mục'!$A$39:$A$78,0))&amp;"",""))</f>
      </c>
      <c r="H936" s="11"/>
      <c r="I936" s="20"/>
      <c r="J936" s="11"/>
      <c r="K936" s="11"/>
      <c r="L936" s="11"/>
    </row>
    <row r="937" spans="1:12" x14ac:dyDescent="0.3">
      <c r="A937" s="31"/>
      <c r="B937" s="32">
        <f>IF(A937="","",DATE(YEAR(A937),MONTH(A937),1))</f>
      </c>
      <c r="C937" s="11"/>
      <c r="D937" s="11"/>
      <c r="E937" s="16">
        <f>IF(OR(D937="",C937&lt;&gt;"Chi"),"",IFERROR(INDEX('Danh mục'!$B$39:$B$78,MATCH(D937,'Danh mục'!$A$39:$A$78,0))&amp;"","?"))</f>
      </c>
      <c r="F937" s="16">
        <f>IF(D937="","",IF(C937="Thu",IFERROR(INDEX('Danh mục'!$B$26:$B$35,MATCH(D937,'Danh mục'!$A$26:$A$35,0))&amp;"","?"),IFERROR(INDEX('Danh mục'!$D$39:$D$78,MATCH(D937,'Danh mục'!$A$39:$A$78,0))&amp;"","?")))</f>
      </c>
      <c r="G937" s="16">
        <f>IF(OR(D937="",C937&lt;&gt;"Chi"),"",IFERROR(INDEX('Danh mục'!$C$39:$C$78,MATCH(D937,'Danh mục'!$A$39:$A$78,0))&amp;"",""))</f>
      </c>
      <c r="H937" s="11"/>
      <c r="I937" s="20"/>
      <c r="J937" s="11"/>
      <c r="K937" s="11"/>
      <c r="L937" s="11"/>
    </row>
    <row r="938" spans="1:12" x14ac:dyDescent="0.3">
      <c r="A938" s="31"/>
      <c r="B938" s="32">
        <f>IF(A938="","",DATE(YEAR(A938),MONTH(A938),1))</f>
      </c>
      <c r="C938" s="11"/>
      <c r="D938" s="11"/>
      <c r="E938" s="16">
        <f>IF(OR(D938="",C938&lt;&gt;"Chi"),"",IFERROR(INDEX('Danh mục'!$B$39:$B$78,MATCH(D938,'Danh mục'!$A$39:$A$78,0))&amp;"","?"))</f>
      </c>
      <c r="F938" s="16">
        <f>IF(D938="","",IF(C938="Thu",IFERROR(INDEX('Danh mục'!$B$26:$B$35,MATCH(D938,'Danh mục'!$A$26:$A$35,0))&amp;"","?"),IFERROR(INDEX('Danh mục'!$D$39:$D$78,MATCH(D938,'Danh mục'!$A$39:$A$78,0))&amp;"","?")))</f>
      </c>
      <c r="G938" s="16">
        <f>IF(OR(D938="",C938&lt;&gt;"Chi"),"",IFERROR(INDEX('Danh mục'!$C$39:$C$78,MATCH(D938,'Danh mục'!$A$39:$A$78,0))&amp;"",""))</f>
      </c>
      <c r="H938" s="11"/>
      <c r="I938" s="20"/>
      <c r="J938" s="11"/>
      <c r="K938" s="11"/>
      <c r="L938" s="11"/>
    </row>
    <row r="939" spans="1:12" x14ac:dyDescent="0.3">
      <c r="A939" s="31"/>
      <c r="B939" s="32">
        <f>IF(A939="","",DATE(YEAR(A939),MONTH(A939),1))</f>
      </c>
      <c r="C939" s="11"/>
      <c r="D939" s="11"/>
      <c r="E939" s="16">
        <f>IF(OR(D939="",C939&lt;&gt;"Chi"),"",IFERROR(INDEX('Danh mục'!$B$39:$B$78,MATCH(D939,'Danh mục'!$A$39:$A$78,0))&amp;"","?"))</f>
      </c>
      <c r="F939" s="16">
        <f>IF(D939="","",IF(C939="Thu",IFERROR(INDEX('Danh mục'!$B$26:$B$35,MATCH(D939,'Danh mục'!$A$26:$A$35,0))&amp;"","?"),IFERROR(INDEX('Danh mục'!$D$39:$D$78,MATCH(D939,'Danh mục'!$A$39:$A$78,0))&amp;"","?")))</f>
      </c>
      <c r="G939" s="16">
        <f>IF(OR(D939="",C939&lt;&gt;"Chi"),"",IFERROR(INDEX('Danh mục'!$C$39:$C$78,MATCH(D939,'Danh mục'!$A$39:$A$78,0))&amp;"",""))</f>
      </c>
      <c r="H939" s="11"/>
      <c r="I939" s="20"/>
      <c r="J939" s="11"/>
      <c r="K939" s="11"/>
      <c r="L939" s="11"/>
    </row>
    <row r="940" spans="1:12" x14ac:dyDescent="0.3">
      <c r="A940" s="31"/>
      <c r="B940" s="32">
        <f>IF(A940="","",DATE(YEAR(A940),MONTH(A940),1))</f>
      </c>
      <c r="C940" s="11"/>
      <c r="D940" s="11"/>
      <c r="E940" s="16">
        <f>IF(OR(D940="",C940&lt;&gt;"Chi"),"",IFERROR(INDEX('Danh mục'!$B$39:$B$78,MATCH(D940,'Danh mục'!$A$39:$A$78,0))&amp;"","?"))</f>
      </c>
      <c r="F940" s="16">
        <f>IF(D940="","",IF(C940="Thu",IFERROR(INDEX('Danh mục'!$B$26:$B$35,MATCH(D940,'Danh mục'!$A$26:$A$35,0))&amp;"","?"),IFERROR(INDEX('Danh mục'!$D$39:$D$78,MATCH(D940,'Danh mục'!$A$39:$A$78,0))&amp;"","?")))</f>
      </c>
      <c r="G940" s="16">
        <f>IF(OR(D940="",C940&lt;&gt;"Chi"),"",IFERROR(INDEX('Danh mục'!$C$39:$C$78,MATCH(D940,'Danh mục'!$A$39:$A$78,0))&amp;"",""))</f>
      </c>
      <c r="H940" s="11"/>
      <c r="I940" s="20"/>
      <c r="J940" s="11"/>
      <c r="K940" s="11"/>
      <c r="L940" s="11"/>
    </row>
    <row r="941" spans="1:12" x14ac:dyDescent="0.3">
      <c r="A941" s="31"/>
      <c r="B941" s="32">
        <f>IF(A941="","",DATE(YEAR(A941),MONTH(A941),1))</f>
      </c>
      <c r="C941" s="11"/>
      <c r="D941" s="11"/>
      <c r="E941" s="16">
        <f>IF(OR(D941="",C941&lt;&gt;"Chi"),"",IFERROR(INDEX('Danh mục'!$B$39:$B$78,MATCH(D941,'Danh mục'!$A$39:$A$78,0))&amp;"","?"))</f>
      </c>
      <c r="F941" s="16">
        <f>IF(D941="","",IF(C941="Thu",IFERROR(INDEX('Danh mục'!$B$26:$B$35,MATCH(D941,'Danh mục'!$A$26:$A$35,0))&amp;"","?"),IFERROR(INDEX('Danh mục'!$D$39:$D$78,MATCH(D941,'Danh mục'!$A$39:$A$78,0))&amp;"","?")))</f>
      </c>
      <c r="G941" s="16">
        <f>IF(OR(D941="",C941&lt;&gt;"Chi"),"",IFERROR(INDEX('Danh mục'!$C$39:$C$78,MATCH(D941,'Danh mục'!$A$39:$A$78,0))&amp;"",""))</f>
      </c>
      <c r="H941" s="11"/>
      <c r="I941" s="20"/>
      <c r="J941" s="11"/>
      <c r="K941" s="11"/>
      <c r="L941" s="11"/>
    </row>
    <row r="942" spans="1:12" x14ac:dyDescent="0.3">
      <c r="A942" s="31"/>
      <c r="B942" s="32">
        <f>IF(A942="","",DATE(YEAR(A942),MONTH(A942),1))</f>
      </c>
      <c r="C942" s="11"/>
      <c r="D942" s="11"/>
      <c r="E942" s="16">
        <f>IF(OR(D942="",C942&lt;&gt;"Chi"),"",IFERROR(INDEX('Danh mục'!$B$39:$B$78,MATCH(D942,'Danh mục'!$A$39:$A$78,0))&amp;"","?"))</f>
      </c>
      <c r="F942" s="16">
        <f>IF(D942="","",IF(C942="Thu",IFERROR(INDEX('Danh mục'!$B$26:$B$35,MATCH(D942,'Danh mục'!$A$26:$A$35,0))&amp;"","?"),IFERROR(INDEX('Danh mục'!$D$39:$D$78,MATCH(D942,'Danh mục'!$A$39:$A$78,0))&amp;"","?")))</f>
      </c>
      <c r="G942" s="16">
        <f>IF(OR(D942="",C942&lt;&gt;"Chi"),"",IFERROR(INDEX('Danh mục'!$C$39:$C$78,MATCH(D942,'Danh mục'!$A$39:$A$78,0))&amp;"",""))</f>
      </c>
      <c r="H942" s="11"/>
      <c r="I942" s="20"/>
      <c r="J942" s="11"/>
      <c r="K942" s="11"/>
      <c r="L942" s="11"/>
    </row>
    <row r="943" spans="1:12" x14ac:dyDescent="0.3">
      <c r="A943" s="31"/>
      <c r="B943" s="32">
        <f>IF(A943="","",DATE(YEAR(A943),MONTH(A943),1))</f>
      </c>
      <c r="C943" s="11"/>
      <c r="D943" s="11"/>
      <c r="E943" s="16">
        <f>IF(OR(D943="",C943&lt;&gt;"Chi"),"",IFERROR(INDEX('Danh mục'!$B$39:$B$78,MATCH(D943,'Danh mục'!$A$39:$A$78,0))&amp;"","?"))</f>
      </c>
      <c r="F943" s="16">
        <f>IF(D943="","",IF(C943="Thu",IFERROR(INDEX('Danh mục'!$B$26:$B$35,MATCH(D943,'Danh mục'!$A$26:$A$35,0))&amp;"","?"),IFERROR(INDEX('Danh mục'!$D$39:$D$78,MATCH(D943,'Danh mục'!$A$39:$A$78,0))&amp;"","?")))</f>
      </c>
      <c r="G943" s="16">
        <f>IF(OR(D943="",C943&lt;&gt;"Chi"),"",IFERROR(INDEX('Danh mục'!$C$39:$C$78,MATCH(D943,'Danh mục'!$A$39:$A$78,0))&amp;"",""))</f>
      </c>
      <c r="H943" s="11"/>
      <c r="I943" s="20"/>
      <c r="J943" s="11"/>
      <c r="K943" s="11"/>
      <c r="L943" s="11"/>
    </row>
    <row r="944" spans="1:12" x14ac:dyDescent="0.3">
      <c r="A944" s="31"/>
      <c r="B944" s="32">
        <f>IF(A944="","",DATE(YEAR(A944),MONTH(A944),1))</f>
      </c>
      <c r="C944" s="11"/>
      <c r="D944" s="11"/>
      <c r="E944" s="16">
        <f>IF(OR(D944="",C944&lt;&gt;"Chi"),"",IFERROR(INDEX('Danh mục'!$B$39:$B$78,MATCH(D944,'Danh mục'!$A$39:$A$78,0))&amp;"","?"))</f>
      </c>
      <c r="F944" s="16">
        <f>IF(D944="","",IF(C944="Thu",IFERROR(INDEX('Danh mục'!$B$26:$B$35,MATCH(D944,'Danh mục'!$A$26:$A$35,0))&amp;"","?"),IFERROR(INDEX('Danh mục'!$D$39:$D$78,MATCH(D944,'Danh mục'!$A$39:$A$78,0))&amp;"","?")))</f>
      </c>
      <c r="G944" s="16">
        <f>IF(OR(D944="",C944&lt;&gt;"Chi"),"",IFERROR(INDEX('Danh mục'!$C$39:$C$78,MATCH(D944,'Danh mục'!$A$39:$A$78,0))&amp;"",""))</f>
      </c>
      <c r="H944" s="11"/>
      <c r="I944" s="20"/>
      <c r="J944" s="11"/>
      <c r="K944" s="11"/>
      <c r="L944" s="11"/>
    </row>
    <row r="945" spans="1:12" x14ac:dyDescent="0.3">
      <c r="A945" s="31"/>
      <c r="B945" s="32">
        <f>IF(A945="","",DATE(YEAR(A945),MONTH(A945),1))</f>
      </c>
      <c r="C945" s="11"/>
      <c r="D945" s="11"/>
      <c r="E945" s="16">
        <f>IF(OR(D945="",C945&lt;&gt;"Chi"),"",IFERROR(INDEX('Danh mục'!$B$39:$B$78,MATCH(D945,'Danh mục'!$A$39:$A$78,0))&amp;"","?"))</f>
      </c>
      <c r="F945" s="16">
        <f>IF(D945="","",IF(C945="Thu",IFERROR(INDEX('Danh mục'!$B$26:$B$35,MATCH(D945,'Danh mục'!$A$26:$A$35,0))&amp;"","?"),IFERROR(INDEX('Danh mục'!$D$39:$D$78,MATCH(D945,'Danh mục'!$A$39:$A$78,0))&amp;"","?")))</f>
      </c>
      <c r="G945" s="16">
        <f>IF(OR(D945="",C945&lt;&gt;"Chi"),"",IFERROR(INDEX('Danh mục'!$C$39:$C$78,MATCH(D945,'Danh mục'!$A$39:$A$78,0))&amp;"",""))</f>
      </c>
      <c r="H945" s="11"/>
      <c r="I945" s="20"/>
      <c r="J945" s="11"/>
      <c r="K945" s="11"/>
      <c r="L945" s="11"/>
    </row>
    <row r="946" spans="1:12" x14ac:dyDescent="0.3">
      <c r="A946" s="31"/>
      <c r="B946" s="32">
        <f>IF(A946="","",DATE(YEAR(A946),MONTH(A946),1))</f>
      </c>
      <c r="C946" s="11"/>
      <c r="D946" s="11"/>
      <c r="E946" s="16">
        <f>IF(OR(D946="",C946&lt;&gt;"Chi"),"",IFERROR(INDEX('Danh mục'!$B$39:$B$78,MATCH(D946,'Danh mục'!$A$39:$A$78,0))&amp;"","?"))</f>
      </c>
      <c r="F946" s="16">
        <f>IF(D946="","",IF(C946="Thu",IFERROR(INDEX('Danh mục'!$B$26:$B$35,MATCH(D946,'Danh mục'!$A$26:$A$35,0))&amp;"","?"),IFERROR(INDEX('Danh mục'!$D$39:$D$78,MATCH(D946,'Danh mục'!$A$39:$A$78,0))&amp;"","?")))</f>
      </c>
      <c r="G946" s="16">
        <f>IF(OR(D946="",C946&lt;&gt;"Chi"),"",IFERROR(INDEX('Danh mục'!$C$39:$C$78,MATCH(D946,'Danh mục'!$A$39:$A$78,0))&amp;"",""))</f>
      </c>
      <c r="H946" s="11"/>
      <c r="I946" s="20"/>
      <c r="J946" s="11"/>
      <c r="K946" s="11"/>
      <c r="L946" s="11"/>
    </row>
    <row r="947" spans="1:12" x14ac:dyDescent="0.3">
      <c r="A947" s="31"/>
      <c r="B947" s="32">
        <f>IF(A947="","",DATE(YEAR(A947),MONTH(A947),1))</f>
      </c>
      <c r="C947" s="11"/>
      <c r="D947" s="11"/>
      <c r="E947" s="16">
        <f>IF(OR(D947="",C947&lt;&gt;"Chi"),"",IFERROR(INDEX('Danh mục'!$B$39:$B$78,MATCH(D947,'Danh mục'!$A$39:$A$78,0))&amp;"","?"))</f>
      </c>
      <c r="F947" s="16">
        <f>IF(D947="","",IF(C947="Thu",IFERROR(INDEX('Danh mục'!$B$26:$B$35,MATCH(D947,'Danh mục'!$A$26:$A$35,0))&amp;"","?"),IFERROR(INDEX('Danh mục'!$D$39:$D$78,MATCH(D947,'Danh mục'!$A$39:$A$78,0))&amp;"","?")))</f>
      </c>
      <c r="G947" s="16">
        <f>IF(OR(D947="",C947&lt;&gt;"Chi"),"",IFERROR(INDEX('Danh mục'!$C$39:$C$78,MATCH(D947,'Danh mục'!$A$39:$A$78,0))&amp;"",""))</f>
      </c>
      <c r="H947" s="11"/>
      <c r="I947" s="20"/>
      <c r="J947" s="11"/>
      <c r="K947" s="11"/>
      <c r="L947" s="11"/>
    </row>
    <row r="948" spans="1:12" x14ac:dyDescent="0.3">
      <c r="A948" s="31"/>
      <c r="B948" s="32">
        <f>IF(A948="","",DATE(YEAR(A948),MONTH(A948),1))</f>
      </c>
      <c r="C948" s="11"/>
      <c r="D948" s="11"/>
      <c r="E948" s="16">
        <f>IF(OR(D948="",C948&lt;&gt;"Chi"),"",IFERROR(INDEX('Danh mục'!$B$39:$B$78,MATCH(D948,'Danh mục'!$A$39:$A$78,0))&amp;"","?"))</f>
      </c>
      <c r="F948" s="16">
        <f>IF(D948="","",IF(C948="Thu",IFERROR(INDEX('Danh mục'!$B$26:$B$35,MATCH(D948,'Danh mục'!$A$26:$A$35,0))&amp;"","?"),IFERROR(INDEX('Danh mục'!$D$39:$D$78,MATCH(D948,'Danh mục'!$A$39:$A$78,0))&amp;"","?")))</f>
      </c>
      <c r="G948" s="16">
        <f>IF(OR(D948="",C948&lt;&gt;"Chi"),"",IFERROR(INDEX('Danh mục'!$C$39:$C$78,MATCH(D948,'Danh mục'!$A$39:$A$78,0))&amp;"",""))</f>
      </c>
      <c r="H948" s="11"/>
      <c r="I948" s="20"/>
      <c r="J948" s="11"/>
      <c r="K948" s="11"/>
      <c r="L948" s="11"/>
    </row>
    <row r="949" spans="1:12" x14ac:dyDescent="0.3">
      <c r="A949" s="31"/>
      <c r="B949" s="32">
        <f>IF(A949="","",DATE(YEAR(A949),MONTH(A949),1))</f>
      </c>
      <c r="C949" s="11"/>
      <c r="D949" s="11"/>
      <c r="E949" s="16">
        <f>IF(OR(D949="",C949&lt;&gt;"Chi"),"",IFERROR(INDEX('Danh mục'!$B$39:$B$78,MATCH(D949,'Danh mục'!$A$39:$A$78,0))&amp;"","?"))</f>
      </c>
      <c r="F949" s="16">
        <f>IF(D949="","",IF(C949="Thu",IFERROR(INDEX('Danh mục'!$B$26:$B$35,MATCH(D949,'Danh mục'!$A$26:$A$35,0))&amp;"","?"),IFERROR(INDEX('Danh mục'!$D$39:$D$78,MATCH(D949,'Danh mục'!$A$39:$A$78,0))&amp;"","?")))</f>
      </c>
      <c r="G949" s="16">
        <f>IF(OR(D949="",C949&lt;&gt;"Chi"),"",IFERROR(INDEX('Danh mục'!$C$39:$C$78,MATCH(D949,'Danh mục'!$A$39:$A$78,0))&amp;"",""))</f>
      </c>
      <c r="H949" s="11"/>
      <c r="I949" s="20"/>
      <c r="J949" s="11"/>
      <c r="K949" s="11"/>
      <c r="L949" s="11"/>
    </row>
    <row r="950" spans="1:12" x14ac:dyDescent="0.3">
      <c r="A950" s="31"/>
      <c r="B950" s="32">
        <f>IF(A950="","",DATE(YEAR(A950),MONTH(A950),1))</f>
      </c>
      <c r="C950" s="11"/>
      <c r="D950" s="11"/>
      <c r="E950" s="16">
        <f>IF(OR(D950="",C950&lt;&gt;"Chi"),"",IFERROR(INDEX('Danh mục'!$B$39:$B$78,MATCH(D950,'Danh mục'!$A$39:$A$78,0))&amp;"","?"))</f>
      </c>
      <c r="F950" s="16">
        <f>IF(D950="","",IF(C950="Thu",IFERROR(INDEX('Danh mục'!$B$26:$B$35,MATCH(D950,'Danh mục'!$A$26:$A$35,0))&amp;"","?"),IFERROR(INDEX('Danh mục'!$D$39:$D$78,MATCH(D950,'Danh mục'!$A$39:$A$78,0))&amp;"","?")))</f>
      </c>
      <c r="G950" s="16">
        <f>IF(OR(D950="",C950&lt;&gt;"Chi"),"",IFERROR(INDEX('Danh mục'!$C$39:$C$78,MATCH(D950,'Danh mục'!$A$39:$A$78,0))&amp;"",""))</f>
      </c>
      <c r="H950" s="11"/>
      <c r="I950" s="20"/>
      <c r="J950" s="11"/>
      <c r="K950" s="11"/>
      <c r="L950" s="11"/>
    </row>
    <row r="951" spans="1:12" x14ac:dyDescent="0.3">
      <c r="A951" s="31"/>
      <c r="B951" s="32">
        <f>IF(A951="","",DATE(YEAR(A951),MONTH(A951),1))</f>
      </c>
      <c r="C951" s="11"/>
      <c r="D951" s="11"/>
      <c r="E951" s="16">
        <f>IF(OR(D951="",C951&lt;&gt;"Chi"),"",IFERROR(INDEX('Danh mục'!$B$39:$B$78,MATCH(D951,'Danh mục'!$A$39:$A$78,0))&amp;"","?"))</f>
      </c>
      <c r="F951" s="16">
        <f>IF(D951="","",IF(C951="Thu",IFERROR(INDEX('Danh mục'!$B$26:$B$35,MATCH(D951,'Danh mục'!$A$26:$A$35,0))&amp;"","?"),IFERROR(INDEX('Danh mục'!$D$39:$D$78,MATCH(D951,'Danh mục'!$A$39:$A$78,0))&amp;"","?")))</f>
      </c>
      <c r="G951" s="16">
        <f>IF(OR(D951="",C951&lt;&gt;"Chi"),"",IFERROR(INDEX('Danh mục'!$C$39:$C$78,MATCH(D951,'Danh mục'!$A$39:$A$78,0))&amp;"",""))</f>
      </c>
      <c r="H951" s="11"/>
      <c r="I951" s="20"/>
      <c r="J951" s="11"/>
      <c r="K951" s="11"/>
      <c r="L951" s="11"/>
    </row>
    <row r="952" spans="1:12" x14ac:dyDescent="0.3">
      <c r="A952" s="31"/>
      <c r="B952" s="32">
        <f>IF(A952="","",DATE(YEAR(A952),MONTH(A952),1))</f>
      </c>
      <c r="C952" s="11"/>
      <c r="D952" s="11"/>
      <c r="E952" s="16">
        <f>IF(OR(D952="",C952&lt;&gt;"Chi"),"",IFERROR(INDEX('Danh mục'!$B$39:$B$78,MATCH(D952,'Danh mục'!$A$39:$A$78,0))&amp;"","?"))</f>
      </c>
      <c r="F952" s="16">
        <f>IF(D952="","",IF(C952="Thu",IFERROR(INDEX('Danh mục'!$B$26:$B$35,MATCH(D952,'Danh mục'!$A$26:$A$35,0))&amp;"","?"),IFERROR(INDEX('Danh mục'!$D$39:$D$78,MATCH(D952,'Danh mục'!$A$39:$A$78,0))&amp;"","?")))</f>
      </c>
      <c r="G952" s="16">
        <f>IF(OR(D952="",C952&lt;&gt;"Chi"),"",IFERROR(INDEX('Danh mục'!$C$39:$C$78,MATCH(D952,'Danh mục'!$A$39:$A$78,0))&amp;"",""))</f>
      </c>
      <c r="H952" s="11"/>
      <c r="I952" s="20"/>
      <c r="J952" s="11"/>
      <c r="K952" s="11"/>
      <c r="L952" s="11"/>
    </row>
    <row r="953" spans="1:12" x14ac:dyDescent="0.3">
      <c r="A953" s="31"/>
      <c r="B953" s="32">
        <f>IF(A953="","",DATE(YEAR(A953),MONTH(A953),1))</f>
      </c>
      <c r="C953" s="11"/>
      <c r="D953" s="11"/>
      <c r="E953" s="16">
        <f>IF(OR(D953="",C953&lt;&gt;"Chi"),"",IFERROR(INDEX('Danh mục'!$B$39:$B$78,MATCH(D953,'Danh mục'!$A$39:$A$78,0))&amp;"","?"))</f>
      </c>
      <c r="F953" s="16">
        <f>IF(D953="","",IF(C953="Thu",IFERROR(INDEX('Danh mục'!$B$26:$B$35,MATCH(D953,'Danh mục'!$A$26:$A$35,0))&amp;"","?"),IFERROR(INDEX('Danh mục'!$D$39:$D$78,MATCH(D953,'Danh mục'!$A$39:$A$78,0))&amp;"","?")))</f>
      </c>
      <c r="G953" s="16">
        <f>IF(OR(D953="",C953&lt;&gt;"Chi"),"",IFERROR(INDEX('Danh mục'!$C$39:$C$78,MATCH(D953,'Danh mục'!$A$39:$A$78,0))&amp;"",""))</f>
      </c>
      <c r="H953" s="11"/>
      <c r="I953" s="20"/>
      <c r="J953" s="11"/>
      <c r="K953" s="11"/>
      <c r="L953" s="11"/>
    </row>
    <row r="954" spans="1:12" x14ac:dyDescent="0.3">
      <c r="A954" s="31"/>
      <c r="B954" s="32">
        <f>IF(A954="","",DATE(YEAR(A954),MONTH(A954),1))</f>
      </c>
      <c r="C954" s="11"/>
      <c r="D954" s="11"/>
      <c r="E954" s="16">
        <f>IF(OR(D954="",C954&lt;&gt;"Chi"),"",IFERROR(INDEX('Danh mục'!$B$39:$B$78,MATCH(D954,'Danh mục'!$A$39:$A$78,0))&amp;"","?"))</f>
      </c>
      <c r="F954" s="16">
        <f>IF(D954="","",IF(C954="Thu",IFERROR(INDEX('Danh mục'!$B$26:$B$35,MATCH(D954,'Danh mục'!$A$26:$A$35,0))&amp;"","?"),IFERROR(INDEX('Danh mục'!$D$39:$D$78,MATCH(D954,'Danh mục'!$A$39:$A$78,0))&amp;"","?")))</f>
      </c>
      <c r="G954" s="16">
        <f>IF(OR(D954="",C954&lt;&gt;"Chi"),"",IFERROR(INDEX('Danh mục'!$C$39:$C$78,MATCH(D954,'Danh mục'!$A$39:$A$78,0))&amp;"",""))</f>
      </c>
      <c r="H954" s="11"/>
      <c r="I954" s="20"/>
      <c r="J954" s="11"/>
      <c r="K954" s="11"/>
      <c r="L954" s="11"/>
    </row>
    <row r="955" spans="1:12" x14ac:dyDescent="0.3">
      <c r="A955" s="31"/>
      <c r="B955" s="32">
        <f>IF(A955="","",DATE(YEAR(A955),MONTH(A955),1))</f>
      </c>
      <c r="C955" s="11"/>
      <c r="D955" s="11"/>
      <c r="E955" s="16">
        <f>IF(OR(D955="",C955&lt;&gt;"Chi"),"",IFERROR(INDEX('Danh mục'!$B$39:$B$78,MATCH(D955,'Danh mục'!$A$39:$A$78,0))&amp;"","?"))</f>
      </c>
      <c r="F955" s="16">
        <f>IF(D955="","",IF(C955="Thu",IFERROR(INDEX('Danh mục'!$B$26:$B$35,MATCH(D955,'Danh mục'!$A$26:$A$35,0))&amp;"","?"),IFERROR(INDEX('Danh mục'!$D$39:$D$78,MATCH(D955,'Danh mục'!$A$39:$A$78,0))&amp;"","?")))</f>
      </c>
      <c r="G955" s="16">
        <f>IF(OR(D955="",C955&lt;&gt;"Chi"),"",IFERROR(INDEX('Danh mục'!$C$39:$C$78,MATCH(D955,'Danh mục'!$A$39:$A$78,0))&amp;"",""))</f>
      </c>
      <c r="H955" s="11"/>
      <c r="I955" s="20"/>
      <c r="J955" s="11"/>
      <c r="K955" s="11"/>
      <c r="L955" s="11"/>
    </row>
    <row r="956" spans="1:12" x14ac:dyDescent="0.3">
      <c r="A956" s="31"/>
      <c r="B956" s="32">
        <f>IF(A956="","",DATE(YEAR(A956),MONTH(A956),1))</f>
      </c>
      <c r="C956" s="11"/>
      <c r="D956" s="11"/>
      <c r="E956" s="16">
        <f>IF(OR(D956="",C956&lt;&gt;"Chi"),"",IFERROR(INDEX('Danh mục'!$B$39:$B$78,MATCH(D956,'Danh mục'!$A$39:$A$78,0))&amp;"","?"))</f>
      </c>
      <c r="F956" s="16">
        <f>IF(D956="","",IF(C956="Thu",IFERROR(INDEX('Danh mục'!$B$26:$B$35,MATCH(D956,'Danh mục'!$A$26:$A$35,0))&amp;"","?"),IFERROR(INDEX('Danh mục'!$D$39:$D$78,MATCH(D956,'Danh mục'!$A$39:$A$78,0))&amp;"","?")))</f>
      </c>
      <c r="G956" s="16">
        <f>IF(OR(D956="",C956&lt;&gt;"Chi"),"",IFERROR(INDEX('Danh mục'!$C$39:$C$78,MATCH(D956,'Danh mục'!$A$39:$A$78,0))&amp;"",""))</f>
      </c>
      <c r="H956" s="11"/>
      <c r="I956" s="20"/>
      <c r="J956" s="11"/>
      <c r="K956" s="11"/>
      <c r="L956" s="11"/>
    </row>
    <row r="957" spans="1:12" x14ac:dyDescent="0.3">
      <c r="A957" s="31"/>
      <c r="B957" s="32">
        <f>IF(A957="","",DATE(YEAR(A957),MONTH(A957),1))</f>
      </c>
      <c r="C957" s="11"/>
      <c r="D957" s="11"/>
      <c r="E957" s="16">
        <f>IF(OR(D957="",C957&lt;&gt;"Chi"),"",IFERROR(INDEX('Danh mục'!$B$39:$B$78,MATCH(D957,'Danh mục'!$A$39:$A$78,0))&amp;"","?"))</f>
      </c>
      <c r="F957" s="16">
        <f>IF(D957="","",IF(C957="Thu",IFERROR(INDEX('Danh mục'!$B$26:$B$35,MATCH(D957,'Danh mục'!$A$26:$A$35,0))&amp;"","?"),IFERROR(INDEX('Danh mục'!$D$39:$D$78,MATCH(D957,'Danh mục'!$A$39:$A$78,0))&amp;"","?")))</f>
      </c>
      <c r="G957" s="16">
        <f>IF(OR(D957="",C957&lt;&gt;"Chi"),"",IFERROR(INDEX('Danh mục'!$C$39:$C$78,MATCH(D957,'Danh mục'!$A$39:$A$78,0))&amp;"",""))</f>
      </c>
      <c r="H957" s="11"/>
      <c r="I957" s="20"/>
      <c r="J957" s="11"/>
      <c r="K957" s="11"/>
      <c r="L957" s="11"/>
    </row>
    <row r="958" spans="1:12" x14ac:dyDescent="0.3">
      <c r="A958" s="31"/>
      <c r="B958" s="32">
        <f>IF(A958="","",DATE(YEAR(A958),MONTH(A958),1))</f>
      </c>
      <c r="C958" s="11"/>
      <c r="D958" s="11"/>
      <c r="E958" s="16">
        <f>IF(OR(D958="",C958&lt;&gt;"Chi"),"",IFERROR(INDEX('Danh mục'!$B$39:$B$78,MATCH(D958,'Danh mục'!$A$39:$A$78,0))&amp;"","?"))</f>
      </c>
      <c r="F958" s="16">
        <f>IF(D958="","",IF(C958="Thu",IFERROR(INDEX('Danh mục'!$B$26:$B$35,MATCH(D958,'Danh mục'!$A$26:$A$35,0))&amp;"","?"),IFERROR(INDEX('Danh mục'!$D$39:$D$78,MATCH(D958,'Danh mục'!$A$39:$A$78,0))&amp;"","?")))</f>
      </c>
      <c r="G958" s="16">
        <f>IF(OR(D958="",C958&lt;&gt;"Chi"),"",IFERROR(INDEX('Danh mục'!$C$39:$C$78,MATCH(D958,'Danh mục'!$A$39:$A$78,0))&amp;"",""))</f>
      </c>
      <c r="H958" s="11"/>
      <c r="I958" s="20"/>
      <c r="J958" s="11"/>
      <c r="K958" s="11"/>
      <c r="L958" s="11"/>
    </row>
    <row r="959" spans="1:12" x14ac:dyDescent="0.3">
      <c r="A959" s="31"/>
      <c r="B959" s="32">
        <f>IF(A959="","",DATE(YEAR(A959),MONTH(A959),1))</f>
      </c>
      <c r="C959" s="11"/>
      <c r="D959" s="11"/>
      <c r="E959" s="16">
        <f>IF(OR(D959="",C959&lt;&gt;"Chi"),"",IFERROR(INDEX('Danh mục'!$B$39:$B$78,MATCH(D959,'Danh mục'!$A$39:$A$78,0))&amp;"","?"))</f>
      </c>
      <c r="F959" s="16">
        <f>IF(D959="","",IF(C959="Thu",IFERROR(INDEX('Danh mục'!$B$26:$B$35,MATCH(D959,'Danh mục'!$A$26:$A$35,0))&amp;"","?"),IFERROR(INDEX('Danh mục'!$D$39:$D$78,MATCH(D959,'Danh mục'!$A$39:$A$78,0))&amp;"","?")))</f>
      </c>
      <c r="G959" s="16">
        <f>IF(OR(D959="",C959&lt;&gt;"Chi"),"",IFERROR(INDEX('Danh mục'!$C$39:$C$78,MATCH(D959,'Danh mục'!$A$39:$A$78,0))&amp;"",""))</f>
      </c>
      <c r="H959" s="11"/>
      <c r="I959" s="20"/>
      <c r="J959" s="11"/>
      <c r="K959" s="11"/>
      <c r="L959" s="11"/>
    </row>
    <row r="960" spans="1:12" x14ac:dyDescent="0.3">
      <c r="A960" s="31"/>
      <c r="B960" s="32">
        <f>IF(A960="","",DATE(YEAR(A960),MONTH(A960),1))</f>
      </c>
      <c r="C960" s="11"/>
      <c r="D960" s="11"/>
      <c r="E960" s="16">
        <f>IF(OR(D960="",C960&lt;&gt;"Chi"),"",IFERROR(INDEX('Danh mục'!$B$39:$B$78,MATCH(D960,'Danh mục'!$A$39:$A$78,0))&amp;"","?"))</f>
      </c>
      <c r="F960" s="16">
        <f>IF(D960="","",IF(C960="Thu",IFERROR(INDEX('Danh mục'!$B$26:$B$35,MATCH(D960,'Danh mục'!$A$26:$A$35,0))&amp;"","?"),IFERROR(INDEX('Danh mục'!$D$39:$D$78,MATCH(D960,'Danh mục'!$A$39:$A$78,0))&amp;"","?")))</f>
      </c>
      <c r="G960" s="16">
        <f>IF(OR(D960="",C960&lt;&gt;"Chi"),"",IFERROR(INDEX('Danh mục'!$C$39:$C$78,MATCH(D960,'Danh mục'!$A$39:$A$78,0))&amp;"",""))</f>
      </c>
      <c r="H960" s="11"/>
      <c r="I960" s="20"/>
      <c r="J960" s="11"/>
      <c r="K960" s="11"/>
      <c r="L960" s="11"/>
    </row>
    <row r="961" spans="1:12" x14ac:dyDescent="0.3">
      <c r="A961" s="31"/>
      <c r="B961" s="32">
        <f>IF(A961="","",DATE(YEAR(A961),MONTH(A961),1))</f>
      </c>
      <c r="C961" s="11"/>
      <c r="D961" s="11"/>
      <c r="E961" s="16">
        <f>IF(OR(D961="",C961&lt;&gt;"Chi"),"",IFERROR(INDEX('Danh mục'!$B$39:$B$78,MATCH(D961,'Danh mục'!$A$39:$A$78,0))&amp;"","?"))</f>
      </c>
      <c r="F961" s="16">
        <f>IF(D961="","",IF(C961="Thu",IFERROR(INDEX('Danh mục'!$B$26:$B$35,MATCH(D961,'Danh mục'!$A$26:$A$35,0))&amp;"","?"),IFERROR(INDEX('Danh mục'!$D$39:$D$78,MATCH(D961,'Danh mục'!$A$39:$A$78,0))&amp;"","?")))</f>
      </c>
      <c r="G961" s="16">
        <f>IF(OR(D961="",C961&lt;&gt;"Chi"),"",IFERROR(INDEX('Danh mục'!$C$39:$C$78,MATCH(D961,'Danh mục'!$A$39:$A$78,0))&amp;"",""))</f>
      </c>
      <c r="H961" s="11"/>
      <c r="I961" s="20"/>
      <c r="J961" s="11"/>
      <c r="K961" s="11"/>
      <c r="L961" s="11"/>
    </row>
    <row r="962" spans="1:12" x14ac:dyDescent="0.3">
      <c r="A962" s="31"/>
      <c r="B962" s="32">
        <f>IF(A962="","",DATE(YEAR(A962),MONTH(A962),1))</f>
      </c>
      <c r="C962" s="11"/>
      <c r="D962" s="11"/>
      <c r="E962" s="16">
        <f>IF(OR(D962="",C962&lt;&gt;"Chi"),"",IFERROR(INDEX('Danh mục'!$B$39:$B$78,MATCH(D962,'Danh mục'!$A$39:$A$78,0))&amp;"","?"))</f>
      </c>
      <c r="F962" s="16">
        <f>IF(D962="","",IF(C962="Thu",IFERROR(INDEX('Danh mục'!$B$26:$B$35,MATCH(D962,'Danh mục'!$A$26:$A$35,0))&amp;"","?"),IFERROR(INDEX('Danh mục'!$D$39:$D$78,MATCH(D962,'Danh mục'!$A$39:$A$78,0))&amp;"","?")))</f>
      </c>
      <c r="G962" s="16">
        <f>IF(OR(D962="",C962&lt;&gt;"Chi"),"",IFERROR(INDEX('Danh mục'!$C$39:$C$78,MATCH(D962,'Danh mục'!$A$39:$A$78,0))&amp;"",""))</f>
      </c>
      <c r="H962" s="11"/>
      <c r="I962" s="20"/>
      <c r="J962" s="11"/>
      <c r="K962" s="11"/>
      <c r="L962" s="11"/>
    </row>
    <row r="963" spans="1:12" x14ac:dyDescent="0.3">
      <c r="A963" s="31"/>
      <c r="B963" s="32">
        <f>IF(A963="","",DATE(YEAR(A963),MONTH(A963),1))</f>
      </c>
      <c r="C963" s="11"/>
      <c r="D963" s="11"/>
      <c r="E963" s="16">
        <f>IF(OR(D963="",C963&lt;&gt;"Chi"),"",IFERROR(INDEX('Danh mục'!$B$39:$B$78,MATCH(D963,'Danh mục'!$A$39:$A$78,0))&amp;"","?"))</f>
      </c>
      <c r="F963" s="16">
        <f>IF(D963="","",IF(C963="Thu",IFERROR(INDEX('Danh mục'!$B$26:$B$35,MATCH(D963,'Danh mục'!$A$26:$A$35,0))&amp;"","?"),IFERROR(INDEX('Danh mục'!$D$39:$D$78,MATCH(D963,'Danh mục'!$A$39:$A$78,0))&amp;"","?")))</f>
      </c>
      <c r="G963" s="16">
        <f>IF(OR(D963="",C963&lt;&gt;"Chi"),"",IFERROR(INDEX('Danh mục'!$C$39:$C$78,MATCH(D963,'Danh mục'!$A$39:$A$78,0))&amp;"",""))</f>
      </c>
      <c r="H963" s="11"/>
      <c r="I963" s="20"/>
      <c r="J963" s="11"/>
      <c r="K963" s="11"/>
      <c r="L963" s="11"/>
    </row>
    <row r="964" spans="1:12" x14ac:dyDescent="0.3">
      <c r="A964" s="31"/>
      <c r="B964" s="32">
        <f>IF(A964="","",DATE(YEAR(A964),MONTH(A964),1))</f>
      </c>
      <c r="C964" s="11"/>
      <c r="D964" s="11"/>
      <c r="E964" s="16">
        <f>IF(OR(D964="",C964&lt;&gt;"Chi"),"",IFERROR(INDEX('Danh mục'!$B$39:$B$78,MATCH(D964,'Danh mục'!$A$39:$A$78,0))&amp;"","?"))</f>
      </c>
      <c r="F964" s="16">
        <f>IF(D964="","",IF(C964="Thu",IFERROR(INDEX('Danh mục'!$B$26:$B$35,MATCH(D964,'Danh mục'!$A$26:$A$35,0))&amp;"","?"),IFERROR(INDEX('Danh mục'!$D$39:$D$78,MATCH(D964,'Danh mục'!$A$39:$A$78,0))&amp;"","?")))</f>
      </c>
      <c r="G964" s="16">
        <f>IF(OR(D964="",C964&lt;&gt;"Chi"),"",IFERROR(INDEX('Danh mục'!$C$39:$C$78,MATCH(D964,'Danh mục'!$A$39:$A$78,0))&amp;"",""))</f>
      </c>
      <c r="H964" s="11"/>
      <c r="I964" s="20"/>
      <c r="J964" s="11"/>
      <c r="K964" s="11"/>
      <c r="L964" s="11"/>
    </row>
    <row r="965" spans="1:12" x14ac:dyDescent="0.3">
      <c r="A965" s="31"/>
      <c r="B965" s="32">
        <f>IF(A965="","",DATE(YEAR(A965),MONTH(A965),1))</f>
      </c>
      <c r="C965" s="11"/>
      <c r="D965" s="11"/>
      <c r="E965" s="16">
        <f>IF(OR(D965="",C965&lt;&gt;"Chi"),"",IFERROR(INDEX('Danh mục'!$B$39:$B$78,MATCH(D965,'Danh mục'!$A$39:$A$78,0))&amp;"","?"))</f>
      </c>
      <c r="F965" s="16">
        <f>IF(D965="","",IF(C965="Thu",IFERROR(INDEX('Danh mục'!$B$26:$B$35,MATCH(D965,'Danh mục'!$A$26:$A$35,0))&amp;"","?"),IFERROR(INDEX('Danh mục'!$D$39:$D$78,MATCH(D965,'Danh mục'!$A$39:$A$78,0))&amp;"","?")))</f>
      </c>
      <c r="G965" s="16">
        <f>IF(OR(D965="",C965&lt;&gt;"Chi"),"",IFERROR(INDEX('Danh mục'!$C$39:$C$78,MATCH(D965,'Danh mục'!$A$39:$A$78,0))&amp;"",""))</f>
      </c>
      <c r="H965" s="11"/>
      <c r="I965" s="20"/>
      <c r="J965" s="11"/>
      <c r="K965" s="11"/>
      <c r="L965" s="11"/>
    </row>
    <row r="966" spans="1:12" x14ac:dyDescent="0.3">
      <c r="A966" s="31"/>
      <c r="B966" s="32">
        <f>IF(A966="","",DATE(YEAR(A966),MONTH(A966),1))</f>
      </c>
      <c r="C966" s="11"/>
      <c r="D966" s="11"/>
      <c r="E966" s="16">
        <f>IF(OR(D966="",C966&lt;&gt;"Chi"),"",IFERROR(INDEX('Danh mục'!$B$39:$B$78,MATCH(D966,'Danh mục'!$A$39:$A$78,0))&amp;"","?"))</f>
      </c>
      <c r="F966" s="16">
        <f>IF(D966="","",IF(C966="Thu",IFERROR(INDEX('Danh mục'!$B$26:$B$35,MATCH(D966,'Danh mục'!$A$26:$A$35,0))&amp;"","?"),IFERROR(INDEX('Danh mục'!$D$39:$D$78,MATCH(D966,'Danh mục'!$A$39:$A$78,0))&amp;"","?")))</f>
      </c>
      <c r="G966" s="16">
        <f>IF(OR(D966="",C966&lt;&gt;"Chi"),"",IFERROR(INDEX('Danh mục'!$C$39:$C$78,MATCH(D966,'Danh mục'!$A$39:$A$78,0))&amp;"",""))</f>
      </c>
      <c r="H966" s="11"/>
      <c r="I966" s="20"/>
      <c r="J966" s="11"/>
      <c r="K966" s="11"/>
      <c r="L966" s="11"/>
    </row>
    <row r="967" spans="1:12" x14ac:dyDescent="0.3">
      <c r="A967" s="31"/>
      <c r="B967" s="32">
        <f>IF(A967="","",DATE(YEAR(A967),MONTH(A967),1))</f>
      </c>
      <c r="C967" s="11"/>
      <c r="D967" s="11"/>
      <c r="E967" s="16">
        <f>IF(OR(D967="",C967&lt;&gt;"Chi"),"",IFERROR(INDEX('Danh mục'!$B$39:$B$78,MATCH(D967,'Danh mục'!$A$39:$A$78,0))&amp;"","?"))</f>
      </c>
      <c r="F967" s="16">
        <f>IF(D967="","",IF(C967="Thu",IFERROR(INDEX('Danh mục'!$B$26:$B$35,MATCH(D967,'Danh mục'!$A$26:$A$35,0))&amp;"","?"),IFERROR(INDEX('Danh mục'!$D$39:$D$78,MATCH(D967,'Danh mục'!$A$39:$A$78,0))&amp;"","?")))</f>
      </c>
      <c r="G967" s="16">
        <f>IF(OR(D967="",C967&lt;&gt;"Chi"),"",IFERROR(INDEX('Danh mục'!$C$39:$C$78,MATCH(D967,'Danh mục'!$A$39:$A$78,0))&amp;"",""))</f>
      </c>
      <c r="H967" s="11"/>
      <c r="I967" s="20"/>
      <c r="J967" s="11"/>
      <c r="K967" s="11"/>
      <c r="L967" s="11"/>
    </row>
    <row r="968" spans="1:12" x14ac:dyDescent="0.3">
      <c r="A968" s="31"/>
      <c r="B968" s="32">
        <f>IF(A968="","",DATE(YEAR(A968),MONTH(A968),1))</f>
      </c>
      <c r="C968" s="11"/>
      <c r="D968" s="11"/>
      <c r="E968" s="16">
        <f>IF(OR(D968="",C968&lt;&gt;"Chi"),"",IFERROR(INDEX('Danh mục'!$B$39:$B$78,MATCH(D968,'Danh mục'!$A$39:$A$78,0))&amp;"","?"))</f>
      </c>
      <c r="F968" s="16">
        <f>IF(D968="","",IF(C968="Thu",IFERROR(INDEX('Danh mục'!$B$26:$B$35,MATCH(D968,'Danh mục'!$A$26:$A$35,0))&amp;"","?"),IFERROR(INDEX('Danh mục'!$D$39:$D$78,MATCH(D968,'Danh mục'!$A$39:$A$78,0))&amp;"","?")))</f>
      </c>
      <c r="G968" s="16">
        <f>IF(OR(D968="",C968&lt;&gt;"Chi"),"",IFERROR(INDEX('Danh mục'!$C$39:$C$78,MATCH(D968,'Danh mục'!$A$39:$A$78,0))&amp;"",""))</f>
      </c>
      <c r="H968" s="11"/>
      <c r="I968" s="20"/>
      <c r="J968" s="11"/>
      <c r="K968" s="11"/>
      <c r="L968" s="11"/>
    </row>
    <row r="969" spans="1:12" x14ac:dyDescent="0.3">
      <c r="A969" s="31"/>
      <c r="B969" s="32">
        <f>IF(A969="","",DATE(YEAR(A969),MONTH(A969),1))</f>
      </c>
      <c r="C969" s="11"/>
      <c r="D969" s="11"/>
      <c r="E969" s="16">
        <f>IF(OR(D969="",C969&lt;&gt;"Chi"),"",IFERROR(INDEX('Danh mục'!$B$39:$B$78,MATCH(D969,'Danh mục'!$A$39:$A$78,0))&amp;"","?"))</f>
      </c>
      <c r="F969" s="16">
        <f>IF(D969="","",IF(C969="Thu",IFERROR(INDEX('Danh mục'!$B$26:$B$35,MATCH(D969,'Danh mục'!$A$26:$A$35,0))&amp;"","?"),IFERROR(INDEX('Danh mục'!$D$39:$D$78,MATCH(D969,'Danh mục'!$A$39:$A$78,0))&amp;"","?")))</f>
      </c>
      <c r="G969" s="16">
        <f>IF(OR(D969="",C969&lt;&gt;"Chi"),"",IFERROR(INDEX('Danh mục'!$C$39:$C$78,MATCH(D969,'Danh mục'!$A$39:$A$78,0))&amp;"",""))</f>
      </c>
      <c r="H969" s="11"/>
      <c r="I969" s="20"/>
      <c r="J969" s="11"/>
      <c r="K969" s="11"/>
      <c r="L969" s="11"/>
    </row>
    <row r="970" spans="1:12" x14ac:dyDescent="0.3">
      <c r="A970" s="31"/>
      <c r="B970" s="32">
        <f>IF(A970="","",DATE(YEAR(A970),MONTH(A970),1))</f>
      </c>
      <c r="C970" s="11"/>
      <c r="D970" s="11"/>
      <c r="E970" s="16">
        <f>IF(OR(D970="",C970&lt;&gt;"Chi"),"",IFERROR(INDEX('Danh mục'!$B$39:$B$78,MATCH(D970,'Danh mục'!$A$39:$A$78,0))&amp;"","?"))</f>
      </c>
      <c r="F970" s="16">
        <f>IF(D970="","",IF(C970="Thu",IFERROR(INDEX('Danh mục'!$B$26:$B$35,MATCH(D970,'Danh mục'!$A$26:$A$35,0))&amp;"","?"),IFERROR(INDEX('Danh mục'!$D$39:$D$78,MATCH(D970,'Danh mục'!$A$39:$A$78,0))&amp;"","?")))</f>
      </c>
      <c r="G970" s="16">
        <f>IF(OR(D970="",C970&lt;&gt;"Chi"),"",IFERROR(INDEX('Danh mục'!$C$39:$C$78,MATCH(D970,'Danh mục'!$A$39:$A$78,0))&amp;"",""))</f>
      </c>
      <c r="H970" s="11"/>
      <c r="I970" s="20"/>
      <c r="J970" s="11"/>
      <c r="K970" s="11"/>
      <c r="L970" s="11"/>
    </row>
    <row r="971" spans="1:12" x14ac:dyDescent="0.3">
      <c r="A971" s="31"/>
      <c r="B971" s="32">
        <f>IF(A971="","",DATE(YEAR(A971),MONTH(A971),1))</f>
      </c>
      <c r="C971" s="11"/>
      <c r="D971" s="11"/>
      <c r="E971" s="16">
        <f>IF(OR(D971="",C971&lt;&gt;"Chi"),"",IFERROR(INDEX('Danh mục'!$B$39:$B$78,MATCH(D971,'Danh mục'!$A$39:$A$78,0))&amp;"","?"))</f>
      </c>
      <c r="F971" s="16">
        <f>IF(D971="","",IF(C971="Thu",IFERROR(INDEX('Danh mục'!$B$26:$B$35,MATCH(D971,'Danh mục'!$A$26:$A$35,0))&amp;"","?"),IFERROR(INDEX('Danh mục'!$D$39:$D$78,MATCH(D971,'Danh mục'!$A$39:$A$78,0))&amp;"","?")))</f>
      </c>
      <c r="G971" s="16">
        <f>IF(OR(D971="",C971&lt;&gt;"Chi"),"",IFERROR(INDEX('Danh mục'!$C$39:$C$78,MATCH(D971,'Danh mục'!$A$39:$A$78,0))&amp;"",""))</f>
      </c>
      <c r="H971" s="11"/>
      <c r="I971" s="20"/>
      <c r="J971" s="11"/>
      <c r="K971" s="11"/>
      <c r="L971" s="11"/>
    </row>
    <row r="972" spans="1:12" x14ac:dyDescent="0.3">
      <c r="A972" s="31"/>
      <c r="B972" s="32">
        <f>IF(A972="","",DATE(YEAR(A972),MONTH(A972),1))</f>
      </c>
      <c r="C972" s="11"/>
      <c r="D972" s="11"/>
      <c r="E972" s="16">
        <f>IF(OR(D972="",C972&lt;&gt;"Chi"),"",IFERROR(INDEX('Danh mục'!$B$39:$B$78,MATCH(D972,'Danh mục'!$A$39:$A$78,0))&amp;"","?"))</f>
      </c>
      <c r="F972" s="16">
        <f>IF(D972="","",IF(C972="Thu",IFERROR(INDEX('Danh mục'!$B$26:$B$35,MATCH(D972,'Danh mục'!$A$26:$A$35,0))&amp;"","?"),IFERROR(INDEX('Danh mục'!$D$39:$D$78,MATCH(D972,'Danh mục'!$A$39:$A$78,0))&amp;"","?")))</f>
      </c>
      <c r="G972" s="16">
        <f>IF(OR(D972="",C972&lt;&gt;"Chi"),"",IFERROR(INDEX('Danh mục'!$C$39:$C$78,MATCH(D972,'Danh mục'!$A$39:$A$78,0))&amp;"",""))</f>
      </c>
      <c r="H972" s="11"/>
      <c r="I972" s="20"/>
      <c r="J972" s="11"/>
      <c r="K972" s="11"/>
      <c r="L972" s="11"/>
    </row>
    <row r="973" spans="1:12" x14ac:dyDescent="0.3">
      <c r="A973" s="31"/>
      <c r="B973" s="32">
        <f>IF(A973="","",DATE(YEAR(A973),MONTH(A973),1))</f>
      </c>
      <c r="C973" s="11"/>
      <c r="D973" s="11"/>
      <c r="E973" s="16">
        <f>IF(OR(D973="",C973&lt;&gt;"Chi"),"",IFERROR(INDEX('Danh mục'!$B$39:$B$78,MATCH(D973,'Danh mục'!$A$39:$A$78,0))&amp;"","?"))</f>
      </c>
      <c r="F973" s="16">
        <f>IF(D973="","",IF(C973="Thu",IFERROR(INDEX('Danh mục'!$B$26:$B$35,MATCH(D973,'Danh mục'!$A$26:$A$35,0))&amp;"","?"),IFERROR(INDEX('Danh mục'!$D$39:$D$78,MATCH(D973,'Danh mục'!$A$39:$A$78,0))&amp;"","?")))</f>
      </c>
      <c r="G973" s="16">
        <f>IF(OR(D973="",C973&lt;&gt;"Chi"),"",IFERROR(INDEX('Danh mục'!$C$39:$C$78,MATCH(D973,'Danh mục'!$A$39:$A$78,0))&amp;"",""))</f>
      </c>
      <c r="H973" s="11"/>
      <c r="I973" s="20"/>
      <c r="J973" s="11"/>
      <c r="K973" s="11"/>
      <c r="L973" s="11"/>
    </row>
    <row r="974" spans="1:12" x14ac:dyDescent="0.3">
      <c r="A974" s="31"/>
      <c r="B974" s="32">
        <f>IF(A974="","",DATE(YEAR(A974),MONTH(A974),1))</f>
      </c>
      <c r="C974" s="11"/>
      <c r="D974" s="11"/>
      <c r="E974" s="16">
        <f>IF(OR(D974="",C974&lt;&gt;"Chi"),"",IFERROR(INDEX('Danh mục'!$B$39:$B$78,MATCH(D974,'Danh mục'!$A$39:$A$78,0))&amp;"","?"))</f>
      </c>
      <c r="F974" s="16">
        <f>IF(D974="","",IF(C974="Thu",IFERROR(INDEX('Danh mục'!$B$26:$B$35,MATCH(D974,'Danh mục'!$A$26:$A$35,0))&amp;"","?"),IFERROR(INDEX('Danh mục'!$D$39:$D$78,MATCH(D974,'Danh mục'!$A$39:$A$78,0))&amp;"","?")))</f>
      </c>
      <c r="G974" s="16">
        <f>IF(OR(D974="",C974&lt;&gt;"Chi"),"",IFERROR(INDEX('Danh mục'!$C$39:$C$78,MATCH(D974,'Danh mục'!$A$39:$A$78,0))&amp;"",""))</f>
      </c>
      <c r="H974" s="11"/>
      <c r="I974" s="20"/>
      <c r="J974" s="11"/>
      <c r="K974" s="11"/>
      <c r="L974" s="11"/>
    </row>
    <row r="975" spans="1:12" x14ac:dyDescent="0.3">
      <c r="A975" s="31"/>
      <c r="B975" s="32">
        <f>IF(A975="","",DATE(YEAR(A975),MONTH(A975),1))</f>
      </c>
      <c r="C975" s="11"/>
      <c r="D975" s="11"/>
      <c r="E975" s="16">
        <f>IF(OR(D975="",C975&lt;&gt;"Chi"),"",IFERROR(INDEX('Danh mục'!$B$39:$B$78,MATCH(D975,'Danh mục'!$A$39:$A$78,0))&amp;"","?"))</f>
      </c>
      <c r="F975" s="16">
        <f>IF(D975="","",IF(C975="Thu",IFERROR(INDEX('Danh mục'!$B$26:$B$35,MATCH(D975,'Danh mục'!$A$26:$A$35,0))&amp;"","?"),IFERROR(INDEX('Danh mục'!$D$39:$D$78,MATCH(D975,'Danh mục'!$A$39:$A$78,0))&amp;"","?")))</f>
      </c>
      <c r="G975" s="16">
        <f>IF(OR(D975="",C975&lt;&gt;"Chi"),"",IFERROR(INDEX('Danh mục'!$C$39:$C$78,MATCH(D975,'Danh mục'!$A$39:$A$78,0))&amp;"",""))</f>
      </c>
      <c r="H975" s="11"/>
      <c r="I975" s="20"/>
      <c r="J975" s="11"/>
      <c r="K975" s="11"/>
      <c r="L975" s="11"/>
    </row>
    <row r="976" spans="1:12" x14ac:dyDescent="0.3">
      <c r="A976" s="31"/>
      <c r="B976" s="32">
        <f>IF(A976="","",DATE(YEAR(A976),MONTH(A976),1))</f>
      </c>
      <c r="C976" s="11"/>
      <c r="D976" s="11"/>
      <c r="E976" s="16">
        <f>IF(OR(D976="",C976&lt;&gt;"Chi"),"",IFERROR(INDEX('Danh mục'!$B$39:$B$78,MATCH(D976,'Danh mục'!$A$39:$A$78,0))&amp;"","?"))</f>
      </c>
      <c r="F976" s="16">
        <f>IF(D976="","",IF(C976="Thu",IFERROR(INDEX('Danh mục'!$B$26:$B$35,MATCH(D976,'Danh mục'!$A$26:$A$35,0))&amp;"","?"),IFERROR(INDEX('Danh mục'!$D$39:$D$78,MATCH(D976,'Danh mục'!$A$39:$A$78,0))&amp;"","?")))</f>
      </c>
      <c r="G976" s="16">
        <f>IF(OR(D976="",C976&lt;&gt;"Chi"),"",IFERROR(INDEX('Danh mục'!$C$39:$C$78,MATCH(D976,'Danh mục'!$A$39:$A$78,0))&amp;"",""))</f>
      </c>
      <c r="H976" s="11"/>
      <c r="I976" s="20"/>
      <c r="J976" s="11"/>
      <c r="K976" s="11"/>
      <c r="L976" s="11"/>
    </row>
    <row r="977" spans="1:12" x14ac:dyDescent="0.3">
      <c r="A977" s="31"/>
      <c r="B977" s="32">
        <f>IF(A977="","",DATE(YEAR(A977),MONTH(A977),1))</f>
      </c>
      <c r="C977" s="11"/>
      <c r="D977" s="11"/>
      <c r="E977" s="16">
        <f>IF(OR(D977="",C977&lt;&gt;"Chi"),"",IFERROR(INDEX('Danh mục'!$B$39:$B$78,MATCH(D977,'Danh mục'!$A$39:$A$78,0))&amp;"","?"))</f>
      </c>
      <c r="F977" s="16">
        <f>IF(D977="","",IF(C977="Thu",IFERROR(INDEX('Danh mục'!$B$26:$B$35,MATCH(D977,'Danh mục'!$A$26:$A$35,0))&amp;"","?"),IFERROR(INDEX('Danh mục'!$D$39:$D$78,MATCH(D977,'Danh mục'!$A$39:$A$78,0))&amp;"","?")))</f>
      </c>
      <c r="G977" s="16">
        <f>IF(OR(D977="",C977&lt;&gt;"Chi"),"",IFERROR(INDEX('Danh mục'!$C$39:$C$78,MATCH(D977,'Danh mục'!$A$39:$A$78,0))&amp;"",""))</f>
      </c>
      <c r="H977" s="11"/>
      <c r="I977" s="20"/>
      <c r="J977" s="11"/>
      <c r="K977" s="11"/>
      <c r="L977" s="11"/>
    </row>
    <row r="978" spans="1:12" x14ac:dyDescent="0.3">
      <c r="A978" s="31"/>
      <c r="B978" s="32">
        <f>IF(A978="","",DATE(YEAR(A978),MONTH(A978),1))</f>
      </c>
      <c r="C978" s="11"/>
      <c r="D978" s="11"/>
      <c r="E978" s="16">
        <f>IF(OR(D978="",C978&lt;&gt;"Chi"),"",IFERROR(INDEX('Danh mục'!$B$39:$B$78,MATCH(D978,'Danh mục'!$A$39:$A$78,0))&amp;"","?"))</f>
      </c>
      <c r="F978" s="16">
        <f>IF(D978="","",IF(C978="Thu",IFERROR(INDEX('Danh mục'!$B$26:$B$35,MATCH(D978,'Danh mục'!$A$26:$A$35,0))&amp;"","?"),IFERROR(INDEX('Danh mục'!$D$39:$D$78,MATCH(D978,'Danh mục'!$A$39:$A$78,0))&amp;"","?")))</f>
      </c>
      <c r="G978" s="16">
        <f>IF(OR(D978="",C978&lt;&gt;"Chi"),"",IFERROR(INDEX('Danh mục'!$C$39:$C$78,MATCH(D978,'Danh mục'!$A$39:$A$78,0))&amp;"",""))</f>
      </c>
      <c r="H978" s="11"/>
      <c r="I978" s="20"/>
      <c r="J978" s="11"/>
      <c r="K978" s="11"/>
      <c r="L978" s="11"/>
    </row>
    <row r="979" spans="1:12" x14ac:dyDescent="0.3">
      <c r="A979" s="31"/>
      <c r="B979" s="32">
        <f>IF(A979="","",DATE(YEAR(A979),MONTH(A979),1))</f>
      </c>
      <c r="C979" s="11"/>
      <c r="D979" s="11"/>
      <c r="E979" s="16">
        <f>IF(OR(D979="",C979&lt;&gt;"Chi"),"",IFERROR(INDEX('Danh mục'!$B$39:$B$78,MATCH(D979,'Danh mục'!$A$39:$A$78,0))&amp;"","?"))</f>
      </c>
      <c r="F979" s="16">
        <f>IF(D979="","",IF(C979="Thu",IFERROR(INDEX('Danh mục'!$B$26:$B$35,MATCH(D979,'Danh mục'!$A$26:$A$35,0))&amp;"","?"),IFERROR(INDEX('Danh mục'!$D$39:$D$78,MATCH(D979,'Danh mục'!$A$39:$A$78,0))&amp;"","?")))</f>
      </c>
      <c r="G979" s="16">
        <f>IF(OR(D979="",C979&lt;&gt;"Chi"),"",IFERROR(INDEX('Danh mục'!$C$39:$C$78,MATCH(D979,'Danh mục'!$A$39:$A$78,0))&amp;"",""))</f>
      </c>
      <c r="H979" s="11"/>
      <c r="I979" s="20"/>
      <c r="J979" s="11"/>
      <c r="K979" s="11"/>
      <c r="L979" s="11"/>
    </row>
    <row r="980" spans="1:12" x14ac:dyDescent="0.3">
      <c r="A980" s="31"/>
      <c r="B980" s="32">
        <f>IF(A980="","",DATE(YEAR(A980),MONTH(A980),1))</f>
      </c>
      <c r="C980" s="11"/>
      <c r="D980" s="11"/>
      <c r="E980" s="16">
        <f>IF(OR(D980="",C980&lt;&gt;"Chi"),"",IFERROR(INDEX('Danh mục'!$B$39:$B$78,MATCH(D980,'Danh mục'!$A$39:$A$78,0))&amp;"","?"))</f>
      </c>
      <c r="F980" s="16">
        <f>IF(D980="","",IF(C980="Thu",IFERROR(INDEX('Danh mục'!$B$26:$B$35,MATCH(D980,'Danh mục'!$A$26:$A$35,0))&amp;"","?"),IFERROR(INDEX('Danh mục'!$D$39:$D$78,MATCH(D980,'Danh mục'!$A$39:$A$78,0))&amp;"","?")))</f>
      </c>
      <c r="G980" s="16">
        <f>IF(OR(D980="",C980&lt;&gt;"Chi"),"",IFERROR(INDEX('Danh mục'!$C$39:$C$78,MATCH(D980,'Danh mục'!$A$39:$A$78,0))&amp;"",""))</f>
      </c>
      <c r="H980" s="11"/>
      <c r="I980" s="20"/>
      <c r="J980" s="11"/>
      <c r="K980" s="11"/>
      <c r="L980" s="11"/>
    </row>
    <row r="981" spans="1:12" x14ac:dyDescent="0.3">
      <c r="A981" s="31"/>
      <c r="B981" s="32">
        <f>IF(A981="","",DATE(YEAR(A981),MONTH(A981),1))</f>
      </c>
      <c r="C981" s="11"/>
      <c r="D981" s="11"/>
      <c r="E981" s="16">
        <f>IF(OR(D981="",C981&lt;&gt;"Chi"),"",IFERROR(INDEX('Danh mục'!$B$39:$B$78,MATCH(D981,'Danh mục'!$A$39:$A$78,0))&amp;"","?"))</f>
      </c>
      <c r="F981" s="16">
        <f>IF(D981="","",IF(C981="Thu",IFERROR(INDEX('Danh mục'!$B$26:$B$35,MATCH(D981,'Danh mục'!$A$26:$A$35,0))&amp;"","?"),IFERROR(INDEX('Danh mục'!$D$39:$D$78,MATCH(D981,'Danh mục'!$A$39:$A$78,0))&amp;"","?")))</f>
      </c>
      <c r="G981" s="16">
        <f>IF(OR(D981="",C981&lt;&gt;"Chi"),"",IFERROR(INDEX('Danh mục'!$C$39:$C$78,MATCH(D981,'Danh mục'!$A$39:$A$78,0))&amp;"",""))</f>
      </c>
      <c r="H981" s="11"/>
      <c r="I981" s="20"/>
      <c r="J981" s="11"/>
      <c r="K981" s="11"/>
      <c r="L981" s="11"/>
    </row>
    <row r="982" spans="1:12" x14ac:dyDescent="0.3">
      <c r="A982" s="31"/>
      <c r="B982" s="32">
        <f>IF(A982="","",DATE(YEAR(A982),MONTH(A982),1))</f>
      </c>
      <c r="C982" s="11"/>
      <c r="D982" s="11"/>
      <c r="E982" s="16">
        <f>IF(OR(D982="",C982&lt;&gt;"Chi"),"",IFERROR(INDEX('Danh mục'!$B$39:$B$78,MATCH(D982,'Danh mục'!$A$39:$A$78,0))&amp;"","?"))</f>
      </c>
      <c r="F982" s="16">
        <f>IF(D982="","",IF(C982="Thu",IFERROR(INDEX('Danh mục'!$B$26:$B$35,MATCH(D982,'Danh mục'!$A$26:$A$35,0))&amp;"","?"),IFERROR(INDEX('Danh mục'!$D$39:$D$78,MATCH(D982,'Danh mục'!$A$39:$A$78,0))&amp;"","?")))</f>
      </c>
      <c r="G982" s="16">
        <f>IF(OR(D982="",C982&lt;&gt;"Chi"),"",IFERROR(INDEX('Danh mục'!$C$39:$C$78,MATCH(D982,'Danh mục'!$A$39:$A$78,0))&amp;"",""))</f>
      </c>
      <c r="H982" s="11"/>
      <c r="I982" s="20"/>
      <c r="J982" s="11"/>
      <c r="K982" s="11"/>
      <c r="L982" s="11"/>
    </row>
    <row r="983" spans="1:12" x14ac:dyDescent="0.3">
      <c r="A983" s="31"/>
      <c r="B983" s="32">
        <f>IF(A983="","",DATE(YEAR(A983),MONTH(A983),1))</f>
      </c>
      <c r="C983" s="11"/>
      <c r="D983" s="11"/>
      <c r="E983" s="16">
        <f>IF(OR(D983="",C983&lt;&gt;"Chi"),"",IFERROR(INDEX('Danh mục'!$B$39:$B$78,MATCH(D983,'Danh mục'!$A$39:$A$78,0))&amp;"","?"))</f>
      </c>
      <c r="F983" s="16">
        <f>IF(D983="","",IF(C983="Thu",IFERROR(INDEX('Danh mục'!$B$26:$B$35,MATCH(D983,'Danh mục'!$A$26:$A$35,0))&amp;"","?"),IFERROR(INDEX('Danh mục'!$D$39:$D$78,MATCH(D983,'Danh mục'!$A$39:$A$78,0))&amp;"","?")))</f>
      </c>
      <c r="G983" s="16">
        <f>IF(OR(D983="",C983&lt;&gt;"Chi"),"",IFERROR(INDEX('Danh mục'!$C$39:$C$78,MATCH(D983,'Danh mục'!$A$39:$A$78,0))&amp;"",""))</f>
      </c>
      <c r="H983" s="11"/>
      <c r="I983" s="20"/>
      <c r="J983" s="11"/>
      <c r="K983" s="11"/>
      <c r="L983" s="11"/>
    </row>
    <row r="984" spans="1:12" x14ac:dyDescent="0.3">
      <c r="A984" s="31"/>
      <c r="B984" s="32">
        <f>IF(A984="","",DATE(YEAR(A984),MONTH(A984),1))</f>
      </c>
      <c r="C984" s="11"/>
      <c r="D984" s="11"/>
      <c r="E984" s="16">
        <f>IF(OR(D984="",C984&lt;&gt;"Chi"),"",IFERROR(INDEX('Danh mục'!$B$39:$B$78,MATCH(D984,'Danh mục'!$A$39:$A$78,0))&amp;"","?"))</f>
      </c>
      <c r="F984" s="16">
        <f>IF(D984="","",IF(C984="Thu",IFERROR(INDEX('Danh mục'!$B$26:$B$35,MATCH(D984,'Danh mục'!$A$26:$A$35,0))&amp;"","?"),IFERROR(INDEX('Danh mục'!$D$39:$D$78,MATCH(D984,'Danh mục'!$A$39:$A$78,0))&amp;"","?")))</f>
      </c>
      <c r="G984" s="16">
        <f>IF(OR(D984="",C984&lt;&gt;"Chi"),"",IFERROR(INDEX('Danh mục'!$C$39:$C$78,MATCH(D984,'Danh mục'!$A$39:$A$78,0))&amp;"",""))</f>
      </c>
      <c r="H984" s="11"/>
      <c r="I984" s="20"/>
      <c r="J984" s="11"/>
      <c r="K984" s="11"/>
      <c r="L984" s="11"/>
    </row>
    <row r="985" spans="1:12" x14ac:dyDescent="0.3">
      <c r="A985" s="31"/>
      <c r="B985" s="32">
        <f>IF(A985="","",DATE(YEAR(A985),MONTH(A985),1))</f>
      </c>
      <c r="C985" s="11"/>
      <c r="D985" s="11"/>
      <c r="E985" s="16">
        <f>IF(OR(D985="",C985&lt;&gt;"Chi"),"",IFERROR(INDEX('Danh mục'!$B$39:$B$78,MATCH(D985,'Danh mục'!$A$39:$A$78,0))&amp;"","?"))</f>
      </c>
      <c r="F985" s="16">
        <f>IF(D985="","",IF(C985="Thu",IFERROR(INDEX('Danh mục'!$B$26:$B$35,MATCH(D985,'Danh mục'!$A$26:$A$35,0))&amp;"","?"),IFERROR(INDEX('Danh mục'!$D$39:$D$78,MATCH(D985,'Danh mục'!$A$39:$A$78,0))&amp;"","?")))</f>
      </c>
      <c r="G985" s="16">
        <f>IF(OR(D985="",C985&lt;&gt;"Chi"),"",IFERROR(INDEX('Danh mục'!$C$39:$C$78,MATCH(D985,'Danh mục'!$A$39:$A$78,0))&amp;"",""))</f>
      </c>
      <c r="H985" s="11"/>
      <c r="I985" s="20"/>
      <c r="J985" s="11"/>
      <c r="K985" s="11"/>
      <c r="L985" s="11"/>
    </row>
    <row r="986" spans="1:12" x14ac:dyDescent="0.3">
      <c r="A986" s="31"/>
      <c r="B986" s="32">
        <f>IF(A986="","",DATE(YEAR(A986),MONTH(A986),1))</f>
      </c>
      <c r="C986" s="11"/>
      <c r="D986" s="11"/>
      <c r="E986" s="16">
        <f>IF(OR(D986="",C986&lt;&gt;"Chi"),"",IFERROR(INDEX('Danh mục'!$B$39:$B$78,MATCH(D986,'Danh mục'!$A$39:$A$78,0))&amp;"","?"))</f>
      </c>
      <c r="F986" s="16">
        <f>IF(D986="","",IF(C986="Thu",IFERROR(INDEX('Danh mục'!$B$26:$B$35,MATCH(D986,'Danh mục'!$A$26:$A$35,0))&amp;"","?"),IFERROR(INDEX('Danh mục'!$D$39:$D$78,MATCH(D986,'Danh mục'!$A$39:$A$78,0))&amp;"","?")))</f>
      </c>
      <c r="G986" s="16">
        <f>IF(OR(D986="",C986&lt;&gt;"Chi"),"",IFERROR(INDEX('Danh mục'!$C$39:$C$78,MATCH(D986,'Danh mục'!$A$39:$A$78,0))&amp;"",""))</f>
      </c>
      <c r="H986" s="11"/>
      <c r="I986" s="20"/>
      <c r="J986" s="11"/>
      <c r="K986" s="11"/>
      <c r="L986" s="11"/>
    </row>
    <row r="987" spans="1:12" x14ac:dyDescent="0.3">
      <c r="A987" s="31"/>
      <c r="B987" s="32">
        <f>IF(A987="","",DATE(YEAR(A987),MONTH(A987),1))</f>
      </c>
      <c r="C987" s="11"/>
      <c r="D987" s="11"/>
      <c r="E987" s="16">
        <f>IF(OR(D987="",C987&lt;&gt;"Chi"),"",IFERROR(INDEX('Danh mục'!$B$39:$B$78,MATCH(D987,'Danh mục'!$A$39:$A$78,0))&amp;"","?"))</f>
      </c>
      <c r="F987" s="16">
        <f>IF(D987="","",IF(C987="Thu",IFERROR(INDEX('Danh mục'!$B$26:$B$35,MATCH(D987,'Danh mục'!$A$26:$A$35,0))&amp;"","?"),IFERROR(INDEX('Danh mục'!$D$39:$D$78,MATCH(D987,'Danh mục'!$A$39:$A$78,0))&amp;"","?")))</f>
      </c>
      <c r="G987" s="16">
        <f>IF(OR(D987="",C987&lt;&gt;"Chi"),"",IFERROR(INDEX('Danh mục'!$C$39:$C$78,MATCH(D987,'Danh mục'!$A$39:$A$78,0))&amp;"",""))</f>
      </c>
      <c r="H987" s="11"/>
      <c r="I987" s="20"/>
      <c r="J987" s="11"/>
      <c r="K987" s="11"/>
      <c r="L987" s="11"/>
    </row>
    <row r="988" spans="1:12" x14ac:dyDescent="0.3">
      <c r="A988" s="31"/>
      <c r="B988" s="32">
        <f>IF(A988="","",DATE(YEAR(A988),MONTH(A988),1))</f>
      </c>
      <c r="C988" s="11"/>
      <c r="D988" s="11"/>
      <c r="E988" s="16">
        <f>IF(OR(D988="",C988&lt;&gt;"Chi"),"",IFERROR(INDEX('Danh mục'!$B$39:$B$78,MATCH(D988,'Danh mục'!$A$39:$A$78,0))&amp;"","?"))</f>
      </c>
      <c r="F988" s="16">
        <f>IF(D988="","",IF(C988="Thu",IFERROR(INDEX('Danh mục'!$B$26:$B$35,MATCH(D988,'Danh mục'!$A$26:$A$35,0))&amp;"","?"),IFERROR(INDEX('Danh mục'!$D$39:$D$78,MATCH(D988,'Danh mục'!$A$39:$A$78,0))&amp;"","?")))</f>
      </c>
      <c r="G988" s="16">
        <f>IF(OR(D988="",C988&lt;&gt;"Chi"),"",IFERROR(INDEX('Danh mục'!$C$39:$C$78,MATCH(D988,'Danh mục'!$A$39:$A$78,0))&amp;"",""))</f>
      </c>
      <c r="H988" s="11"/>
      <c r="I988" s="20"/>
      <c r="J988" s="11"/>
      <c r="K988" s="11"/>
      <c r="L988" s="11"/>
    </row>
    <row r="989" spans="1:12" x14ac:dyDescent="0.3">
      <c r="A989" s="31"/>
      <c r="B989" s="32">
        <f>IF(A989="","",DATE(YEAR(A989),MONTH(A989),1))</f>
      </c>
      <c r="C989" s="11"/>
      <c r="D989" s="11"/>
      <c r="E989" s="16">
        <f>IF(OR(D989="",C989&lt;&gt;"Chi"),"",IFERROR(INDEX('Danh mục'!$B$39:$B$78,MATCH(D989,'Danh mục'!$A$39:$A$78,0))&amp;"","?"))</f>
      </c>
      <c r="F989" s="16">
        <f>IF(D989="","",IF(C989="Thu",IFERROR(INDEX('Danh mục'!$B$26:$B$35,MATCH(D989,'Danh mục'!$A$26:$A$35,0))&amp;"","?"),IFERROR(INDEX('Danh mục'!$D$39:$D$78,MATCH(D989,'Danh mục'!$A$39:$A$78,0))&amp;"","?")))</f>
      </c>
      <c r="G989" s="16">
        <f>IF(OR(D989="",C989&lt;&gt;"Chi"),"",IFERROR(INDEX('Danh mục'!$C$39:$C$78,MATCH(D989,'Danh mục'!$A$39:$A$78,0))&amp;"",""))</f>
      </c>
      <c r="H989" s="11"/>
      <c r="I989" s="20"/>
      <c r="J989" s="11"/>
      <c r="K989" s="11"/>
      <c r="L989" s="11"/>
    </row>
    <row r="990" spans="1:12" x14ac:dyDescent="0.3">
      <c r="A990" s="31"/>
      <c r="B990" s="32">
        <f>IF(A990="","",DATE(YEAR(A990),MONTH(A990),1))</f>
      </c>
      <c r="C990" s="11"/>
      <c r="D990" s="11"/>
      <c r="E990" s="16">
        <f>IF(OR(D990="",C990&lt;&gt;"Chi"),"",IFERROR(INDEX('Danh mục'!$B$39:$B$78,MATCH(D990,'Danh mục'!$A$39:$A$78,0))&amp;"","?"))</f>
      </c>
      <c r="F990" s="16">
        <f>IF(D990="","",IF(C990="Thu",IFERROR(INDEX('Danh mục'!$B$26:$B$35,MATCH(D990,'Danh mục'!$A$26:$A$35,0))&amp;"","?"),IFERROR(INDEX('Danh mục'!$D$39:$D$78,MATCH(D990,'Danh mục'!$A$39:$A$78,0))&amp;"","?")))</f>
      </c>
      <c r="G990" s="16">
        <f>IF(OR(D990="",C990&lt;&gt;"Chi"),"",IFERROR(INDEX('Danh mục'!$C$39:$C$78,MATCH(D990,'Danh mục'!$A$39:$A$78,0))&amp;"",""))</f>
      </c>
      <c r="H990" s="11"/>
      <c r="I990" s="20"/>
      <c r="J990" s="11"/>
      <c r="K990" s="11"/>
      <c r="L990" s="11"/>
    </row>
    <row r="991" spans="1:12" x14ac:dyDescent="0.3">
      <c r="A991" s="31"/>
      <c r="B991" s="32">
        <f>IF(A991="","",DATE(YEAR(A991),MONTH(A991),1))</f>
      </c>
      <c r="C991" s="11"/>
      <c r="D991" s="11"/>
      <c r="E991" s="16">
        <f>IF(OR(D991="",C991&lt;&gt;"Chi"),"",IFERROR(INDEX('Danh mục'!$B$39:$B$78,MATCH(D991,'Danh mục'!$A$39:$A$78,0))&amp;"","?"))</f>
      </c>
      <c r="F991" s="16">
        <f>IF(D991="","",IF(C991="Thu",IFERROR(INDEX('Danh mục'!$B$26:$B$35,MATCH(D991,'Danh mục'!$A$26:$A$35,0))&amp;"","?"),IFERROR(INDEX('Danh mục'!$D$39:$D$78,MATCH(D991,'Danh mục'!$A$39:$A$78,0))&amp;"","?")))</f>
      </c>
      <c r="G991" s="16">
        <f>IF(OR(D991="",C991&lt;&gt;"Chi"),"",IFERROR(INDEX('Danh mục'!$C$39:$C$78,MATCH(D991,'Danh mục'!$A$39:$A$78,0))&amp;"",""))</f>
      </c>
      <c r="H991" s="11"/>
      <c r="I991" s="20"/>
      <c r="J991" s="11"/>
      <c r="K991" s="11"/>
      <c r="L991" s="11"/>
    </row>
    <row r="992" spans="1:12" x14ac:dyDescent="0.3">
      <c r="A992" s="31"/>
      <c r="B992" s="32">
        <f>IF(A992="","",DATE(YEAR(A992),MONTH(A992),1))</f>
      </c>
      <c r="C992" s="11"/>
      <c r="D992" s="11"/>
      <c r="E992" s="16">
        <f>IF(OR(D992="",C992&lt;&gt;"Chi"),"",IFERROR(INDEX('Danh mục'!$B$39:$B$78,MATCH(D992,'Danh mục'!$A$39:$A$78,0))&amp;"","?"))</f>
      </c>
      <c r="F992" s="16">
        <f>IF(D992="","",IF(C992="Thu",IFERROR(INDEX('Danh mục'!$B$26:$B$35,MATCH(D992,'Danh mục'!$A$26:$A$35,0))&amp;"","?"),IFERROR(INDEX('Danh mục'!$D$39:$D$78,MATCH(D992,'Danh mục'!$A$39:$A$78,0))&amp;"","?")))</f>
      </c>
      <c r="G992" s="16">
        <f>IF(OR(D992="",C992&lt;&gt;"Chi"),"",IFERROR(INDEX('Danh mục'!$C$39:$C$78,MATCH(D992,'Danh mục'!$A$39:$A$78,0))&amp;"",""))</f>
      </c>
      <c r="H992" s="11"/>
      <c r="I992" s="20"/>
      <c r="J992" s="11"/>
      <c r="K992" s="11"/>
      <c r="L992" s="11"/>
    </row>
    <row r="993" spans="1:12" x14ac:dyDescent="0.3">
      <c r="A993" s="31"/>
      <c r="B993" s="32">
        <f>IF(A993="","",DATE(YEAR(A993),MONTH(A993),1))</f>
      </c>
      <c r="C993" s="11"/>
      <c r="D993" s="11"/>
      <c r="E993" s="16">
        <f>IF(OR(D993="",C993&lt;&gt;"Chi"),"",IFERROR(INDEX('Danh mục'!$B$39:$B$78,MATCH(D993,'Danh mục'!$A$39:$A$78,0))&amp;"","?"))</f>
      </c>
      <c r="F993" s="16">
        <f>IF(D993="","",IF(C993="Thu",IFERROR(INDEX('Danh mục'!$B$26:$B$35,MATCH(D993,'Danh mục'!$A$26:$A$35,0))&amp;"","?"),IFERROR(INDEX('Danh mục'!$D$39:$D$78,MATCH(D993,'Danh mục'!$A$39:$A$78,0))&amp;"","?")))</f>
      </c>
      <c r="G993" s="16">
        <f>IF(OR(D993="",C993&lt;&gt;"Chi"),"",IFERROR(INDEX('Danh mục'!$C$39:$C$78,MATCH(D993,'Danh mục'!$A$39:$A$78,0))&amp;"",""))</f>
      </c>
      <c r="H993" s="11"/>
      <c r="I993" s="20"/>
      <c r="J993" s="11"/>
      <c r="K993" s="11"/>
      <c r="L993" s="11"/>
    </row>
    <row r="994" spans="1:12" x14ac:dyDescent="0.3">
      <c r="A994" s="31"/>
      <c r="B994" s="32">
        <f>IF(A994="","",DATE(YEAR(A994),MONTH(A994),1))</f>
      </c>
      <c r="C994" s="11"/>
      <c r="D994" s="11"/>
      <c r="E994" s="16">
        <f>IF(OR(D994="",C994&lt;&gt;"Chi"),"",IFERROR(INDEX('Danh mục'!$B$39:$B$78,MATCH(D994,'Danh mục'!$A$39:$A$78,0))&amp;"","?"))</f>
      </c>
      <c r="F994" s="16">
        <f>IF(D994="","",IF(C994="Thu",IFERROR(INDEX('Danh mục'!$B$26:$B$35,MATCH(D994,'Danh mục'!$A$26:$A$35,0))&amp;"","?"),IFERROR(INDEX('Danh mục'!$D$39:$D$78,MATCH(D994,'Danh mục'!$A$39:$A$78,0))&amp;"","?")))</f>
      </c>
      <c r="G994" s="16">
        <f>IF(OR(D994="",C994&lt;&gt;"Chi"),"",IFERROR(INDEX('Danh mục'!$C$39:$C$78,MATCH(D994,'Danh mục'!$A$39:$A$78,0))&amp;"",""))</f>
      </c>
      <c r="H994" s="11"/>
      <c r="I994" s="20"/>
      <c r="J994" s="11"/>
      <c r="K994" s="11"/>
      <c r="L994" s="11"/>
    </row>
    <row r="995" spans="1:12" x14ac:dyDescent="0.3">
      <c r="A995" s="31"/>
      <c r="B995" s="32">
        <f>IF(A995="","",DATE(YEAR(A995),MONTH(A995),1))</f>
      </c>
      <c r="C995" s="11"/>
      <c r="D995" s="11"/>
      <c r="E995" s="16">
        <f>IF(OR(D995="",C995&lt;&gt;"Chi"),"",IFERROR(INDEX('Danh mục'!$B$39:$B$78,MATCH(D995,'Danh mục'!$A$39:$A$78,0))&amp;"","?"))</f>
      </c>
      <c r="F995" s="16">
        <f>IF(D995="","",IF(C995="Thu",IFERROR(INDEX('Danh mục'!$B$26:$B$35,MATCH(D995,'Danh mục'!$A$26:$A$35,0))&amp;"","?"),IFERROR(INDEX('Danh mục'!$D$39:$D$78,MATCH(D995,'Danh mục'!$A$39:$A$78,0))&amp;"","?")))</f>
      </c>
      <c r="G995" s="16">
        <f>IF(OR(D995="",C995&lt;&gt;"Chi"),"",IFERROR(INDEX('Danh mục'!$C$39:$C$78,MATCH(D995,'Danh mục'!$A$39:$A$78,0))&amp;"",""))</f>
      </c>
      <c r="H995" s="11"/>
      <c r="I995" s="20"/>
      <c r="J995" s="11"/>
      <c r="K995" s="11"/>
      <c r="L995" s="11"/>
    </row>
    <row r="996" spans="1:12" x14ac:dyDescent="0.3">
      <c r="A996" s="31"/>
      <c r="B996" s="32">
        <f>IF(A996="","",DATE(YEAR(A996),MONTH(A996),1))</f>
      </c>
      <c r="C996" s="11"/>
      <c r="D996" s="11"/>
      <c r="E996" s="16">
        <f>IF(OR(D996="",C996&lt;&gt;"Chi"),"",IFERROR(INDEX('Danh mục'!$B$39:$B$78,MATCH(D996,'Danh mục'!$A$39:$A$78,0))&amp;"","?"))</f>
      </c>
      <c r="F996" s="16">
        <f>IF(D996="","",IF(C996="Thu",IFERROR(INDEX('Danh mục'!$B$26:$B$35,MATCH(D996,'Danh mục'!$A$26:$A$35,0))&amp;"","?"),IFERROR(INDEX('Danh mục'!$D$39:$D$78,MATCH(D996,'Danh mục'!$A$39:$A$78,0))&amp;"","?")))</f>
      </c>
      <c r="G996" s="16">
        <f>IF(OR(D996="",C996&lt;&gt;"Chi"),"",IFERROR(INDEX('Danh mục'!$C$39:$C$78,MATCH(D996,'Danh mục'!$A$39:$A$78,0))&amp;"",""))</f>
      </c>
      <c r="H996" s="11"/>
      <c r="I996" s="20"/>
      <c r="J996" s="11"/>
      <c r="K996" s="11"/>
      <c r="L996" s="11"/>
    </row>
    <row r="997" spans="1:12" x14ac:dyDescent="0.3">
      <c r="A997" s="31"/>
      <c r="B997" s="32">
        <f>IF(A997="","",DATE(YEAR(A997),MONTH(A997),1))</f>
      </c>
      <c r="C997" s="11"/>
      <c r="D997" s="11"/>
      <c r="E997" s="16">
        <f>IF(OR(D997="",C997&lt;&gt;"Chi"),"",IFERROR(INDEX('Danh mục'!$B$39:$B$78,MATCH(D997,'Danh mục'!$A$39:$A$78,0))&amp;"","?"))</f>
      </c>
      <c r="F997" s="16">
        <f>IF(D997="","",IF(C997="Thu",IFERROR(INDEX('Danh mục'!$B$26:$B$35,MATCH(D997,'Danh mục'!$A$26:$A$35,0))&amp;"","?"),IFERROR(INDEX('Danh mục'!$D$39:$D$78,MATCH(D997,'Danh mục'!$A$39:$A$78,0))&amp;"","?")))</f>
      </c>
      <c r="G997" s="16">
        <f>IF(OR(D997="",C997&lt;&gt;"Chi"),"",IFERROR(INDEX('Danh mục'!$C$39:$C$78,MATCH(D997,'Danh mục'!$A$39:$A$78,0))&amp;"",""))</f>
      </c>
      <c r="H997" s="11"/>
      <c r="I997" s="20"/>
      <c r="J997" s="11"/>
      <c r="K997" s="11"/>
      <c r="L997" s="11"/>
    </row>
    <row r="998" spans="1:12" x14ac:dyDescent="0.3">
      <c r="A998" s="31"/>
      <c r="B998" s="32">
        <f>IF(A998="","",DATE(YEAR(A998),MONTH(A998),1))</f>
      </c>
      <c r="C998" s="11"/>
      <c r="D998" s="11"/>
      <c r="E998" s="16">
        <f>IF(OR(D998="",C998&lt;&gt;"Chi"),"",IFERROR(INDEX('Danh mục'!$B$39:$B$78,MATCH(D998,'Danh mục'!$A$39:$A$78,0))&amp;"","?"))</f>
      </c>
      <c r="F998" s="16">
        <f>IF(D998="","",IF(C998="Thu",IFERROR(INDEX('Danh mục'!$B$26:$B$35,MATCH(D998,'Danh mục'!$A$26:$A$35,0))&amp;"","?"),IFERROR(INDEX('Danh mục'!$D$39:$D$78,MATCH(D998,'Danh mục'!$A$39:$A$78,0))&amp;"","?")))</f>
      </c>
      <c r="G998" s="16">
        <f>IF(OR(D998="",C998&lt;&gt;"Chi"),"",IFERROR(INDEX('Danh mục'!$C$39:$C$78,MATCH(D998,'Danh mục'!$A$39:$A$78,0))&amp;"",""))</f>
      </c>
      <c r="H998" s="11"/>
      <c r="I998" s="20"/>
      <c r="J998" s="11"/>
      <c r="K998" s="11"/>
      <c r="L998" s="11"/>
    </row>
    <row r="999" spans="1:12" x14ac:dyDescent="0.3">
      <c r="A999" s="31"/>
      <c r="B999" s="32">
        <f>IF(A999="","",DATE(YEAR(A999),MONTH(A999),1))</f>
      </c>
      <c r="C999" s="11"/>
      <c r="D999" s="11"/>
      <c r="E999" s="16">
        <f>IF(OR(D999="",C999&lt;&gt;"Chi"),"",IFERROR(INDEX('Danh mục'!$B$39:$B$78,MATCH(D999,'Danh mục'!$A$39:$A$78,0))&amp;"","?"))</f>
      </c>
      <c r="F999" s="16">
        <f>IF(D999="","",IF(C999="Thu",IFERROR(INDEX('Danh mục'!$B$26:$B$35,MATCH(D999,'Danh mục'!$A$26:$A$35,0))&amp;"","?"),IFERROR(INDEX('Danh mục'!$D$39:$D$78,MATCH(D999,'Danh mục'!$A$39:$A$78,0))&amp;"","?")))</f>
      </c>
      <c r="G999" s="16">
        <f>IF(OR(D999="",C999&lt;&gt;"Chi"),"",IFERROR(INDEX('Danh mục'!$C$39:$C$78,MATCH(D999,'Danh mục'!$A$39:$A$78,0))&amp;"",""))</f>
      </c>
      <c r="H999" s="11"/>
      <c r="I999" s="20"/>
      <c r="J999" s="11"/>
      <c r="K999" s="11"/>
      <c r="L999" s="11"/>
    </row>
    <row r="1000" spans="1:12" x14ac:dyDescent="0.3">
      <c r="A1000" s="31"/>
      <c r="B1000" s="32">
        <f>IF(A1000="","",DATE(YEAR(A1000),MONTH(A1000),1))</f>
      </c>
      <c r="C1000" s="11"/>
      <c r="D1000" s="11"/>
      <c r="E1000" s="16">
        <f>IF(OR(D1000="",C1000&lt;&gt;"Chi"),"",IFERROR(INDEX('Danh mục'!$B$39:$B$78,MATCH(D1000,'Danh mục'!$A$39:$A$78,0))&amp;"","?"))</f>
      </c>
      <c r="F1000" s="16">
        <f>IF(D1000="","",IF(C1000="Thu",IFERROR(INDEX('Danh mục'!$B$26:$B$35,MATCH(D1000,'Danh mục'!$A$26:$A$35,0))&amp;"","?"),IFERROR(INDEX('Danh mục'!$D$39:$D$78,MATCH(D1000,'Danh mục'!$A$39:$A$78,0))&amp;"","?")))</f>
      </c>
      <c r="G1000" s="16">
        <f>IF(OR(D1000="",C1000&lt;&gt;"Chi"),"",IFERROR(INDEX('Danh mục'!$C$39:$C$78,MATCH(D1000,'Danh mục'!$A$39:$A$78,0))&amp;"",""))</f>
      </c>
      <c r="H1000" s="11"/>
      <c r="I1000" s="20"/>
      <c r="J1000" s="11"/>
      <c r="K1000" s="11"/>
      <c r="L1000" s="11"/>
    </row>
    <row r="1001" spans="1:12" x14ac:dyDescent="0.3">
      <c r="A1001" s="31"/>
      <c r="B1001" s="32">
        <f>IF(A1001="","",DATE(YEAR(A1001),MONTH(A1001),1))</f>
      </c>
      <c r="C1001" s="11"/>
      <c r="D1001" s="11"/>
      <c r="E1001" s="16">
        <f>IF(OR(D1001="",C1001&lt;&gt;"Chi"),"",IFERROR(INDEX('Danh mục'!$B$39:$B$78,MATCH(D1001,'Danh mục'!$A$39:$A$78,0))&amp;"","?"))</f>
      </c>
      <c r="F1001" s="16">
        <f>IF(D1001="","",IF(C1001="Thu",IFERROR(INDEX('Danh mục'!$B$26:$B$35,MATCH(D1001,'Danh mục'!$A$26:$A$35,0))&amp;"","?"),IFERROR(INDEX('Danh mục'!$D$39:$D$78,MATCH(D1001,'Danh mục'!$A$39:$A$78,0))&amp;"","?")))</f>
      </c>
      <c r="G1001" s="16">
        <f>IF(OR(D1001="",C1001&lt;&gt;"Chi"),"",IFERROR(INDEX('Danh mục'!$C$39:$C$78,MATCH(D1001,'Danh mục'!$A$39:$A$78,0))&amp;"",""))</f>
      </c>
      <c r="H1001" s="11"/>
      <c r="I1001" s="20"/>
      <c r="J1001" s="11"/>
      <c r="K1001" s="11"/>
      <c r="L1001" s="11"/>
    </row>
    <row r="1002" spans="1:12" x14ac:dyDescent="0.3">
      <c r="A1002" s="31"/>
      <c r="B1002" s="32">
        <f>IF(A1002="","",DATE(YEAR(A1002),MONTH(A1002),1))</f>
      </c>
      <c r="C1002" s="11"/>
      <c r="D1002" s="11"/>
      <c r="E1002" s="16">
        <f>IF(OR(D1002="",C1002&lt;&gt;"Chi"),"",IFERROR(INDEX('Danh mục'!$B$39:$B$78,MATCH(D1002,'Danh mục'!$A$39:$A$78,0))&amp;"","?"))</f>
      </c>
      <c r="F1002" s="16">
        <f>IF(D1002="","",IF(C1002="Thu",IFERROR(INDEX('Danh mục'!$B$26:$B$35,MATCH(D1002,'Danh mục'!$A$26:$A$35,0))&amp;"","?"),IFERROR(INDEX('Danh mục'!$D$39:$D$78,MATCH(D1002,'Danh mục'!$A$39:$A$78,0))&amp;"","?")))</f>
      </c>
      <c r="G1002" s="16">
        <f>IF(OR(D1002="",C1002&lt;&gt;"Chi"),"",IFERROR(INDEX('Danh mục'!$C$39:$C$78,MATCH(D1002,'Danh mục'!$A$39:$A$78,0))&amp;"",""))</f>
      </c>
      <c r="H1002" s="11"/>
      <c r="I1002" s="20"/>
      <c r="J1002" s="11"/>
      <c r="K1002" s="11"/>
      <c r="L1002" s="11"/>
    </row>
    <row r="1003" spans="1:12" x14ac:dyDescent="0.3">
      <c r="A1003" s="31"/>
      <c r="B1003" s="32">
        <f>IF(A1003="","",DATE(YEAR(A1003),MONTH(A1003),1))</f>
      </c>
      <c r="C1003" s="11"/>
      <c r="D1003" s="11"/>
      <c r="E1003" s="16">
        <f>IF(OR(D1003="",C1003&lt;&gt;"Chi"),"",IFERROR(INDEX('Danh mục'!$B$39:$B$78,MATCH(D1003,'Danh mục'!$A$39:$A$78,0))&amp;"","?"))</f>
      </c>
      <c r="F1003" s="16">
        <f>IF(D1003="","",IF(C1003="Thu",IFERROR(INDEX('Danh mục'!$B$26:$B$35,MATCH(D1003,'Danh mục'!$A$26:$A$35,0))&amp;"","?"),IFERROR(INDEX('Danh mục'!$D$39:$D$78,MATCH(D1003,'Danh mục'!$A$39:$A$78,0))&amp;"","?")))</f>
      </c>
      <c r="G1003" s="16">
        <f>IF(OR(D1003="",C1003&lt;&gt;"Chi"),"",IFERROR(INDEX('Danh mục'!$C$39:$C$78,MATCH(D1003,'Danh mục'!$A$39:$A$78,0))&amp;"",""))</f>
      </c>
      <c r="H1003" s="11"/>
      <c r="I1003" s="20"/>
      <c r="J1003" s="11"/>
      <c r="K1003" s="11"/>
      <c r="L1003" s="11"/>
    </row>
    <row r="1004" spans="1:12" x14ac:dyDescent="0.3">
      <c r="A1004" s="31"/>
      <c r="B1004" s="32">
        <f>IF(A1004="","",DATE(YEAR(A1004),MONTH(A1004),1))</f>
      </c>
      <c r="C1004" s="11"/>
      <c r="D1004" s="11"/>
      <c r="E1004" s="16">
        <f>IF(OR(D1004="",C1004&lt;&gt;"Chi"),"",IFERROR(INDEX('Danh mục'!$B$39:$B$78,MATCH(D1004,'Danh mục'!$A$39:$A$78,0))&amp;"","?"))</f>
      </c>
      <c r="F1004" s="16">
        <f>IF(D1004="","",IF(C1004="Thu",IFERROR(INDEX('Danh mục'!$B$26:$B$35,MATCH(D1004,'Danh mục'!$A$26:$A$35,0))&amp;"","?"),IFERROR(INDEX('Danh mục'!$D$39:$D$78,MATCH(D1004,'Danh mục'!$A$39:$A$78,0))&amp;"","?")))</f>
      </c>
      <c r="G1004" s="16">
        <f>IF(OR(D1004="",C1004&lt;&gt;"Chi"),"",IFERROR(INDEX('Danh mục'!$C$39:$C$78,MATCH(D1004,'Danh mục'!$A$39:$A$78,0))&amp;"",""))</f>
      </c>
      <c r="H1004" s="11"/>
      <c r="I1004" s="20"/>
      <c r="J1004" s="11"/>
      <c r="K1004" s="11"/>
      <c r="L1004" s="11"/>
    </row>
    <row r="1005" spans="1:12" x14ac:dyDescent="0.3">
      <c r="A1005" s="31"/>
      <c r="B1005" s="32">
        <f>IF(A1005="","",DATE(YEAR(A1005),MONTH(A1005),1))</f>
      </c>
      <c r="C1005" s="11"/>
      <c r="D1005" s="11"/>
      <c r="E1005" s="16">
        <f>IF(OR(D1005="",C1005&lt;&gt;"Chi"),"",IFERROR(INDEX('Danh mục'!$B$39:$B$78,MATCH(D1005,'Danh mục'!$A$39:$A$78,0))&amp;"","?"))</f>
      </c>
      <c r="F1005" s="16">
        <f>IF(D1005="","",IF(C1005="Thu",IFERROR(INDEX('Danh mục'!$B$26:$B$35,MATCH(D1005,'Danh mục'!$A$26:$A$35,0))&amp;"","?"),IFERROR(INDEX('Danh mục'!$D$39:$D$78,MATCH(D1005,'Danh mục'!$A$39:$A$78,0))&amp;"","?")))</f>
      </c>
      <c r="G1005" s="16">
        <f>IF(OR(D1005="",C1005&lt;&gt;"Chi"),"",IFERROR(INDEX('Danh mục'!$C$39:$C$78,MATCH(D1005,'Danh mục'!$A$39:$A$78,0))&amp;"",""))</f>
      </c>
      <c r="H1005" s="11"/>
      <c r="I1005" s="20"/>
      <c r="J1005" s="11"/>
      <c r="K1005" s="11"/>
      <c r="L1005" s="11"/>
    </row>
    <row r="1006" spans="1:12" x14ac:dyDescent="0.3">
      <c r="A1006" s="31"/>
      <c r="B1006" s="32">
        <f>IF(A1006="","",DATE(YEAR(A1006),MONTH(A1006),1))</f>
      </c>
      <c r="C1006" s="11"/>
      <c r="D1006" s="11"/>
      <c r="E1006" s="16">
        <f>IF(OR(D1006="",C1006&lt;&gt;"Chi"),"",IFERROR(INDEX('Danh mục'!$B$39:$B$78,MATCH(D1006,'Danh mục'!$A$39:$A$78,0))&amp;"","?"))</f>
      </c>
      <c r="F1006" s="16">
        <f>IF(D1006="","",IF(C1006="Thu",IFERROR(INDEX('Danh mục'!$B$26:$B$35,MATCH(D1006,'Danh mục'!$A$26:$A$35,0))&amp;"","?"),IFERROR(INDEX('Danh mục'!$D$39:$D$78,MATCH(D1006,'Danh mục'!$A$39:$A$78,0))&amp;"","?")))</f>
      </c>
      <c r="G1006" s="16">
        <f>IF(OR(D1006="",C1006&lt;&gt;"Chi"),"",IFERROR(INDEX('Danh mục'!$C$39:$C$78,MATCH(D1006,'Danh mục'!$A$39:$A$78,0))&amp;"",""))</f>
      </c>
      <c r="H1006" s="11"/>
      <c r="I1006" s="20"/>
      <c r="J1006" s="11"/>
      <c r="K1006" s="11"/>
      <c r="L1006" s="11"/>
    </row>
    <row r="1007" spans="1:12" x14ac:dyDescent="0.3">
      <c r="A1007" s="31"/>
      <c r="B1007" s="32">
        <f>IF(A1007="","",DATE(YEAR(A1007),MONTH(A1007),1))</f>
      </c>
      <c r="C1007" s="11"/>
      <c r="D1007" s="11"/>
      <c r="E1007" s="16">
        <f>IF(OR(D1007="",C1007&lt;&gt;"Chi"),"",IFERROR(INDEX('Danh mục'!$B$39:$B$78,MATCH(D1007,'Danh mục'!$A$39:$A$78,0))&amp;"","?"))</f>
      </c>
      <c r="F1007" s="16">
        <f>IF(D1007="","",IF(C1007="Thu",IFERROR(INDEX('Danh mục'!$B$26:$B$35,MATCH(D1007,'Danh mục'!$A$26:$A$35,0))&amp;"","?"),IFERROR(INDEX('Danh mục'!$D$39:$D$78,MATCH(D1007,'Danh mục'!$A$39:$A$78,0))&amp;"","?")))</f>
      </c>
      <c r="G1007" s="16">
        <f>IF(OR(D1007="",C1007&lt;&gt;"Chi"),"",IFERROR(INDEX('Danh mục'!$C$39:$C$78,MATCH(D1007,'Danh mục'!$A$39:$A$78,0))&amp;"",""))</f>
      </c>
      <c r="H1007" s="11"/>
      <c r="I1007" s="20"/>
      <c r="J1007" s="11"/>
      <c r="K1007" s="11"/>
      <c r="L1007" s="11"/>
    </row>
    <row r="1008" spans="1:12" x14ac:dyDescent="0.3">
      <c r="A1008" s="31"/>
      <c r="B1008" s="32">
        <f>IF(A1008="","",DATE(YEAR(A1008),MONTH(A1008),1))</f>
      </c>
      <c r="C1008" s="11"/>
      <c r="D1008" s="11"/>
      <c r="E1008" s="16">
        <f>IF(OR(D1008="",C1008&lt;&gt;"Chi"),"",IFERROR(INDEX('Danh mục'!$B$39:$B$78,MATCH(D1008,'Danh mục'!$A$39:$A$78,0))&amp;"","?"))</f>
      </c>
      <c r="F1008" s="16">
        <f>IF(D1008="","",IF(C1008="Thu",IFERROR(INDEX('Danh mục'!$B$26:$B$35,MATCH(D1008,'Danh mục'!$A$26:$A$35,0))&amp;"","?"),IFERROR(INDEX('Danh mục'!$D$39:$D$78,MATCH(D1008,'Danh mục'!$A$39:$A$78,0))&amp;"","?")))</f>
      </c>
      <c r="G1008" s="16">
        <f>IF(OR(D1008="",C1008&lt;&gt;"Chi"),"",IFERROR(INDEX('Danh mục'!$C$39:$C$78,MATCH(D1008,'Danh mục'!$A$39:$A$78,0))&amp;"",""))</f>
      </c>
      <c r="H1008" s="11"/>
      <c r="I1008" s="20"/>
      <c r="J1008" s="11"/>
      <c r="K1008" s="11"/>
      <c r="L1008" s="11"/>
    </row>
    <row r="1009" spans="1:12" x14ac:dyDescent="0.3">
      <c r="A1009" s="31"/>
      <c r="B1009" s="32">
        <f>IF(A1009="","",DATE(YEAR(A1009),MONTH(A1009),1))</f>
      </c>
      <c r="C1009" s="11"/>
      <c r="D1009" s="11"/>
      <c r="E1009" s="16">
        <f>IF(OR(D1009="",C1009&lt;&gt;"Chi"),"",IFERROR(INDEX('Danh mục'!$B$39:$B$78,MATCH(D1009,'Danh mục'!$A$39:$A$78,0))&amp;"","?"))</f>
      </c>
      <c r="F1009" s="16">
        <f>IF(D1009="","",IF(C1009="Thu",IFERROR(INDEX('Danh mục'!$B$26:$B$35,MATCH(D1009,'Danh mục'!$A$26:$A$35,0))&amp;"","?"),IFERROR(INDEX('Danh mục'!$D$39:$D$78,MATCH(D1009,'Danh mục'!$A$39:$A$78,0))&amp;"","?")))</f>
      </c>
      <c r="G1009" s="16">
        <f>IF(OR(D1009="",C1009&lt;&gt;"Chi"),"",IFERROR(INDEX('Danh mục'!$C$39:$C$78,MATCH(D1009,'Danh mục'!$A$39:$A$78,0))&amp;"",""))</f>
      </c>
      <c r="H1009" s="11"/>
      <c r="I1009" s="20"/>
      <c r="J1009" s="11"/>
      <c r="K1009" s="11"/>
      <c r="L1009" s="11"/>
    </row>
    <row r="1010" spans="1:12" x14ac:dyDescent="0.3">
      <c r="A1010" s="31"/>
      <c r="B1010" s="32">
        <f>IF(A1010="","",DATE(YEAR(A1010),MONTH(A1010),1))</f>
      </c>
      <c r="C1010" s="11"/>
      <c r="D1010" s="11"/>
      <c r="E1010" s="16">
        <f>IF(OR(D1010="",C1010&lt;&gt;"Chi"),"",IFERROR(INDEX('Danh mục'!$B$39:$B$78,MATCH(D1010,'Danh mục'!$A$39:$A$78,0))&amp;"","?"))</f>
      </c>
      <c r="F1010" s="16">
        <f>IF(D1010="","",IF(C1010="Thu",IFERROR(INDEX('Danh mục'!$B$26:$B$35,MATCH(D1010,'Danh mục'!$A$26:$A$35,0))&amp;"","?"),IFERROR(INDEX('Danh mục'!$D$39:$D$78,MATCH(D1010,'Danh mục'!$A$39:$A$78,0))&amp;"","?")))</f>
      </c>
      <c r="G1010" s="16">
        <f>IF(OR(D1010="",C1010&lt;&gt;"Chi"),"",IFERROR(INDEX('Danh mục'!$C$39:$C$78,MATCH(D1010,'Danh mục'!$A$39:$A$78,0))&amp;"",""))</f>
      </c>
      <c r="H1010" s="11"/>
      <c r="I1010" s="20"/>
      <c r="J1010" s="11"/>
      <c r="K1010" s="11"/>
      <c r="L1010" s="11"/>
    </row>
    <row r="1011" spans="1:12" x14ac:dyDescent="0.3">
      <c r="A1011" s="31"/>
      <c r="B1011" s="32">
        <f>IF(A1011="","",DATE(YEAR(A1011),MONTH(A1011),1))</f>
      </c>
      <c r="C1011" s="11"/>
      <c r="D1011" s="11"/>
      <c r="E1011" s="16">
        <f>IF(OR(D1011="",C1011&lt;&gt;"Chi"),"",IFERROR(INDEX('Danh mục'!$B$39:$B$78,MATCH(D1011,'Danh mục'!$A$39:$A$78,0))&amp;"","?"))</f>
      </c>
      <c r="F1011" s="16">
        <f>IF(D1011="","",IF(C1011="Thu",IFERROR(INDEX('Danh mục'!$B$26:$B$35,MATCH(D1011,'Danh mục'!$A$26:$A$35,0))&amp;"","?"),IFERROR(INDEX('Danh mục'!$D$39:$D$78,MATCH(D1011,'Danh mục'!$A$39:$A$78,0))&amp;"","?")))</f>
      </c>
      <c r="G1011" s="16">
        <f>IF(OR(D1011="",C1011&lt;&gt;"Chi"),"",IFERROR(INDEX('Danh mục'!$C$39:$C$78,MATCH(D1011,'Danh mục'!$A$39:$A$78,0))&amp;"",""))</f>
      </c>
      <c r="H1011" s="11"/>
      <c r="I1011" s="20"/>
      <c r="J1011" s="11"/>
      <c r="K1011" s="11"/>
      <c r="L1011" s="11"/>
    </row>
    <row r="1012" spans="1:12" x14ac:dyDescent="0.3">
      <c r="A1012" s="31"/>
      <c r="B1012" s="32">
        <f>IF(A1012="","",DATE(YEAR(A1012),MONTH(A1012),1))</f>
      </c>
      <c r="C1012" s="11"/>
      <c r="D1012" s="11"/>
      <c r="E1012" s="16">
        <f>IF(OR(D1012="",C1012&lt;&gt;"Chi"),"",IFERROR(INDEX('Danh mục'!$B$39:$B$78,MATCH(D1012,'Danh mục'!$A$39:$A$78,0))&amp;"","?"))</f>
      </c>
      <c r="F1012" s="16">
        <f>IF(D1012="","",IF(C1012="Thu",IFERROR(INDEX('Danh mục'!$B$26:$B$35,MATCH(D1012,'Danh mục'!$A$26:$A$35,0))&amp;"","?"),IFERROR(INDEX('Danh mục'!$D$39:$D$78,MATCH(D1012,'Danh mục'!$A$39:$A$78,0))&amp;"","?")))</f>
      </c>
      <c r="G1012" s="16">
        <f>IF(OR(D1012="",C1012&lt;&gt;"Chi"),"",IFERROR(INDEX('Danh mục'!$C$39:$C$78,MATCH(D1012,'Danh mục'!$A$39:$A$78,0))&amp;"",""))</f>
      </c>
      <c r="H1012" s="11"/>
      <c r="I1012" s="20"/>
      <c r="J1012" s="11"/>
      <c r="K1012" s="11"/>
      <c r="L1012" s="11"/>
    </row>
    <row r="1013" spans="1:12" x14ac:dyDescent="0.3">
      <c r="A1013" s="31"/>
      <c r="B1013" s="32">
        <f>IF(A1013="","",DATE(YEAR(A1013),MONTH(A1013),1))</f>
      </c>
      <c r="C1013" s="11"/>
      <c r="D1013" s="11"/>
      <c r="E1013" s="16">
        <f>IF(OR(D1013="",C1013&lt;&gt;"Chi"),"",IFERROR(INDEX('Danh mục'!$B$39:$B$78,MATCH(D1013,'Danh mục'!$A$39:$A$78,0))&amp;"","?"))</f>
      </c>
      <c r="F1013" s="16">
        <f>IF(D1013="","",IF(C1013="Thu",IFERROR(INDEX('Danh mục'!$B$26:$B$35,MATCH(D1013,'Danh mục'!$A$26:$A$35,0))&amp;"","?"),IFERROR(INDEX('Danh mục'!$D$39:$D$78,MATCH(D1013,'Danh mục'!$A$39:$A$78,0))&amp;"","?")))</f>
      </c>
      <c r="G1013" s="16">
        <f>IF(OR(D1013="",C1013&lt;&gt;"Chi"),"",IFERROR(INDEX('Danh mục'!$C$39:$C$78,MATCH(D1013,'Danh mục'!$A$39:$A$78,0))&amp;"",""))</f>
      </c>
      <c r="H1013" s="11"/>
      <c r="I1013" s="20"/>
      <c r="J1013" s="11"/>
      <c r="K1013" s="11"/>
      <c r="L1013" s="11"/>
    </row>
    <row r="1014" spans="1:12" x14ac:dyDescent="0.3">
      <c r="A1014" s="31"/>
      <c r="B1014" s="32">
        <f>IF(A1014="","",DATE(YEAR(A1014),MONTH(A1014),1))</f>
      </c>
      <c r="C1014" s="11"/>
      <c r="D1014" s="11"/>
      <c r="E1014" s="16">
        <f>IF(OR(D1014="",C1014&lt;&gt;"Chi"),"",IFERROR(INDEX('Danh mục'!$B$39:$B$78,MATCH(D1014,'Danh mục'!$A$39:$A$78,0))&amp;"","?"))</f>
      </c>
      <c r="F1014" s="16">
        <f>IF(D1014="","",IF(C1014="Thu",IFERROR(INDEX('Danh mục'!$B$26:$B$35,MATCH(D1014,'Danh mục'!$A$26:$A$35,0))&amp;"","?"),IFERROR(INDEX('Danh mục'!$D$39:$D$78,MATCH(D1014,'Danh mục'!$A$39:$A$78,0))&amp;"","?")))</f>
      </c>
      <c r="G1014" s="16">
        <f>IF(OR(D1014="",C1014&lt;&gt;"Chi"),"",IFERROR(INDEX('Danh mục'!$C$39:$C$78,MATCH(D1014,'Danh mục'!$A$39:$A$78,0))&amp;"",""))</f>
      </c>
      <c r="H1014" s="11"/>
      <c r="I1014" s="20"/>
      <c r="J1014" s="11"/>
      <c r="K1014" s="11"/>
      <c r="L1014" s="11"/>
    </row>
    <row r="1015" spans="1:12" x14ac:dyDescent="0.3">
      <c r="A1015" s="31"/>
      <c r="B1015" s="32">
        <f>IF(A1015="","",DATE(YEAR(A1015),MONTH(A1015),1))</f>
      </c>
      <c r="C1015" s="11"/>
      <c r="D1015" s="11"/>
      <c r="E1015" s="16">
        <f>IF(OR(D1015="",C1015&lt;&gt;"Chi"),"",IFERROR(INDEX('Danh mục'!$B$39:$B$78,MATCH(D1015,'Danh mục'!$A$39:$A$78,0))&amp;"","?"))</f>
      </c>
      <c r="F1015" s="16">
        <f>IF(D1015="","",IF(C1015="Thu",IFERROR(INDEX('Danh mục'!$B$26:$B$35,MATCH(D1015,'Danh mục'!$A$26:$A$35,0))&amp;"","?"),IFERROR(INDEX('Danh mục'!$D$39:$D$78,MATCH(D1015,'Danh mục'!$A$39:$A$78,0))&amp;"","?")))</f>
      </c>
      <c r="G1015" s="16">
        <f>IF(OR(D1015="",C1015&lt;&gt;"Chi"),"",IFERROR(INDEX('Danh mục'!$C$39:$C$78,MATCH(D1015,'Danh mục'!$A$39:$A$78,0))&amp;"",""))</f>
      </c>
      <c r="H1015" s="11"/>
      <c r="I1015" s="20"/>
      <c r="J1015" s="11"/>
      <c r="K1015" s="11"/>
      <c r="L1015" s="11"/>
    </row>
    <row r="1016" spans="1:12" x14ac:dyDescent="0.3">
      <c r="A1016" s="31"/>
      <c r="B1016" s="32">
        <f>IF(A1016="","",DATE(YEAR(A1016),MONTH(A1016),1))</f>
      </c>
      <c r="C1016" s="11"/>
      <c r="D1016" s="11"/>
      <c r="E1016" s="16">
        <f>IF(OR(D1016="",C1016&lt;&gt;"Chi"),"",IFERROR(INDEX('Danh mục'!$B$39:$B$78,MATCH(D1016,'Danh mục'!$A$39:$A$78,0))&amp;"","?"))</f>
      </c>
      <c r="F1016" s="16">
        <f>IF(D1016="","",IF(C1016="Thu",IFERROR(INDEX('Danh mục'!$B$26:$B$35,MATCH(D1016,'Danh mục'!$A$26:$A$35,0))&amp;"","?"),IFERROR(INDEX('Danh mục'!$D$39:$D$78,MATCH(D1016,'Danh mục'!$A$39:$A$78,0))&amp;"","?")))</f>
      </c>
      <c r="G1016" s="16">
        <f>IF(OR(D1016="",C1016&lt;&gt;"Chi"),"",IFERROR(INDEX('Danh mục'!$C$39:$C$78,MATCH(D1016,'Danh mục'!$A$39:$A$78,0))&amp;"",""))</f>
      </c>
      <c r="H1016" s="11"/>
      <c r="I1016" s="20"/>
      <c r="J1016" s="11"/>
      <c r="K1016" s="11"/>
      <c r="L1016" s="11"/>
    </row>
    <row r="1017" spans="1:12" x14ac:dyDescent="0.3">
      <c r="A1017" s="31"/>
      <c r="B1017" s="32">
        <f>IF(A1017="","",DATE(YEAR(A1017),MONTH(A1017),1))</f>
      </c>
      <c r="C1017" s="11"/>
      <c r="D1017" s="11"/>
      <c r="E1017" s="16">
        <f>IF(OR(D1017="",C1017&lt;&gt;"Chi"),"",IFERROR(INDEX('Danh mục'!$B$39:$B$78,MATCH(D1017,'Danh mục'!$A$39:$A$78,0))&amp;"","?"))</f>
      </c>
      <c r="F1017" s="16">
        <f>IF(D1017="","",IF(C1017="Thu",IFERROR(INDEX('Danh mục'!$B$26:$B$35,MATCH(D1017,'Danh mục'!$A$26:$A$35,0))&amp;"","?"),IFERROR(INDEX('Danh mục'!$D$39:$D$78,MATCH(D1017,'Danh mục'!$A$39:$A$78,0))&amp;"","?")))</f>
      </c>
      <c r="G1017" s="16">
        <f>IF(OR(D1017="",C1017&lt;&gt;"Chi"),"",IFERROR(INDEX('Danh mục'!$C$39:$C$78,MATCH(D1017,'Danh mục'!$A$39:$A$78,0))&amp;"",""))</f>
      </c>
      <c r="H1017" s="11"/>
      <c r="I1017" s="20"/>
      <c r="J1017" s="11"/>
      <c r="K1017" s="11"/>
      <c r="L1017" s="11"/>
    </row>
    <row r="1018" spans="1:12" x14ac:dyDescent="0.3">
      <c r="A1018" s="31"/>
      <c r="B1018" s="32">
        <f>IF(A1018="","",DATE(YEAR(A1018),MONTH(A1018),1))</f>
      </c>
      <c r="C1018" s="11"/>
      <c r="D1018" s="11"/>
      <c r="E1018" s="16">
        <f>IF(OR(D1018="",C1018&lt;&gt;"Chi"),"",IFERROR(INDEX('Danh mục'!$B$39:$B$78,MATCH(D1018,'Danh mục'!$A$39:$A$78,0))&amp;"","?"))</f>
      </c>
      <c r="F1018" s="16">
        <f>IF(D1018="","",IF(C1018="Thu",IFERROR(INDEX('Danh mục'!$B$26:$B$35,MATCH(D1018,'Danh mục'!$A$26:$A$35,0))&amp;"","?"),IFERROR(INDEX('Danh mục'!$D$39:$D$78,MATCH(D1018,'Danh mục'!$A$39:$A$78,0))&amp;"","?")))</f>
      </c>
      <c r="G1018" s="16">
        <f>IF(OR(D1018="",C1018&lt;&gt;"Chi"),"",IFERROR(INDEX('Danh mục'!$C$39:$C$78,MATCH(D1018,'Danh mục'!$A$39:$A$78,0))&amp;"",""))</f>
      </c>
      <c r="H1018" s="11"/>
      <c r="I1018" s="20"/>
      <c r="J1018" s="11"/>
      <c r="K1018" s="11"/>
      <c r="L1018" s="11"/>
    </row>
    <row r="1019" spans="1:12" x14ac:dyDescent="0.3">
      <c r="A1019" s="31"/>
      <c r="B1019" s="32">
        <f>IF(A1019="","",DATE(YEAR(A1019),MONTH(A1019),1))</f>
      </c>
      <c r="C1019" s="11"/>
      <c r="D1019" s="11"/>
      <c r="E1019" s="16">
        <f>IF(OR(D1019="",C1019&lt;&gt;"Chi"),"",IFERROR(INDEX('Danh mục'!$B$39:$B$78,MATCH(D1019,'Danh mục'!$A$39:$A$78,0))&amp;"","?"))</f>
      </c>
      <c r="F1019" s="16">
        <f>IF(D1019="","",IF(C1019="Thu",IFERROR(INDEX('Danh mục'!$B$26:$B$35,MATCH(D1019,'Danh mục'!$A$26:$A$35,0))&amp;"","?"),IFERROR(INDEX('Danh mục'!$D$39:$D$78,MATCH(D1019,'Danh mục'!$A$39:$A$78,0))&amp;"","?")))</f>
      </c>
      <c r="G1019" s="16">
        <f>IF(OR(D1019="",C1019&lt;&gt;"Chi"),"",IFERROR(INDEX('Danh mục'!$C$39:$C$78,MATCH(D1019,'Danh mục'!$A$39:$A$78,0))&amp;"",""))</f>
      </c>
      <c r="H1019" s="11"/>
      <c r="I1019" s="20"/>
      <c r="J1019" s="11"/>
      <c r="K1019" s="11"/>
      <c r="L1019" s="11"/>
    </row>
    <row r="1020" spans="1:12" x14ac:dyDescent="0.3">
      <c r="A1020" s="31"/>
      <c r="B1020" s="32">
        <f>IF(A1020="","",DATE(YEAR(A1020),MONTH(A1020),1))</f>
      </c>
      <c r="C1020" s="11"/>
      <c r="D1020" s="11"/>
      <c r="E1020" s="16">
        <f>IF(OR(D1020="",C1020&lt;&gt;"Chi"),"",IFERROR(INDEX('Danh mục'!$B$39:$B$78,MATCH(D1020,'Danh mục'!$A$39:$A$78,0))&amp;"","?"))</f>
      </c>
      <c r="F1020" s="16">
        <f>IF(D1020="","",IF(C1020="Thu",IFERROR(INDEX('Danh mục'!$B$26:$B$35,MATCH(D1020,'Danh mục'!$A$26:$A$35,0))&amp;"","?"),IFERROR(INDEX('Danh mục'!$D$39:$D$78,MATCH(D1020,'Danh mục'!$A$39:$A$78,0))&amp;"","?")))</f>
      </c>
      <c r="G1020" s="16">
        <f>IF(OR(D1020="",C1020&lt;&gt;"Chi"),"",IFERROR(INDEX('Danh mục'!$C$39:$C$78,MATCH(D1020,'Danh mục'!$A$39:$A$78,0))&amp;"",""))</f>
      </c>
      <c r="H1020" s="11"/>
      <c r="I1020" s="20"/>
      <c r="J1020" s="11"/>
      <c r="K1020" s="11"/>
      <c r="L1020" s="11"/>
    </row>
    <row r="1021" spans="1:12" x14ac:dyDescent="0.3">
      <c r="A1021" s="31"/>
      <c r="B1021" s="32">
        <f>IF(A1021="","",DATE(YEAR(A1021),MONTH(A1021),1))</f>
      </c>
      <c r="C1021" s="11"/>
      <c r="D1021" s="11"/>
      <c r="E1021" s="16">
        <f>IF(OR(D1021="",C1021&lt;&gt;"Chi"),"",IFERROR(INDEX('Danh mục'!$B$39:$B$78,MATCH(D1021,'Danh mục'!$A$39:$A$78,0))&amp;"","?"))</f>
      </c>
      <c r="F1021" s="16">
        <f>IF(D1021="","",IF(C1021="Thu",IFERROR(INDEX('Danh mục'!$B$26:$B$35,MATCH(D1021,'Danh mục'!$A$26:$A$35,0))&amp;"","?"),IFERROR(INDEX('Danh mục'!$D$39:$D$78,MATCH(D1021,'Danh mục'!$A$39:$A$78,0))&amp;"","?")))</f>
      </c>
      <c r="G1021" s="16">
        <f>IF(OR(D1021="",C1021&lt;&gt;"Chi"),"",IFERROR(INDEX('Danh mục'!$C$39:$C$78,MATCH(D1021,'Danh mục'!$A$39:$A$78,0))&amp;"",""))</f>
      </c>
      <c r="H1021" s="11"/>
      <c r="I1021" s="20"/>
      <c r="J1021" s="11"/>
      <c r="K1021" s="11"/>
      <c r="L1021" s="11"/>
    </row>
    <row r="1022" spans="1:12" x14ac:dyDescent="0.3">
      <c r="A1022" s="31"/>
      <c r="B1022" s="32">
        <f>IF(A1022="","",DATE(YEAR(A1022),MONTH(A1022),1))</f>
      </c>
      <c r="C1022" s="11"/>
      <c r="D1022" s="11"/>
      <c r="E1022" s="16">
        <f>IF(OR(D1022="",C1022&lt;&gt;"Chi"),"",IFERROR(INDEX('Danh mục'!$B$39:$B$78,MATCH(D1022,'Danh mục'!$A$39:$A$78,0))&amp;"","?"))</f>
      </c>
      <c r="F1022" s="16">
        <f>IF(D1022="","",IF(C1022="Thu",IFERROR(INDEX('Danh mục'!$B$26:$B$35,MATCH(D1022,'Danh mục'!$A$26:$A$35,0))&amp;"","?"),IFERROR(INDEX('Danh mục'!$D$39:$D$78,MATCH(D1022,'Danh mục'!$A$39:$A$78,0))&amp;"","?")))</f>
      </c>
      <c r="G1022" s="16">
        <f>IF(OR(D1022="",C1022&lt;&gt;"Chi"),"",IFERROR(INDEX('Danh mục'!$C$39:$C$78,MATCH(D1022,'Danh mục'!$A$39:$A$78,0))&amp;"",""))</f>
      </c>
      <c r="H1022" s="11"/>
      <c r="I1022" s="20"/>
      <c r="J1022" s="11"/>
      <c r="K1022" s="11"/>
      <c r="L1022" s="11"/>
    </row>
    <row r="1023" spans="1:12" x14ac:dyDescent="0.3">
      <c r="A1023" s="31"/>
      <c r="B1023" s="32">
        <f>IF(A1023="","",DATE(YEAR(A1023),MONTH(A1023),1))</f>
      </c>
      <c r="C1023" s="11"/>
      <c r="D1023" s="11"/>
      <c r="E1023" s="16">
        <f>IF(OR(D1023="",C1023&lt;&gt;"Chi"),"",IFERROR(INDEX('Danh mục'!$B$39:$B$78,MATCH(D1023,'Danh mục'!$A$39:$A$78,0))&amp;"","?"))</f>
      </c>
      <c r="F1023" s="16">
        <f>IF(D1023="","",IF(C1023="Thu",IFERROR(INDEX('Danh mục'!$B$26:$B$35,MATCH(D1023,'Danh mục'!$A$26:$A$35,0))&amp;"","?"),IFERROR(INDEX('Danh mục'!$D$39:$D$78,MATCH(D1023,'Danh mục'!$A$39:$A$78,0))&amp;"","?")))</f>
      </c>
      <c r="G1023" s="16">
        <f>IF(OR(D1023="",C1023&lt;&gt;"Chi"),"",IFERROR(INDEX('Danh mục'!$C$39:$C$78,MATCH(D1023,'Danh mục'!$A$39:$A$78,0))&amp;"",""))</f>
      </c>
      <c r="H1023" s="11"/>
      <c r="I1023" s="20"/>
      <c r="J1023" s="11"/>
      <c r="K1023" s="11"/>
      <c r="L1023" s="11"/>
    </row>
    <row r="1024" spans="1:12" x14ac:dyDescent="0.3">
      <c r="A1024" s="31"/>
      <c r="B1024" s="32">
        <f>IF(A1024="","",DATE(YEAR(A1024),MONTH(A1024),1))</f>
      </c>
      <c r="C1024" s="11"/>
      <c r="D1024" s="11"/>
      <c r="E1024" s="16">
        <f>IF(OR(D1024="",C1024&lt;&gt;"Chi"),"",IFERROR(INDEX('Danh mục'!$B$39:$B$78,MATCH(D1024,'Danh mục'!$A$39:$A$78,0))&amp;"","?"))</f>
      </c>
      <c r="F1024" s="16">
        <f>IF(D1024="","",IF(C1024="Thu",IFERROR(INDEX('Danh mục'!$B$26:$B$35,MATCH(D1024,'Danh mục'!$A$26:$A$35,0))&amp;"","?"),IFERROR(INDEX('Danh mục'!$D$39:$D$78,MATCH(D1024,'Danh mục'!$A$39:$A$78,0))&amp;"","?")))</f>
      </c>
      <c r="G1024" s="16">
        <f>IF(OR(D1024="",C1024&lt;&gt;"Chi"),"",IFERROR(INDEX('Danh mục'!$C$39:$C$78,MATCH(D1024,'Danh mục'!$A$39:$A$78,0))&amp;"",""))</f>
      </c>
      <c r="H1024" s="11"/>
      <c r="I1024" s="20"/>
      <c r="J1024" s="11"/>
      <c r="K1024" s="11"/>
      <c r="L1024" s="11"/>
    </row>
    <row r="1025" spans="1:12" x14ac:dyDescent="0.3">
      <c r="A1025" s="31"/>
      <c r="B1025" s="32">
        <f>IF(A1025="","",DATE(YEAR(A1025),MONTH(A1025),1))</f>
      </c>
      <c r="C1025" s="11"/>
      <c r="D1025" s="11"/>
      <c r="E1025" s="16">
        <f>IF(OR(D1025="",C1025&lt;&gt;"Chi"),"",IFERROR(INDEX('Danh mục'!$B$39:$B$78,MATCH(D1025,'Danh mục'!$A$39:$A$78,0))&amp;"","?"))</f>
      </c>
      <c r="F1025" s="16">
        <f>IF(D1025="","",IF(C1025="Thu",IFERROR(INDEX('Danh mục'!$B$26:$B$35,MATCH(D1025,'Danh mục'!$A$26:$A$35,0))&amp;"","?"),IFERROR(INDEX('Danh mục'!$D$39:$D$78,MATCH(D1025,'Danh mục'!$A$39:$A$78,0))&amp;"","?")))</f>
      </c>
      <c r="G1025" s="16">
        <f>IF(OR(D1025="",C1025&lt;&gt;"Chi"),"",IFERROR(INDEX('Danh mục'!$C$39:$C$78,MATCH(D1025,'Danh mục'!$A$39:$A$78,0))&amp;"",""))</f>
      </c>
      <c r="H1025" s="11"/>
      <c r="I1025" s="20"/>
      <c r="J1025" s="11"/>
      <c r="K1025" s="11"/>
      <c r="L1025" s="11"/>
    </row>
    <row r="1026" spans="1:12" x14ac:dyDescent="0.3">
      <c r="A1026" s="31"/>
      <c r="B1026" s="32">
        <f>IF(A1026="","",DATE(YEAR(A1026),MONTH(A1026),1))</f>
      </c>
      <c r="C1026" s="11"/>
      <c r="D1026" s="11"/>
      <c r="E1026" s="16">
        <f>IF(OR(D1026="",C1026&lt;&gt;"Chi"),"",IFERROR(INDEX('Danh mục'!$B$39:$B$78,MATCH(D1026,'Danh mục'!$A$39:$A$78,0))&amp;"","?"))</f>
      </c>
      <c r="F1026" s="16">
        <f>IF(D1026="","",IF(C1026="Thu",IFERROR(INDEX('Danh mục'!$B$26:$B$35,MATCH(D1026,'Danh mục'!$A$26:$A$35,0))&amp;"","?"),IFERROR(INDEX('Danh mục'!$D$39:$D$78,MATCH(D1026,'Danh mục'!$A$39:$A$78,0))&amp;"","?")))</f>
      </c>
      <c r="G1026" s="16">
        <f>IF(OR(D1026="",C1026&lt;&gt;"Chi"),"",IFERROR(INDEX('Danh mục'!$C$39:$C$78,MATCH(D1026,'Danh mục'!$A$39:$A$78,0))&amp;"",""))</f>
      </c>
      <c r="H1026" s="11"/>
      <c r="I1026" s="20"/>
      <c r="J1026" s="11"/>
      <c r="K1026" s="11"/>
      <c r="L1026" s="11"/>
    </row>
    <row r="1027" spans="1:12" x14ac:dyDescent="0.3">
      <c r="A1027" s="31"/>
      <c r="B1027" s="32">
        <f>IF(A1027="","",DATE(YEAR(A1027),MONTH(A1027),1))</f>
      </c>
      <c r="C1027" s="11"/>
      <c r="D1027" s="11"/>
      <c r="E1027" s="16">
        <f>IF(OR(D1027="",C1027&lt;&gt;"Chi"),"",IFERROR(INDEX('Danh mục'!$B$39:$B$78,MATCH(D1027,'Danh mục'!$A$39:$A$78,0))&amp;"","?"))</f>
      </c>
      <c r="F1027" s="16">
        <f>IF(D1027="","",IF(C1027="Thu",IFERROR(INDEX('Danh mục'!$B$26:$B$35,MATCH(D1027,'Danh mục'!$A$26:$A$35,0))&amp;"","?"),IFERROR(INDEX('Danh mục'!$D$39:$D$78,MATCH(D1027,'Danh mục'!$A$39:$A$78,0))&amp;"","?")))</f>
      </c>
      <c r="G1027" s="16">
        <f>IF(OR(D1027="",C1027&lt;&gt;"Chi"),"",IFERROR(INDEX('Danh mục'!$C$39:$C$78,MATCH(D1027,'Danh mục'!$A$39:$A$78,0))&amp;"",""))</f>
      </c>
      <c r="H1027" s="11"/>
      <c r="I1027" s="20"/>
      <c r="J1027" s="11"/>
      <c r="K1027" s="11"/>
      <c r="L1027" s="11"/>
    </row>
    <row r="1028" spans="1:12" x14ac:dyDescent="0.3">
      <c r="A1028" s="31"/>
      <c r="B1028" s="32">
        <f>IF(A1028="","",DATE(YEAR(A1028),MONTH(A1028),1))</f>
      </c>
      <c r="C1028" s="11"/>
      <c r="D1028" s="11"/>
      <c r="E1028" s="16">
        <f>IF(OR(D1028="",C1028&lt;&gt;"Chi"),"",IFERROR(INDEX('Danh mục'!$B$39:$B$78,MATCH(D1028,'Danh mục'!$A$39:$A$78,0))&amp;"","?"))</f>
      </c>
      <c r="F1028" s="16">
        <f>IF(D1028="","",IF(C1028="Thu",IFERROR(INDEX('Danh mục'!$B$26:$B$35,MATCH(D1028,'Danh mục'!$A$26:$A$35,0))&amp;"","?"),IFERROR(INDEX('Danh mục'!$D$39:$D$78,MATCH(D1028,'Danh mục'!$A$39:$A$78,0))&amp;"","?")))</f>
      </c>
      <c r="G1028" s="16">
        <f>IF(OR(D1028="",C1028&lt;&gt;"Chi"),"",IFERROR(INDEX('Danh mục'!$C$39:$C$78,MATCH(D1028,'Danh mục'!$A$39:$A$78,0))&amp;"",""))</f>
      </c>
      <c r="H1028" s="11"/>
      <c r="I1028" s="20"/>
      <c r="J1028" s="11"/>
      <c r="K1028" s="11"/>
      <c r="L1028" s="11"/>
    </row>
    <row r="1029" spans="1:12" x14ac:dyDescent="0.3">
      <c r="A1029" s="31"/>
      <c r="B1029" s="32">
        <f>IF(A1029="","",DATE(YEAR(A1029),MONTH(A1029),1))</f>
      </c>
      <c r="C1029" s="11"/>
      <c r="D1029" s="11"/>
      <c r="E1029" s="16">
        <f>IF(OR(D1029="",C1029&lt;&gt;"Chi"),"",IFERROR(INDEX('Danh mục'!$B$39:$B$78,MATCH(D1029,'Danh mục'!$A$39:$A$78,0))&amp;"","?"))</f>
      </c>
      <c r="F1029" s="16">
        <f>IF(D1029="","",IF(C1029="Thu",IFERROR(INDEX('Danh mục'!$B$26:$B$35,MATCH(D1029,'Danh mục'!$A$26:$A$35,0))&amp;"","?"),IFERROR(INDEX('Danh mục'!$D$39:$D$78,MATCH(D1029,'Danh mục'!$A$39:$A$78,0))&amp;"","?")))</f>
      </c>
      <c r="G1029" s="16">
        <f>IF(OR(D1029="",C1029&lt;&gt;"Chi"),"",IFERROR(INDEX('Danh mục'!$C$39:$C$78,MATCH(D1029,'Danh mục'!$A$39:$A$78,0))&amp;"",""))</f>
      </c>
      <c r="H1029" s="11"/>
      <c r="I1029" s="20"/>
      <c r="J1029" s="11"/>
      <c r="K1029" s="11"/>
      <c r="L1029" s="11"/>
    </row>
    <row r="1030" spans="1:12" x14ac:dyDescent="0.3">
      <c r="A1030" s="31"/>
      <c r="B1030" s="32">
        <f>IF(A1030="","",DATE(YEAR(A1030),MONTH(A1030),1))</f>
      </c>
      <c r="C1030" s="11"/>
      <c r="D1030" s="11"/>
      <c r="E1030" s="16">
        <f>IF(OR(D1030="",C1030&lt;&gt;"Chi"),"",IFERROR(INDEX('Danh mục'!$B$39:$B$78,MATCH(D1030,'Danh mục'!$A$39:$A$78,0))&amp;"","?"))</f>
      </c>
      <c r="F1030" s="16">
        <f>IF(D1030="","",IF(C1030="Thu",IFERROR(INDEX('Danh mục'!$B$26:$B$35,MATCH(D1030,'Danh mục'!$A$26:$A$35,0))&amp;"","?"),IFERROR(INDEX('Danh mục'!$D$39:$D$78,MATCH(D1030,'Danh mục'!$A$39:$A$78,0))&amp;"","?")))</f>
      </c>
      <c r="G1030" s="16">
        <f>IF(OR(D1030="",C1030&lt;&gt;"Chi"),"",IFERROR(INDEX('Danh mục'!$C$39:$C$78,MATCH(D1030,'Danh mục'!$A$39:$A$78,0))&amp;"",""))</f>
      </c>
      <c r="H1030" s="11"/>
      <c r="I1030" s="20"/>
      <c r="J1030" s="11"/>
      <c r="K1030" s="11"/>
      <c r="L1030" s="11"/>
    </row>
    <row r="1031" spans="1:12" x14ac:dyDescent="0.3">
      <c r="A1031" s="31"/>
      <c r="B1031" s="32">
        <f>IF(A1031="","",DATE(YEAR(A1031),MONTH(A1031),1))</f>
      </c>
      <c r="C1031" s="11"/>
      <c r="D1031" s="11"/>
      <c r="E1031" s="16">
        <f>IF(OR(D1031="",C1031&lt;&gt;"Chi"),"",IFERROR(INDEX('Danh mục'!$B$39:$B$78,MATCH(D1031,'Danh mục'!$A$39:$A$78,0))&amp;"","?"))</f>
      </c>
      <c r="F1031" s="16">
        <f>IF(D1031="","",IF(C1031="Thu",IFERROR(INDEX('Danh mục'!$B$26:$B$35,MATCH(D1031,'Danh mục'!$A$26:$A$35,0))&amp;"","?"),IFERROR(INDEX('Danh mục'!$D$39:$D$78,MATCH(D1031,'Danh mục'!$A$39:$A$78,0))&amp;"","?")))</f>
      </c>
      <c r="G1031" s="16">
        <f>IF(OR(D1031="",C1031&lt;&gt;"Chi"),"",IFERROR(INDEX('Danh mục'!$C$39:$C$78,MATCH(D1031,'Danh mục'!$A$39:$A$78,0))&amp;"",""))</f>
      </c>
      <c r="H1031" s="11"/>
      <c r="I1031" s="20"/>
      <c r="J1031" s="11"/>
      <c r="K1031" s="11"/>
      <c r="L1031" s="11"/>
    </row>
    <row r="1032" spans="1:12" x14ac:dyDescent="0.3">
      <c r="A1032" s="31"/>
      <c r="B1032" s="32">
        <f>IF(A1032="","",DATE(YEAR(A1032),MONTH(A1032),1))</f>
      </c>
      <c r="C1032" s="11"/>
      <c r="D1032" s="11"/>
      <c r="E1032" s="16">
        <f>IF(OR(D1032="",C1032&lt;&gt;"Chi"),"",IFERROR(INDEX('Danh mục'!$B$39:$B$78,MATCH(D1032,'Danh mục'!$A$39:$A$78,0))&amp;"","?"))</f>
      </c>
      <c r="F1032" s="16">
        <f>IF(D1032="","",IF(C1032="Thu",IFERROR(INDEX('Danh mục'!$B$26:$B$35,MATCH(D1032,'Danh mục'!$A$26:$A$35,0))&amp;"","?"),IFERROR(INDEX('Danh mục'!$D$39:$D$78,MATCH(D1032,'Danh mục'!$A$39:$A$78,0))&amp;"","?")))</f>
      </c>
      <c r="G1032" s="16">
        <f>IF(OR(D1032="",C1032&lt;&gt;"Chi"),"",IFERROR(INDEX('Danh mục'!$C$39:$C$78,MATCH(D1032,'Danh mục'!$A$39:$A$78,0))&amp;"",""))</f>
      </c>
      <c r="H1032" s="11"/>
      <c r="I1032" s="20"/>
      <c r="J1032" s="11"/>
      <c r="K1032" s="11"/>
      <c r="L1032" s="11"/>
    </row>
    <row r="1033" spans="1:12" x14ac:dyDescent="0.3">
      <c r="A1033" s="31"/>
      <c r="B1033" s="32">
        <f>IF(A1033="","",DATE(YEAR(A1033),MONTH(A1033),1))</f>
      </c>
      <c r="C1033" s="11"/>
      <c r="D1033" s="11"/>
      <c r="E1033" s="16">
        <f>IF(OR(D1033="",C1033&lt;&gt;"Chi"),"",IFERROR(INDEX('Danh mục'!$B$39:$B$78,MATCH(D1033,'Danh mục'!$A$39:$A$78,0))&amp;"","?"))</f>
      </c>
      <c r="F1033" s="16">
        <f>IF(D1033="","",IF(C1033="Thu",IFERROR(INDEX('Danh mục'!$B$26:$B$35,MATCH(D1033,'Danh mục'!$A$26:$A$35,0))&amp;"","?"),IFERROR(INDEX('Danh mục'!$D$39:$D$78,MATCH(D1033,'Danh mục'!$A$39:$A$78,0))&amp;"","?")))</f>
      </c>
      <c r="G1033" s="16">
        <f>IF(OR(D1033="",C1033&lt;&gt;"Chi"),"",IFERROR(INDEX('Danh mục'!$C$39:$C$78,MATCH(D1033,'Danh mục'!$A$39:$A$78,0))&amp;"",""))</f>
      </c>
      <c r="H1033" s="11"/>
      <c r="I1033" s="20"/>
      <c r="J1033" s="11"/>
      <c r="K1033" s="11"/>
      <c r="L1033" s="11"/>
    </row>
    <row r="1034" spans="1:12" x14ac:dyDescent="0.3">
      <c r="A1034" s="31"/>
      <c r="B1034" s="32">
        <f>IF(A1034="","",DATE(YEAR(A1034),MONTH(A1034),1))</f>
      </c>
      <c r="C1034" s="11"/>
      <c r="D1034" s="11"/>
      <c r="E1034" s="16">
        <f>IF(OR(D1034="",C1034&lt;&gt;"Chi"),"",IFERROR(INDEX('Danh mục'!$B$39:$B$78,MATCH(D1034,'Danh mục'!$A$39:$A$78,0))&amp;"","?"))</f>
      </c>
      <c r="F1034" s="16">
        <f>IF(D1034="","",IF(C1034="Thu",IFERROR(INDEX('Danh mục'!$B$26:$B$35,MATCH(D1034,'Danh mục'!$A$26:$A$35,0))&amp;"","?"),IFERROR(INDEX('Danh mục'!$D$39:$D$78,MATCH(D1034,'Danh mục'!$A$39:$A$78,0))&amp;"","?")))</f>
      </c>
      <c r="G1034" s="16">
        <f>IF(OR(D1034="",C1034&lt;&gt;"Chi"),"",IFERROR(INDEX('Danh mục'!$C$39:$C$78,MATCH(D1034,'Danh mục'!$A$39:$A$78,0))&amp;"",""))</f>
      </c>
      <c r="H1034" s="11"/>
      <c r="I1034" s="20"/>
      <c r="J1034" s="11"/>
      <c r="K1034" s="11"/>
      <c r="L1034" s="11"/>
    </row>
    <row r="1035" spans="1:12" x14ac:dyDescent="0.3">
      <c r="A1035" s="31"/>
      <c r="B1035" s="32">
        <f>IF(A1035="","",DATE(YEAR(A1035),MONTH(A1035),1))</f>
      </c>
      <c r="C1035" s="11"/>
      <c r="D1035" s="11"/>
      <c r="E1035" s="16">
        <f>IF(OR(D1035="",C1035&lt;&gt;"Chi"),"",IFERROR(INDEX('Danh mục'!$B$39:$B$78,MATCH(D1035,'Danh mục'!$A$39:$A$78,0))&amp;"","?"))</f>
      </c>
      <c r="F1035" s="16">
        <f>IF(D1035="","",IF(C1035="Thu",IFERROR(INDEX('Danh mục'!$B$26:$B$35,MATCH(D1035,'Danh mục'!$A$26:$A$35,0))&amp;"","?"),IFERROR(INDEX('Danh mục'!$D$39:$D$78,MATCH(D1035,'Danh mục'!$A$39:$A$78,0))&amp;"","?")))</f>
      </c>
      <c r="G1035" s="16">
        <f>IF(OR(D1035="",C1035&lt;&gt;"Chi"),"",IFERROR(INDEX('Danh mục'!$C$39:$C$78,MATCH(D1035,'Danh mục'!$A$39:$A$78,0))&amp;"",""))</f>
      </c>
      <c r="H1035" s="11"/>
      <c r="I1035" s="20"/>
      <c r="J1035" s="11"/>
      <c r="K1035" s="11"/>
      <c r="L1035" s="11"/>
    </row>
    <row r="1036" spans="1:12" x14ac:dyDescent="0.3">
      <c r="A1036" s="31"/>
      <c r="B1036" s="32">
        <f>IF(A1036="","",DATE(YEAR(A1036),MONTH(A1036),1))</f>
      </c>
      <c r="C1036" s="11"/>
      <c r="D1036" s="11"/>
      <c r="E1036" s="16">
        <f>IF(OR(D1036="",C1036&lt;&gt;"Chi"),"",IFERROR(INDEX('Danh mục'!$B$39:$B$78,MATCH(D1036,'Danh mục'!$A$39:$A$78,0))&amp;"","?"))</f>
      </c>
      <c r="F1036" s="16">
        <f>IF(D1036="","",IF(C1036="Thu",IFERROR(INDEX('Danh mục'!$B$26:$B$35,MATCH(D1036,'Danh mục'!$A$26:$A$35,0))&amp;"","?"),IFERROR(INDEX('Danh mục'!$D$39:$D$78,MATCH(D1036,'Danh mục'!$A$39:$A$78,0))&amp;"","?")))</f>
      </c>
      <c r="G1036" s="16">
        <f>IF(OR(D1036="",C1036&lt;&gt;"Chi"),"",IFERROR(INDEX('Danh mục'!$C$39:$C$78,MATCH(D1036,'Danh mục'!$A$39:$A$78,0))&amp;"",""))</f>
      </c>
      <c r="H1036" s="11"/>
      <c r="I1036" s="20"/>
      <c r="J1036" s="11"/>
      <c r="K1036" s="11"/>
      <c r="L1036" s="11"/>
    </row>
    <row r="1037" spans="1:12" x14ac:dyDescent="0.3">
      <c r="A1037" s="31"/>
      <c r="B1037" s="32">
        <f>IF(A1037="","",DATE(YEAR(A1037),MONTH(A1037),1))</f>
      </c>
      <c r="C1037" s="11"/>
      <c r="D1037" s="11"/>
      <c r="E1037" s="16">
        <f>IF(OR(D1037="",C1037&lt;&gt;"Chi"),"",IFERROR(INDEX('Danh mục'!$B$39:$B$78,MATCH(D1037,'Danh mục'!$A$39:$A$78,0))&amp;"","?"))</f>
      </c>
      <c r="F1037" s="16">
        <f>IF(D1037="","",IF(C1037="Thu",IFERROR(INDEX('Danh mục'!$B$26:$B$35,MATCH(D1037,'Danh mục'!$A$26:$A$35,0))&amp;"","?"),IFERROR(INDEX('Danh mục'!$D$39:$D$78,MATCH(D1037,'Danh mục'!$A$39:$A$78,0))&amp;"","?")))</f>
      </c>
      <c r="G1037" s="16">
        <f>IF(OR(D1037="",C1037&lt;&gt;"Chi"),"",IFERROR(INDEX('Danh mục'!$C$39:$C$78,MATCH(D1037,'Danh mục'!$A$39:$A$78,0))&amp;"",""))</f>
      </c>
      <c r="H1037" s="11"/>
      <c r="I1037" s="20"/>
      <c r="J1037" s="11"/>
      <c r="K1037" s="11"/>
      <c r="L1037" s="11"/>
    </row>
    <row r="1038" spans="1:12" x14ac:dyDescent="0.3">
      <c r="A1038" s="31"/>
      <c r="B1038" s="32">
        <f>IF(A1038="","",DATE(YEAR(A1038),MONTH(A1038),1))</f>
      </c>
      <c r="C1038" s="11"/>
      <c r="D1038" s="11"/>
      <c r="E1038" s="16">
        <f>IF(OR(D1038="",C1038&lt;&gt;"Chi"),"",IFERROR(INDEX('Danh mục'!$B$39:$B$78,MATCH(D1038,'Danh mục'!$A$39:$A$78,0))&amp;"","?"))</f>
      </c>
      <c r="F1038" s="16">
        <f>IF(D1038="","",IF(C1038="Thu",IFERROR(INDEX('Danh mục'!$B$26:$B$35,MATCH(D1038,'Danh mục'!$A$26:$A$35,0))&amp;"","?"),IFERROR(INDEX('Danh mục'!$D$39:$D$78,MATCH(D1038,'Danh mục'!$A$39:$A$78,0))&amp;"","?")))</f>
      </c>
      <c r="G1038" s="16">
        <f>IF(OR(D1038="",C1038&lt;&gt;"Chi"),"",IFERROR(INDEX('Danh mục'!$C$39:$C$78,MATCH(D1038,'Danh mục'!$A$39:$A$78,0))&amp;"",""))</f>
      </c>
      <c r="H1038" s="11"/>
      <c r="I1038" s="20"/>
      <c r="J1038" s="11"/>
      <c r="K1038" s="11"/>
      <c r="L1038" s="11"/>
    </row>
    <row r="1039" spans="1:12" x14ac:dyDescent="0.3">
      <c r="A1039" s="31"/>
      <c r="B1039" s="32">
        <f>IF(A1039="","",DATE(YEAR(A1039),MONTH(A1039),1))</f>
      </c>
      <c r="C1039" s="11"/>
      <c r="D1039" s="11"/>
      <c r="E1039" s="16">
        <f>IF(OR(D1039="",C1039&lt;&gt;"Chi"),"",IFERROR(INDEX('Danh mục'!$B$39:$B$78,MATCH(D1039,'Danh mục'!$A$39:$A$78,0))&amp;"","?"))</f>
      </c>
      <c r="F1039" s="16">
        <f>IF(D1039="","",IF(C1039="Thu",IFERROR(INDEX('Danh mục'!$B$26:$B$35,MATCH(D1039,'Danh mục'!$A$26:$A$35,0))&amp;"","?"),IFERROR(INDEX('Danh mục'!$D$39:$D$78,MATCH(D1039,'Danh mục'!$A$39:$A$78,0))&amp;"","?")))</f>
      </c>
      <c r="G1039" s="16">
        <f>IF(OR(D1039="",C1039&lt;&gt;"Chi"),"",IFERROR(INDEX('Danh mục'!$C$39:$C$78,MATCH(D1039,'Danh mục'!$A$39:$A$78,0))&amp;"",""))</f>
      </c>
      <c r="H1039" s="11"/>
      <c r="I1039" s="20"/>
      <c r="J1039" s="11"/>
      <c r="K1039" s="11"/>
      <c r="L1039" s="11"/>
    </row>
    <row r="1040" spans="1:12" x14ac:dyDescent="0.3">
      <c r="A1040" s="31"/>
      <c r="B1040" s="32">
        <f>IF(A1040="","",DATE(YEAR(A1040),MONTH(A1040),1))</f>
      </c>
      <c r="C1040" s="11"/>
      <c r="D1040" s="11"/>
      <c r="E1040" s="16">
        <f>IF(OR(D1040="",C1040&lt;&gt;"Chi"),"",IFERROR(INDEX('Danh mục'!$B$39:$B$78,MATCH(D1040,'Danh mục'!$A$39:$A$78,0))&amp;"","?"))</f>
      </c>
      <c r="F1040" s="16">
        <f>IF(D1040="","",IF(C1040="Thu",IFERROR(INDEX('Danh mục'!$B$26:$B$35,MATCH(D1040,'Danh mục'!$A$26:$A$35,0))&amp;"","?"),IFERROR(INDEX('Danh mục'!$D$39:$D$78,MATCH(D1040,'Danh mục'!$A$39:$A$78,0))&amp;"","?")))</f>
      </c>
      <c r="G1040" s="16">
        <f>IF(OR(D1040="",C1040&lt;&gt;"Chi"),"",IFERROR(INDEX('Danh mục'!$C$39:$C$78,MATCH(D1040,'Danh mục'!$A$39:$A$78,0))&amp;"",""))</f>
      </c>
      <c r="H1040" s="11"/>
      <c r="I1040" s="20"/>
      <c r="J1040" s="11"/>
      <c r="K1040" s="11"/>
      <c r="L1040" s="11"/>
    </row>
    <row r="1041" spans="1:12" x14ac:dyDescent="0.3">
      <c r="A1041" s="31"/>
      <c r="B1041" s="32">
        <f>IF(A1041="","",DATE(YEAR(A1041),MONTH(A1041),1))</f>
      </c>
      <c r="C1041" s="11"/>
      <c r="D1041" s="11"/>
      <c r="E1041" s="16">
        <f>IF(OR(D1041="",C1041&lt;&gt;"Chi"),"",IFERROR(INDEX('Danh mục'!$B$39:$B$78,MATCH(D1041,'Danh mục'!$A$39:$A$78,0))&amp;"","?"))</f>
      </c>
      <c r="F1041" s="16">
        <f>IF(D1041="","",IF(C1041="Thu",IFERROR(INDEX('Danh mục'!$B$26:$B$35,MATCH(D1041,'Danh mục'!$A$26:$A$35,0))&amp;"","?"),IFERROR(INDEX('Danh mục'!$D$39:$D$78,MATCH(D1041,'Danh mục'!$A$39:$A$78,0))&amp;"","?")))</f>
      </c>
      <c r="G1041" s="16">
        <f>IF(OR(D1041="",C1041&lt;&gt;"Chi"),"",IFERROR(INDEX('Danh mục'!$C$39:$C$78,MATCH(D1041,'Danh mục'!$A$39:$A$78,0))&amp;"",""))</f>
      </c>
      <c r="H1041" s="11"/>
      <c r="I1041" s="20"/>
      <c r="J1041" s="11"/>
      <c r="K1041" s="11"/>
      <c r="L1041" s="11"/>
    </row>
    <row r="1042" spans="1:12" x14ac:dyDescent="0.3">
      <c r="A1042" s="31"/>
      <c r="B1042" s="32">
        <f>IF(A1042="","",DATE(YEAR(A1042),MONTH(A1042),1))</f>
      </c>
      <c r="C1042" s="11"/>
      <c r="D1042" s="11"/>
      <c r="E1042" s="16">
        <f>IF(OR(D1042="",C1042&lt;&gt;"Chi"),"",IFERROR(INDEX('Danh mục'!$B$39:$B$78,MATCH(D1042,'Danh mục'!$A$39:$A$78,0))&amp;"","?"))</f>
      </c>
      <c r="F1042" s="16">
        <f>IF(D1042="","",IF(C1042="Thu",IFERROR(INDEX('Danh mục'!$B$26:$B$35,MATCH(D1042,'Danh mục'!$A$26:$A$35,0))&amp;"","?"),IFERROR(INDEX('Danh mục'!$D$39:$D$78,MATCH(D1042,'Danh mục'!$A$39:$A$78,0))&amp;"","?")))</f>
      </c>
      <c r="G1042" s="16">
        <f>IF(OR(D1042="",C1042&lt;&gt;"Chi"),"",IFERROR(INDEX('Danh mục'!$C$39:$C$78,MATCH(D1042,'Danh mục'!$A$39:$A$78,0))&amp;"",""))</f>
      </c>
      <c r="H1042" s="11"/>
      <c r="I1042" s="20"/>
      <c r="J1042" s="11"/>
      <c r="K1042" s="11"/>
      <c r="L1042" s="11"/>
    </row>
    <row r="1043" spans="1:12" x14ac:dyDescent="0.3">
      <c r="A1043" s="31"/>
      <c r="B1043" s="32">
        <f>IF(A1043="","",DATE(YEAR(A1043),MONTH(A1043),1))</f>
      </c>
      <c r="C1043" s="11"/>
      <c r="D1043" s="11"/>
      <c r="E1043" s="16">
        <f>IF(OR(D1043="",C1043&lt;&gt;"Chi"),"",IFERROR(INDEX('Danh mục'!$B$39:$B$78,MATCH(D1043,'Danh mục'!$A$39:$A$78,0))&amp;"","?"))</f>
      </c>
      <c r="F1043" s="16">
        <f>IF(D1043="","",IF(C1043="Thu",IFERROR(INDEX('Danh mục'!$B$26:$B$35,MATCH(D1043,'Danh mục'!$A$26:$A$35,0))&amp;"","?"),IFERROR(INDEX('Danh mục'!$D$39:$D$78,MATCH(D1043,'Danh mục'!$A$39:$A$78,0))&amp;"","?")))</f>
      </c>
      <c r="G1043" s="16">
        <f>IF(OR(D1043="",C1043&lt;&gt;"Chi"),"",IFERROR(INDEX('Danh mục'!$C$39:$C$78,MATCH(D1043,'Danh mục'!$A$39:$A$78,0))&amp;"",""))</f>
      </c>
      <c r="H1043" s="11"/>
      <c r="I1043" s="20"/>
      <c r="J1043" s="11"/>
      <c r="K1043" s="11"/>
      <c r="L1043" s="11"/>
    </row>
    <row r="1044" spans="1:12" x14ac:dyDescent="0.3">
      <c r="A1044" s="31"/>
      <c r="B1044" s="32">
        <f>IF(A1044="","",DATE(YEAR(A1044),MONTH(A1044),1))</f>
      </c>
      <c r="C1044" s="11"/>
      <c r="D1044" s="11"/>
      <c r="E1044" s="16">
        <f>IF(OR(D1044="",C1044&lt;&gt;"Chi"),"",IFERROR(INDEX('Danh mục'!$B$39:$B$78,MATCH(D1044,'Danh mục'!$A$39:$A$78,0))&amp;"","?"))</f>
      </c>
      <c r="F1044" s="16">
        <f>IF(D1044="","",IF(C1044="Thu",IFERROR(INDEX('Danh mục'!$B$26:$B$35,MATCH(D1044,'Danh mục'!$A$26:$A$35,0))&amp;"","?"),IFERROR(INDEX('Danh mục'!$D$39:$D$78,MATCH(D1044,'Danh mục'!$A$39:$A$78,0))&amp;"","?")))</f>
      </c>
      <c r="G1044" s="16">
        <f>IF(OR(D1044="",C1044&lt;&gt;"Chi"),"",IFERROR(INDEX('Danh mục'!$C$39:$C$78,MATCH(D1044,'Danh mục'!$A$39:$A$78,0))&amp;"",""))</f>
      </c>
      <c r="H1044" s="11"/>
      <c r="I1044" s="20"/>
      <c r="J1044" s="11"/>
      <c r="K1044" s="11"/>
      <c r="L1044" s="11"/>
    </row>
    <row r="1045" spans="1:12" x14ac:dyDescent="0.3">
      <c r="A1045" s="31"/>
      <c r="B1045" s="32">
        <f>IF(A1045="","",DATE(YEAR(A1045),MONTH(A1045),1))</f>
      </c>
      <c r="C1045" s="11"/>
      <c r="D1045" s="11"/>
      <c r="E1045" s="16">
        <f>IF(OR(D1045="",C1045&lt;&gt;"Chi"),"",IFERROR(INDEX('Danh mục'!$B$39:$B$78,MATCH(D1045,'Danh mục'!$A$39:$A$78,0))&amp;"","?"))</f>
      </c>
      <c r="F1045" s="16">
        <f>IF(D1045="","",IF(C1045="Thu",IFERROR(INDEX('Danh mục'!$B$26:$B$35,MATCH(D1045,'Danh mục'!$A$26:$A$35,0))&amp;"","?"),IFERROR(INDEX('Danh mục'!$D$39:$D$78,MATCH(D1045,'Danh mục'!$A$39:$A$78,0))&amp;"","?")))</f>
      </c>
      <c r="G1045" s="16">
        <f>IF(OR(D1045="",C1045&lt;&gt;"Chi"),"",IFERROR(INDEX('Danh mục'!$C$39:$C$78,MATCH(D1045,'Danh mục'!$A$39:$A$78,0))&amp;"",""))</f>
      </c>
      <c r="H1045" s="11"/>
      <c r="I1045" s="20"/>
      <c r="J1045" s="11"/>
      <c r="K1045" s="11"/>
      <c r="L1045" s="11"/>
    </row>
    <row r="1046" spans="1:12" x14ac:dyDescent="0.3">
      <c r="A1046" s="31"/>
      <c r="B1046" s="32">
        <f>IF(A1046="","",DATE(YEAR(A1046),MONTH(A1046),1))</f>
      </c>
      <c r="C1046" s="11"/>
      <c r="D1046" s="11"/>
      <c r="E1046" s="16">
        <f>IF(OR(D1046="",C1046&lt;&gt;"Chi"),"",IFERROR(INDEX('Danh mục'!$B$39:$B$78,MATCH(D1046,'Danh mục'!$A$39:$A$78,0))&amp;"","?"))</f>
      </c>
      <c r="F1046" s="16">
        <f>IF(D1046="","",IF(C1046="Thu",IFERROR(INDEX('Danh mục'!$B$26:$B$35,MATCH(D1046,'Danh mục'!$A$26:$A$35,0))&amp;"","?"),IFERROR(INDEX('Danh mục'!$D$39:$D$78,MATCH(D1046,'Danh mục'!$A$39:$A$78,0))&amp;"","?")))</f>
      </c>
      <c r="G1046" s="16">
        <f>IF(OR(D1046="",C1046&lt;&gt;"Chi"),"",IFERROR(INDEX('Danh mục'!$C$39:$C$78,MATCH(D1046,'Danh mục'!$A$39:$A$78,0))&amp;"",""))</f>
      </c>
      <c r="H1046" s="11"/>
      <c r="I1046" s="20"/>
      <c r="J1046" s="11"/>
      <c r="K1046" s="11"/>
      <c r="L1046" s="11"/>
    </row>
    <row r="1047" spans="1:12" x14ac:dyDescent="0.3">
      <c r="A1047" s="31"/>
      <c r="B1047" s="32">
        <f>IF(A1047="","",DATE(YEAR(A1047),MONTH(A1047),1))</f>
      </c>
      <c r="C1047" s="11"/>
      <c r="D1047" s="11"/>
      <c r="E1047" s="16">
        <f>IF(OR(D1047="",C1047&lt;&gt;"Chi"),"",IFERROR(INDEX('Danh mục'!$B$39:$B$78,MATCH(D1047,'Danh mục'!$A$39:$A$78,0))&amp;"","?"))</f>
      </c>
      <c r="F1047" s="16">
        <f>IF(D1047="","",IF(C1047="Thu",IFERROR(INDEX('Danh mục'!$B$26:$B$35,MATCH(D1047,'Danh mục'!$A$26:$A$35,0))&amp;"","?"),IFERROR(INDEX('Danh mục'!$D$39:$D$78,MATCH(D1047,'Danh mục'!$A$39:$A$78,0))&amp;"","?")))</f>
      </c>
      <c r="G1047" s="16">
        <f>IF(OR(D1047="",C1047&lt;&gt;"Chi"),"",IFERROR(INDEX('Danh mục'!$C$39:$C$78,MATCH(D1047,'Danh mục'!$A$39:$A$78,0))&amp;"",""))</f>
      </c>
      <c r="H1047" s="11"/>
      <c r="I1047" s="20"/>
      <c r="J1047" s="11"/>
      <c r="K1047" s="11"/>
      <c r="L1047" s="11"/>
    </row>
    <row r="1048" spans="1:12" x14ac:dyDescent="0.3">
      <c r="A1048" s="31"/>
      <c r="B1048" s="32">
        <f>IF(A1048="","",DATE(YEAR(A1048),MONTH(A1048),1))</f>
      </c>
      <c r="C1048" s="11"/>
      <c r="D1048" s="11"/>
      <c r="E1048" s="16">
        <f>IF(OR(D1048="",C1048&lt;&gt;"Chi"),"",IFERROR(INDEX('Danh mục'!$B$39:$B$78,MATCH(D1048,'Danh mục'!$A$39:$A$78,0))&amp;"","?"))</f>
      </c>
      <c r="F1048" s="16">
        <f>IF(D1048="","",IF(C1048="Thu",IFERROR(INDEX('Danh mục'!$B$26:$B$35,MATCH(D1048,'Danh mục'!$A$26:$A$35,0))&amp;"","?"),IFERROR(INDEX('Danh mục'!$D$39:$D$78,MATCH(D1048,'Danh mục'!$A$39:$A$78,0))&amp;"","?")))</f>
      </c>
      <c r="G1048" s="16">
        <f>IF(OR(D1048="",C1048&lt;&gt;"Chi"),"",IFERROR(INDEX('Danh mục'!$C$39:$C$78,MATCH(D1048,'Danh mục'!$A$39:$A$78,0))&amp;"",""))</f>
      </c>
      <c r="H1048" s="11"/>
      <c r="I1048" s="20"/>
      <c r="J1048" s="11"/>
      <c r="K1048" s="11"/>
      <c r="L1048" s="11"/>
    </row>
    <row r="1049" spans="1:12" x14ac:dyDescent="0.3">
      <c r="A1049" s="31"/>
      <c r="B1049" s="32">
        <f>IF(A1049="","",DATE(YEAR(A1049),MONTH(A1049),1))</f>
      </c>
      <c r="C1049" s="11"/>
      <c r="D1049" s="11"/>
      <c r="E1049" s="16">
        <f>IF(OR(D1049="",C1049&lt;&gt;"Chi"),"",IFERROR(INDEX('Danh mục'!$B$39:$B$78,MATCH(D1049,'Danh mục'!$A$39:$A$78,0))&amp;"","?"))</f>
      </c>
      <c r="F1049" s="16">
        <f>IF(D1049="","",IF(C1049="Thu",IFERROR(INDEX('Danh mục'!$B$26:$B$35,MATCH(D1049,'Danh mục'!$A$26:$A$35,0))&amp;"","?"),IFERROR(INDEX('Danh mục'!$D$39:$D$78,MATCH(D1049,'Danh mục'!$A$39:$A$78,0))&amp;"","?")))</f>
      </c>
      <c r="G1049" s="16">
        <f>IF(OR(D1049="",C1049&lt;&gt;"Chi"),"",IFERROR(INDEX('Danh mục'!$C$39:$C$78,MATCH(D1049,'Danh mục'!$A$39:$A$78,0))&amp;"",""))</f>
      </c>
      <c r="H1049" s="11"/>
      <c r="I1049" s="20"/>
      <c r="J1049" s="11"/>
      <c r="K1049" s="11"/>
      <c r="L1049" s="11"/>
    </row>
    <row r="1050" spans="1:12" x14ac:dyDescent="0.3">
      <c r="A1050" s="31"/>
      <c r="B1050" s="32">
        <f>IF(A1050="","",DATE(YEAR(A1050),MONTH(A1050),1))</f>
      </c>
      <c r="C1050" s="11"/>
      <c r="D1050" s="11"/>
      <c r="E1050" s="16">
        <f>IF(OR(D1050="",C1050&lt;&gt;"Chi"),"",IFERROR(INDEX('Danh mục'!$B$39:$B$78,MATCH(D1050,'Danh mục'!$A$39:$A$78,0))&amp;"","?"))</f>
      </c>
      <c r="F1050" s="16">
        <f>IF(D1050="","",IF(C1050="Thu",IFERROR(INDEX('Danh mục'!$B$26:$B$35,MATCH(D1050,'Danh mục'!$A$26:$A$35,0))&amp;"","?"),IFERROR(INDEX('Danh mục'!$D$39:$D$78,MATCH(D1050,'Danh mục'!$A$39:$A$78,0))&amp;"","?")))</f>
      </c>
      <c r="G1050" s="16">
        <f>IF(OR(D1050="",C1050&lt;&gt;"Chi"),"",IFERROR(INDEX('Danh mục'!$C$39:$C$78,MATCH(D1050,'Danh mục'!$A$39:$A$78,0))&amp;"",""))</f>
      </c>
      <c r="H1050" s="11"/>
      <c r="I1050" s="20"/>
      <c r="J1050" s="11"/>
      <c r="K1050" s="11"/>
      <c r="L1050" s="11"/>
    </row>
    <row r="1051" spans="1:12" x14ac:dyDescent="0.3">
      <c r="A1051" s="31"/>
      <c r="B1051" s="32">
        <f>IF(A1051="","",DATE(YEAR(A1051),MONTH(A1051),1))</f>
      </c>
      <c r="C1051" s="11"/>
      <c r="D1051" s="11"/>
      <c r="E1051" s="16">
        <f>IF(OR(D1051="",C1051&lt;&gt;"Chi"),"",IFERROR(INDEX('Danh mục'!$B$39:$B$78,MATCH(D1051,'Danh mục'!$A$39:$A$78,0))&amp;"","?"))</f>
      </c>
      <c r="F1051" s="16">
        <f>IF(D1051="","",IF(C1051="Thu",IFERROR(INDEX('Danh mục'!$B$26:$B$35,MATCH(D1051,'Danh mục'!$A$26:$A$35,0))&amp;"","?"),IFERROR(INDEX('Danh mục'!$D$39:$D$78,MATCH(D1051,'Danh mục'!$A$39:$A$78,0))&amp;"","?")))</f>
      </c>
      <c r="G1051" s="16">
        <f>IF(OR(D1051="",C1051&lt;&gt;"Chi"),"",IFERROR(INDEX('Danh mục'!$C$39:$C$78,MATCH(D1051,'Danh mục'!$A$39:$A$78,0))&amp;"",""))</f>
      </c>
      <c r="H1051" s="11"/>
      <c r="I1051" s="20"/>
      <c r="J1051" s="11"/>
      <c r="K1051" s="11"/>
      <c r="L1051" s="11"/>
    </row>
    <row r="1052" spans="1:12" x14ac:dyDescent="0.3">
      <c r="A1052" s="31"/>
      <c r="B1052" s="32">
        <f>IF(A1052="","",DATE(YEAR(A1052),MONTH(A1052),1))</f>
      </c>
      <c r="C1052" s="11"/>
      <c r="D1052" s="11"/>
      <c r="E1052" s="16">
        <f>IF(OR(D1052="",C1052&lt;&gt;"Chi"),"",IFERROR(INDEX('Danh mục'!$B$39:$B$78,MATCH(D1052,'Danh mục'!$A$39:$A$78,0))&amp;"","?"))</f>
      </c>
      <c r="F1052" s="16">
        <f>IF(D1052="","",IF(C1052="Thu",IFERROR(INDEX('Danh mục'!$B$26:$B$35,MATCH(D1052,'Danh mục'!$A$26:$A$35,0))&amp;"","?"),IFERROR(INDEX('Danh mục'!$D$39:$D$78,MATCH(D1052,'Danh mục'!$A$39:$A$78,0))&amp;"","?")))</f>
      </c>
      <c r="G1052" s="16">
        <f>IF(OR(D1052="",C1052&lt;&gt;"Chi"),"",IFERROR(INDEX('Danh mục'!$C$39:$C$78,MATCH(D1052,'Danh mục'!$A$39:$A$78,0))&amp;"",""))</f>
      </c>
      <c r="H1052" s="11"/>
      <c r="I1052" s="20"/>
      <c r="J1052" s="11"/>
      <c r="K1052" s="11"/>
      <c r="L1052" s="11"/>
    </row>
    <row r="1053" spans="1:12" x14ac:dyDescent="0.3">
      <c r="A1053" s="31"/>
      <c r="B1053" s="32">
        <f>IF(A1053="","",DATE(YEAR(A1053),MONTH(A1053),1))</f>
      </c>
      <c r="C1053" s="11"/>
      <c r="D1053" s="11"/>
      <c r="E1053" s="16">
        <f>IF(OR(D1053="",C1053&lt;&gt;"Chi"),"",IFERROR(INDEX('Danh mục'!$B$39:$B$78,MATCH(D1053,'Danh mục'!$A$39:$A$78,0))&amp;"","?"))</f>
      </c>
      <c r="F1053" s="16">
        <f>IF(D1053="","",IF(C1053="Thu",IFERROR(INDEX('Danh mục'!$B$26:$B$35,MATCH(D1053,'Danh mục'!$A$26:$A$35,0))&amp;"","?"),IFERROR(INDEX('Danh mục'!$D$39:$D$78,MATCH(D1053,'Danh mục'!$A$39:$A$78,0))&amp;"","?")))</f>
      </c>
      <c r="G1053" s="16">
        <f>IF(OR(D1053="",C1053&lt;&gt;"Chi"),"",IFERROR(INDEX('Danh mục'!$C$39:$C$78,MATCH(D1053,'Danh mục'!$A$39:$A$78,0))&amp;"",""))</f>
      </c>
      <c r="H1053" s="11"/>
      <c r="I1053" s="20"/>
      <c r="J1053" s="11"/>
      <c r="K1053" s="11"/>
      <c r="L1053" s="11"/>
    </row>
    <row r="1054" spans="1:12" x14ac:dyDescent="0.3">
      <c r="A1054" s="31"/>
      <c r="B1054" s="32">
        <f>IF(A1054="","",DATE(YEAR(A1054),MONTH(A1054),1))</f>
      </c>
      <c r="C1054" s="11"/>
      <c r="D1054" s="11"/>
      <c r="E1054" s="16">
        <f>IF(OR(D1054="",C1054&lt;&gt;"Chi"),"",IFERROR(INDEX('Danh mục'!$B$39:$B$78,MATCH(D1054,'Danh mục'!$A$39:$A$78,0))&amp;"","?"))</f>
      </c>
      <c r="F1054" s="16">
        <f>IF(D1054="","",IF(C1054="Thu",IFERROR(INDEX('Danh mục'!$B$26:$B$35,MATCH(D1054,'Danh mục'!$A$26:$A$35,0))&amp;"","?"),IFERROR(INDEX('Danh mục'!$D$39:$D$78,MATCH(D1054,'Danh mục'!$A$39:$A$78,0))&amp;"","?")))</f>
      </c>
      <c r="G1054" s="16">
        <f>IF(OR(D1054="",C1054&lt;&gt;"Chi"),"",IFERROR(INDEX('Danh mục'!$C$39:$C$78,MATCH(D1054,'Danh mục'!$A$39:$A$78,0))&amp;"",""))</f>
      </c>
      <c r="H1054" s="11"/>
      <c r="I1054" s="20"/>
      <c r="J1054" s="11"/>
      <c r="K1054" s="11"/>
      <c r="L1054" s="11"/>
    </row>
    <row r="1055" spans="1:12" x14ac:dyDescent="0.3">
      <c r="A1055" s="31"/>
      <c r="B1055" s="32">
        <f>IF(A1055="","",DATE(YEAR(A1055),MONTH(A1055),1))</f>
      </c>
      <c r="C1055" s="11"/>
      <c r="D1055" s="11"/>
      <c r="E1055" s="16">
        <f>IF(OR(D1055="",C1055&lt;&gt;"Chi"),"",IFERROR(INDEX('Danh mục'!$B$39:$B$78,MATCH(D1055,'Danh mục'!$A$39:$A$78,0))&amp;"","?"))</f>
      </c>
      <c r="F1055" s="16">
        <f>IF(D1055="","",IF(C1055="Thu",IFERROR(INDEX('Danh mục'!$B$26:$B$35,MATCH(D1055,'Danh mục'!$A$26:$A$35,0))&amp;"","?"),IFERROR(INDEX('Danh mục'!$D$39:$D$78,MATCH(D1055,'Danh mục'!$A$39:$A$78,0))&amp;"","?")))</f>
      </c>
      <c r="G1055" s="16">
        <f>IF(OR(D1055="",C1055&lt;&gt;"Chi"),"",IFERROR(INDEX('Danh mục'!$C$39:$C$78,MATCH(D1055,'Danh mục'!$A$39:$A$78,0))&amp;"",""))</f>
      </c>
      <c r="H1055" s="11"/>
      <c r="I1055" s="20"/>
      <c r="J1055" s="11"/>
      <c r="K1055" s="11"/>
      <c r="L1055" s="11"/>
    </row>
    <row r="1056" spans="1:12" x14ac:dyDescent="0.3">
      <c r="A1056" s="31"/>
      <c r="B1056" s="32">
        <f>IF(A1056="","",DATE(YEAR(A1056),MONTH(A1056),1))</f>
      </c>
      <c r="C1056" s="11"/>
      <c r="D1056" s="11"/>
      <c r="E1056" s="16">
        <f>IF(OR(D1056="",C1056&lt;&gt;"Chi"),"",IFERROR(INDEX('Danh mục'!$B$39:$B$78,MATCH(D1056,'Danh mục'!$A$39:$A$78,0))&amp;"","?"))</f>
      </c>
      <c r="F1056" s="16">
        <f>IF(D1056="","",IF(C1056="Thu",IFERROR(INDEX('Danh mục'!$B$26:$B$35,MATCH(D1056,'Danh mục'!$A$26:$A$35,0))&amp;"","?"),IFERROR(INDEX('Danh mục'!$D$39:$D$78,MATCH(D1056,'Danh mục'!$A$39:$A$78,0))&amp;"","?")))</f>
      </c>
      <c r="G1056" s="16">
        <f>IF(OR(D1056="",C1056&lt;&gt;"Chi"),"",IFERROR(INDEX('Danh mục'!$C$39:$C$78,MATCH(D1056,'Danh mục'!$A$39:$A$78,0))&amp;"",""))</f>
      </c>
      <c r="H1056" s="11"/>
      <c r="I1056" s="20"/>
      <c r="J1056" s="11"/>
      <c r="K1056" s="11"/>
      <c r="L1056" s="11"/>
    </row>
    <row r="1057" spans="1:12" x14ac:dyDescent="0.3">
      <c r="A1057" s="31"/>
      <c r="B1057" s="32">
        <f>IF(A1057="","",DATE(YEAR(A1057),MONTH(A1057),1))</f>
      </c>
      <c r="C1057" s="11"/>
      <c r="D1057" s="11"/>
      <c r="E1057" s="16">
        <f>IF(OR(D1057="",C1057&lt;&gt;"Chi"),"",IFERROR(INDEX('Danh mục'!$B$39:$B$78,MATCH(D1057,'Danh mục'!$A$39:$A$78,0))&amp;"","?"))</f>
      </c>
      <c r="F1057" s="16">
        <f>IF(D1057="","",IF(C1057="Thu",IFERROR(INDEX('Danh mục'!$B$26:$B$35,MATCH(D1057,'Danh mục'!$A$26:$A$35,0))&amp;"","?"),IFERROR(INDEX('Danh mục'!$D$39:$D$78,MATCH(D1057,'Danh mục'!$A$39:$A$78,0))&amp;"","?")))</f>
      </c>
      <c r="G1057" s="16">
        <f>IF(OR(D1057="",C1057&lt;&gt;"Chi"),"",IFERROR(INDEX('Danh mục'!$C$39:$C$78,MATCH(D1057,'Danh mục'!$A$39:$A$78,0))&amp;"",""))</f>
      </c>
      <c r="H1057" s="11"/>
      <c r="I1057" s="20"/>
      <c r="J1057" s="11"/>
      <c r="K1057" s="11"/>
      <c r="L1057" s="11"/>
    </row>
    <row r="1058" spans="1:12" x14ac:dyDescent="0.3">
      <c r="A1058" s="31"/>
      <c r="B1058" s="32">
        <f>IF(A1058="","",DATE(YEAR(A1058),MONTH(A1058),1))</f>
      </c>
      <c r="C1058" s="11"/>
      <c r="D1058" s="11"/>
      <c r="E1058" s="16">
        <f>IF(OR(D1058="",C1058&lt;&gt;"Chi"),"",IFERROR(INDEX('Danh mục'!$B$39:$B$78,MATCH(D1058,'Danh mục'!$A$39:$A$78,0))&amp;"","?"))</f>
      </c>
      <c r="F1058" s="16">
        <f>IF(D1058="","",IF(C1058="Thu",IFERROR(INDEX('Danh mục'!$B$26:$B$35,MATCH(D1058,'Danh mục'!$A$26:$A$35,0))&amp;"","?"),IFERROR(INDEX('Danh mục'!$D$39:$D$78,MATCH(D1058,'Danh mục'!$A$39:$A$78,0))&amp;"","?")))</f>
      </c>
      <c r="G1058" s="16">
        <f>IF(OR(D1058="",C1058&lt;&gt;"Chi"),"",IFERROR(INDEX('Danh mục'!$C$39:$C$78,MATCH(D1058,'Danh mục'!$A$39:$A$78,0))&amp;"",""))</f>
      </c>
      <c r="H1058" s="11"/>
      <c r="I1058" s="20"/>
      <c r="J1058" s="11"/>
      <c r="K1058" s="11"/>
      <c r="L1058" s="11"/>
    </row>
    <row r="1059" spans="1:12" x14ac:dyDescent="0.3">
      <c r="A1059" s="31"/>
      <c r="B1059" s="32">
        <f>IF(A1059="","",DATE(YEAR(A1059),MONTH(A1059),1))</f>
      </c>
      <c r="C1059" s="11"/>
      <c r="D1059" s="11"/>
      <c r="E1059" s="16">
        <f>IF(OR(D1059="",C1059&lt;&gt;"Chi"),"",IFERROR(INDEX('Danh mục'!$B$39:$B$78,MATCH(D1059,'Danh mục'!$A$39:$A$78,0))&amp;"","?"))</f>
      </c>
      <c r="F1059" s="16">
        <f>IF(D1059="","",IF(C1059="Thu",IFERROR(INDEX('Danh mục'!$B$26:$B$35,MATCH(D1059,'Danh mục'!$A$26:$A$35,0))&amp;"","?"),IFERROR(INDEX('Danh mục'!$D$39:$D$78,MATCH(D1059,'Danh mục'!$A$39:$A$78,0))&amp;"","?")))</f>
      </c>
      <c r="G1059" s="16">
        <f>IF(OR(D1059="",C1059&lt;&gt;"Chi"),"",IFERROR(INDEX('Danh mục'!$C$39:$C$78,MATCH(D1059,'Danh mục'!$A$39:$A$78,0))&amp;"",""))</f>
      </c>
      <c r="H1059" s="11"/>
      <c r="I1059" s="20"/>
      <c r="J1059" s="11"/>
      <c r="K1059" s="11"/>
      <c r="L1059" s="11"/>
    </row>
    <row r="1060" spans="1:12" x14ac:dyDescent="0.3">
      <c r="A1060" s="31"/>
      <c r="B1060" s="32">
        <f>IF(A1060="","",DATE(YEAR(A1060),MONTH(A1060),1))</f>
      </c>
      <c r="C1060" s="11"/>
      <c r="D1060" s="11"/>
      <c r="E1060" s="16">
        <f>IF(OR(D1060="",C1060&lt;&gt;"Chi"),"",IFERROR(INDEX('Danh mục'!$B$39:$B$78,MATCH(D1060,'Danh mục'!$A$39:$A$78,0))&amp;"","?"))</f>
      </c>
      <c r="F1060" s="16">
        <f>IF(D1060="","",IF(C1060="Thu",IFERROR(INDEX('Danh mục'!$B$26:$B$35,MATCH(D1060,'Danh mục'!$A$26:$A$35,0))&amp;"","?"),IFERROR(INDEX('Danh mục'!$D$39:$D$78,MATCH(D1060,'Danh mục'!$A$39:$A$78,0))&amp;"","?")))</f>
      </c>
      <c r="G1060" s="16">
        <f>IF(OR(D1060="",C1060&lt;&gt;"Chi"),"",IFERROR(INDEX('Danh mục'!$C$39:$C$78,MATCH(D1060,'Danh mục'!$A$39:$A$78,0))&amp;"",""))</f>
      </c>
      <c r="H1060" s="11"/>
      <c r="I1060" s="20"/>
      <c r="J1060" s="11"/>
      <c r="K1060" s="11"/>
      <c r="L1060" s="11"/>
    </row>
    <row r="1061" spans="1:12" x14ac:dyDescent="0.3">
      <c r="A1061" s="31"/>
      <c r="B1061" s="32">
        <f>IF(A1061="","",DATE(YEAR(A1061),MONTH(A1061),1))</f>
      </c>
      <c r="C1061" s="11"/>
      <c r="D1061" s="11"/>
      <c r="E1061" s="16">
        <f>IF(OR(D1061="",C1061&lt;&gt;"Chi"),"",IFERROR(INDEX('Danh mục'!$B$39:$B$78,MATCH(D1061,'Danh mục'!$A$39:$A$78,0))&amp;"","?"))</f>
      </c>
      <c r="F1061" s="16">
        <f>IF(D1061="","",IF(C1061="Thu",IFERROR(INDEX('Danh mục'!$B$26:$B$35,MATCH(D1061,'Danh mục'!$A$26:$A$35,0))&amp;"","?"),IFERROR(INDEX('Danh mục'!$D$39:$D$78,MATCH(D1061,'Danh mục'!$A$39:$A$78,0))&amp;"","?")))</f>
      </c>
      <c r="G1061" s="16">
        <f>IF(OR(D1061="",C1061&lt;&gt;"Chi"),"",IFERROR(INDEX('Danh mục'!$C$39:$C$78,MATCH(D1061,'Danh mục'!$A$39:$A$78,0))&amp;"",""))</f>
      </c>
      <c r="H1061" s="11"/>
      <c r="I1061" s="20"/>
      <c r="J1061" s="11"/>
      <c r="K1061" s="11"/>
      <c r="L1061" s="11"/>
    </row>
    <row r="1062" spans="1:12" x14ac:dyDescent="0.3">
      <c r="A1062" s="31"/>
      <c r="B1062" s="32">
        <f>IF(A1062="","",DATE(YEAR(A1062),MONTH(A1062),1))</f>
      </c>
      <c r="C1062" s="11"/>
      <c r="D1062" s="11"/>
      <c r="E1062" s="16">
        <f>IF(OR(D1062="",C1062&lt;&gt;"Chi"),"",IFERROR(INDEX('Danh mục'!$B$39:$B$78,MATCH(D1062,'Danh mục'!$A$39:$A$78,0))&amp;"","?"))</f>
      </c>
      <c r="F1062" s="16">
        <f>IF(D1062="","",IF(C1062="Thu",IFERROR(INDEX('Danh mục'!$B$26:$B$35,MATCH(D1062,'Danh mục'!$A$26:$A$35,0))&amp;"","?"),IFERROR(INDEX('Danh mục'!$D$39:$D$78,MATCH(D1062,'Danh mục'!$A$39:$A$78,0))&amp;"","?")))</f>
      </c>
      <c r="G1062" s="16">
        <f>IF(OR(D1062="",C1062&lt;&gt;"Chi"),"",IFERROR(INDEX('Danh mục'!$C$39:$C$78,MATCH(D1062,'Danh mục'!$A$39:$A$78,0))&amp;"",""))</f>
      </c>
      <c r="H1062" s="11"/>
      <c r="I1062" s="20"/>
      <c r="J1062" s="11"/>
      <c r="K1062" s="11"/>
      <c r="L1062" s="11"/>
    </row>
    <row r="1063" spans="1:12" x14ac:dyDescent="0.3">
      <c r="A1063" s="31"/>
      <c r="B1063" s="32">
        <f>IF(A1063="","",DATE(YEAR(A1063),MONTH(A1063),1))</f>
      </c>
      <c r="C1063" s="11"/>
      <c r="D1063" s="11"/>
      <c r="E1063" s="16">
        <f>IF(OR(D1063="",C1063&lt;&gt;"Chi"),"",IFERROR(INDEX('Danh mục'!$B$39:$B$78,MATCH(D1063,'Danh mục'!$A$39:$A$78,0))&amp;"","?"))</f>
      </c>
      <c r="F1063" s="16">
        <f>IF(D1063="","",IF(C1063="Thu",IFERROR(INDEX('Danh mục'!$B$26:$B$35,MATCH(D1063,'Danh mục'!$A$26:$A$35,0))&amp;"","?"),IFERROR(INDEX('Danh mục'!$D$39:$D$78,MATCH(D1063,'Danh mục'!$A$39:$A$78,0))&amp;"","?")))</f>
      </c>
      <c r="G1063" s="16">
        <f>IF(OR(D1063="",C1063&lt;&gt;"Chi"),"",IFERROR(INDEX('Danh mục'!$C$39:$C$78,MATCH(D1063,'Danh mục'!$A$39:$A$78,0))&amp;"",""))</f>
      </c>
      <c r="H1063" s="11"/>
      <c r="I1063" s="20"/>
      <c r="J1063" s="11"/>
      <c r="K1063" s="11"/>
      <c r="L1063" s="11"/>
    </row>
    <row r="1064" spans="1:12" x14ac:dyDescent="0.3">
      <c r="A1064" s="31"/>
      <c r="B1064" s="32">
        <f>IF(A1064="","",DATE(YEAR(A1064),MONTH(A1064),1))</f>
      </c>
      <c r="C1064" s="11"/>
      <c r="D1064" s="11"/>
      <c r="E1064" s="16">
        <f>IF(OR(D1064="",C1064&lt;&gt;"Chi"),"",IFERROR(INDEX('Danh mục'!$B$39:$B$78,MATCH(D1064,'Danh mục'!$A$39:$A$78,0))&amp;"","?"))</f>
      </c>
      <c r="F1064" s="16">
        <f>IF(D1064="","",IF(C1064="Thu",IFERROR(INDEX('Danh mục'!$B$26:$B$35,MATCH(D1064,'Danh mục'!$A$26:$A$35,0))&amp;"","?"),IFERROR(INDEX('Danh mục'!$D$39:$D$78,MATCH(D1064,'Danh mục'!$A$39:$A$78,0))&amp;"","?")))</f>
      </c>
      <c r="G1064" s="16">
        <f>IF(OR(D1064="",C1064&lt;&gt;"Chi"),"",IFERROR(INDEX('Danh mục'!$C$39:$C$78,MATCH(D1064,'Danh mục'!$A$39:$A$78,0))&amp;"",""))</f>
      </c>
      <c r="H1064" s="11"/>
      <c r="I1064" s="20"/>
      <c r="J1064" s="11"/>
      <c r="K1064" s="11"/>
      <c r="L1064" s="11"/>
    </row>
    <row r="1065" spans="1:12" x14ac:dyDescent="0.3">
      <c r="A1065" s="31"/>
      <c r="B1065" s="32">
        <f>IF(A1065="","",DATE(YEAR(A1065),MONTH(A1065),1))</f>
      </c>
      <c r="C1065" s="11"/>
      <c r="D1065" s="11"/>
      <c r="E1065" s="16">
        <f>IF(OR(D1065="",C1065&lt;&gt;"Chi"),"",IFERROR(INDEX('Danh mục'!$B$39:$B$78,MATCH(D1065,'Danh mục'!$A$39:$A$78,0))&amp;"","?"))</f>
      </c>
      <c r="F1065" s="16">
        <f>IF(D1065="","",IF(C1065="Thu",IFERROR(INDEX('Danh mục'!$B$26:$B$35,MATCH(D1065,'Danh mục'!$A$26:$A$35,0))&amp;"","?"),IFERROR(INDEX('Danh mục'!$D$39:$D$78,MATCH(D1065,'Danh mục'!$A$39:$A$78,0))&amp;"","?")))</f>
      </c>
      <c r="G1065" s="16">
        <f>IF(OR(D1065="",C1065&lt;&gt;"Chi"),"",IFERROR(INDEX('Danh mục'!$C$39:$C$78,MATCH(D1065,'Danh mục'!$A$39:$A$78,0))&amp;"",""))</f>
      </c>
      <c r="H1065" s="11"/>
      <c r="I1065" s="20"/>
      <c r="J1065" s="11"/>
      <c r="K1065" s="11"/>
      <c r="L1065" s="11"/>
    </row>
    <row r="1066" spans="1:12" x14ac:dyDescent="0.3">
      <c r="A1066" s="31"/>
      <c r="B1066" s="32">
        <f>IF(A1066="","",DATE(YEAR(A1066),MONTH(A1066),1))</f>
      </c>
      <c r="C1066" s="11"/>
      <c r="D1066" s="11"/>
      <c r="E1066" s="16">
        <f>IF(OR(D1066="",C1066&lt;&gt;"Chi"),"",IFERROR(INDEX('Danh mục'!$B$39:$B$78,MATCH(D1066,'Danh mục'!$A$39:$A$78,0))&amp;"","?"))</f>
      </c>
      <c r="F1066" s="16">
        <f>IF(D1066="","",IF(C1066="Thu",IFERROR(INDEX('Danh mục'!$B$26:$B$35,MATCH(D1066,'Danh mục'!$A$26:$A$35,0))&amp;"","?"),IFERROR(INDEX('Danh mục'!$D$39:$D$78,MATCH(D1066,'Danh mục'!$A$39:$A$78,0))&amp;"","?")))</f>
      </c>
      <c r="G1066" s="16">
        <f>IF(OR(D1066="",C1066&lt;&gt;"Chi"),"",IFERROR(INDEX('Danh mục'!$C$39:$C$78,MATCH(D1066,'Danh mục'!$A$39:$A$78,0))&amp;"",""))</f>
      </c>
      <c r="H1066" s="11"/>
      <c r="I1066" s="20"/>
      <c r="J1066" s="11"/>
      <c r="K1066" s="11"/>
      <c r="L1066" s="11"/>
    </row>
    <row r="1067" spans="1:12" x14ac:dyDescent="0.3">
      <c r="A1067" s="31"/>
      <c r="B1067" s="32">
        <f>IF(A1067="","",DATE(YEAR(A1067),MONTH(A1067),1))</f>
      </c>
      <c r="C1067" s="11"/>
      <c r="D1067" s="11"/>
      <c r="E1067" s="16">
        <f>IF(OR(D1067="",C1067&lt;&gt;"Chi"),"",IFERROR(INDEX('Danh mục'!$B$39:$B$78,MATCH(D1067,'Danh mục'!$A$39:$A$78,0))&amp;"","?"))</f>
      </c>
      <c r="F1067" s="16">
        <f>IF(D1067="","",IF(C1067="Thu",IFERROR(INDEX('Danh mục'!$B$26:$B$35,MATCH(D1067,'Danh mục'!$A$26:$A$35,0))&amp;"","?"),IFERROR(INDEX('Danh mục'!$D$39:$D$78,MATCH(D1067,'Danh mục'!$A$39:$A$78,0))&amp;"","?")))</f>
      </c>
      <c r="G1067" s="16">
        <f>IF(OR(D1067="",C1067&lt;&gt;"Chi"),"",IFERROR(INDEX('Danh mục'!$C$39:$C$78,MATCH(D1067,'Danh mục'!$A$39:$A$78,0))&amp;"",""))</f>
      </c>
      <c r="H1067" s="11"/>
      <c r="I1067" s="20"/>
      <c r="J1067" s="11"/>
      <c r="K1067" s="11"/>
      <c r="L1067" s="11"/>
    </row>
    <row r="1068" spans="1:12" x14ac:dyDescent="0.3">
      <c r="A1068" s="31"/>
      <c r="B1068" s="32">
        <f>IF(A1068="","",DATE(YEAR(A1068),MONTH(A1068),1))</f>
      </c>
      <c r="C1068" s="11"/>
      <c r="D1068" s="11"/>
      <c r="E1068" s="16">
        <f>IF(OR(D1068="",C1068&lt;&gt;"Chi"),"",IFERROR(INDEX('Danh mục'!$B$39:$B$78,MATCH(D1068,'Danh mục'!$A$39:$A$78,0))&amp;"","?"))</f>
      </c>
      <c r="F1068" s="16">
        <f>IF(D1068="","",IF(C1068="Thu",IFERROR(INDEX('Danh mục'!$B$26:$B$35,MATCH(D1068,'Danh mục'!$A$26:$A$35,0))&amp;"","?"),IFERROR(INDEX('Danh mục'!$D$39:$D$78,MATCH(D1068,'Danh mục'!$A$39:$A$78,0))&amp;"","?")))</f>
      </c>
      <c r="G1068" s="16">
        <f>IF(OR(D1068="",C1068&lt;&gt;"Chi"),"",IFERROR(INDEX('Danh mục'!$C$39:$C$78,MATCH(D1068,'Danh mục'!$A$39:$A$78,0))&amp;"",""))</f>
      </c>
      <c r="H1068" s="11"/>
      <c r="I1068" s="20"/>
      <c r="J1068" s="11"/>
      <c r="K1068" s="11"/>
      <c r="L1068" s="11"/>
    </row>
    <row r="1069" spans="1:12" x14ac:dyDescent="0.3">
      <c r="A1069" s="31"/>
      <c r="B1069" s="32">
        <f>IF(A1069="","",DATE(YEAR(A1069),MONTH(A1069),1))</f>
      </c>
      <c r="C1069" s="11"/>
      <c r="D1069" s="11"/>
      <c r="E1069" s="16">
        <f>IF(OR(D1069="",C1069&lt;&gt;"Chi"),"",IFERROR(INDEX('Danh mục'!$B$39:$B$78,MATCH(D1069,'Danh mục'!$A$39:$A$78,0))&amp;"","?"))</f>
      </c>
      <c r="F1069" s="16">
        <f>IF(D1069="","",IF(C1069="Thu",IFERROR(INDEX('Danh mục'!$B$26:$B$35,MATCH(D1069,'Danh mục'!$A$26:$A$35,0))&amp;"","?"),IFERROR(INDEX('Danh mục'!$D$39:$D$78,MATCH(D1069,'Danh mục'!$A$39:$A$78,0))&amp;"","?")))</f>
      </c>
      <c r="G1069" s="16">
        <f>IF(OR(D1069="",C1069&lt;&gt;"Chi"),"",IFERROR(INDEX('Danh mục'!$C$39:$C$78,MATCH(D1069,'Danh mục'!$A$39:$A$78,0))&amp;"",""))</f>
      </c>
      <c r="H1069" s="11"/>
      <c r="I1069" s="20"/>
      <c r="J1069" s="11"/>
      <c r="K1069" s="11"/>
      <c r="L1069" s="11"/>
    </row>
    <row r="1070" spans="1:12" x14ac:dyDescent="0.3">
      <c r="A1070" s="31"/>
      <c r="B1070" s="32">
        <f>IF(A1070="","",DATE(YEAR(A1070),MONTH(A1070),1))</f>
      </c>
      <c r="C1070" s="11"/>
      <c r="D1070" s="11"/>
      <c r="E1070" s="16">
        <f>IF(OR(D1070="",C1070&lt;&gt;"Chi"),"",IFERROR(INDEX('Danh mục'!$B$39:$B$78,MATCH(D1070,'Danh mục'!$A$39:$A$78,0))&amp;"","?"))</f>
      </c>
      <c r="F1070" s="16">
        <f>IF(D1070="","",IF(C1070="Thu",IFERROR(INDEX('Danh mục'!$B$26:$B$35,MATCH(D1070,'Danh mục'!$A$26:$A$35,0))&amp;"","?"),IFERROR(INDEX('Danh mục'!$D$39:$D$78,MATCH(D1070,'Danh mục'!$A$39:$A$78,0))&amp;"","?")))</f>
      </c>
      <c r="G1070" s="16">
        <f>IF(OR(D1070="",C1070&lt;&gt;"Chi"),"",IFERROR(INDEX('Danh mục'!$C$39:$C$78,MATCH(D1070,'Danh mục'!$A$39:$A$78,0))&amp;"",""))</f>
      </c>
      <c r="H1070" s="11"/>
      <c r="I1070" s="20"/>
      <c r="J1070" s="11"/>
      <c r="K1070" s="11"/>
      <c r="L1070" s="11"/>
    </row>
    <row r="1071" spans="1:12" x14ac:dyDescent="0.3">
      <c r="A1071" s="31"/>
      <c r="B1071" s="32">
        <f>IF(A1071="","",DATE(YEAR(A1071),MONTH(A1071),1))</f>
      </c>
      <c r="C1071" s="11"/>
      <c r="D1071" s="11"/>
      <c r="E1071" s="16">
        <f>IF(OR(D1071="",C1071&lt;&gt;"Chi"),"",IFERROR(INDEX('Danh mục'!$B$39:$B$78,MATCH(D1071,'Danh mục'!$A$39:$A$78,0))&amp;"","?"))</f>
      </c>
      <c r="F1071" s="16">
        <f>IF(D1071="","",IF(C1071="Thu",IFERROR(INDEX('Danh mục'!$B$26:$B$35,MATCH(D1071,'Danh mục'!$A$26:$A$35,0))&amp;"","?"),IFERROR(INDEX('Danh mục'!$D$39:$D$78,MATCH(D1071,'Danh mục'!$A$39:$A$78,0))&amp;"","?")))</f>
      </c>
      <c r="G1071" s="16">
        <f>IF(OR(D1071="",C1071&lt;&gt;"Chi"),"",IFERROR(INDEX('Danh mục'!$C$39:$C$78,MATCH(D1071,'Danh mục'!$A$39:$A$78,0))&amp;"",""))</f>
      </c>
      <c r="H1071" s="11"/>
      <c r="I1071" s="20"/>
      <c r="J1071" s="11"/>
      <c r="K1071" s="11"/>
      <c r="L1071" s="11"/>
    </row>
    <row r="1072" spans="1:12" x14ac:dyDescent="0.3">
      <c r="A1072" s="31"/>
      <c r="B1072" s="32">
        <f>IF(A1072="","",DATE(YEAR(A1072),MONTH(A1072),1))</f>
      </c>
      <c r="C1072" s="11"/>
      <c r="D1072" s="11"/>
      <c r="E1072" s="16">
        <f>IF(OR(D1072="",C1072&lt;&gt;"Chi"),"",IFERROR(INDEX('Danh mục'!$B$39:$B$78,MATCH(D1072,'Danh mục'!$A$39:$A$78,0))&amp;"","?"))</f>
      </c>
      <c r="F1072" s="16">
        <f>IF(D1072="","",IF(C1072="Thu",IFERROR(INDEX('Danh mục'!$B$26:$B$35,MATCH(D1072,'Danh mục'!$A$26:$A$35,0))&amp;"","?"),IFERROR(INDEX('Danh mục'!$D$39:$D$78,MATCH(D1072,'Danh mục'!$A$39:$A$78,0))&amp;"","?")))</f>
      </c>
      <c r="G1072" s="16">
        <f>IF(OR(D1072="",C1072&lt;&gt;"Chi"),"",IFERROR(INDEX('Danh mục'!$C$39:$C$78,MATCH(D1072,'Danh mục'!$A$39:$A$78,0))&amp;"",""))</f>
      </c>
      <c r="H1072" s="11"/>
      <c r="I1072" s="20"/>
      <c r="J1072" s="11"/>
      <c r="K1072" s="11"/>
      <c r="L1072" s="11"/>
    </row>
    <row r="1073" spans="1:12" x14ac:dyDescent="0.3">
      <c r="A1073" s="31"/>
      <c r="B1073" s="32">
        <f>IF(A1073="","",DATE(YEAR(A1073),MONTH(A1073),1))</f>
      </c>
      <c r="C1073" s="11"/>
      <c r="D1073" s="11"/>
      <c r="E1073" s="16">
        <f>IF(OR(D1073="",C1073&lt;&gt;"Chi"),"",IFERROR(INDEX('Danh mục'!$B$39:$B$78,MATCH(D1073,'Danh mục'!$A$39:$A$78,0))&amp;"","?"))</f>
      </c>
      <c r="F1073" s="16">
        <f>IF(D1073="","",IF(C1073="Thu",IFERROR(INDEX('Danh mục'!$B$26:$B$35,MATCH(D1073,'Danh mục'!$A$26:$A$35,0))&amp;"","?"),IFERROR(INDEX('Danh mục'!$D$39:$D$78,MATCH(D1073,'Danh mục'!$A$39:$A$78,0))&amp;"","?")))</f>
      </c>
      <c r="G1073" s="16">
        <f>IF(OR(D1073="",C1073&lt;&gt;"Chi"),"",IFERROR(INDEX('Danh mục'!$C$39:$C$78,MATCH(D1073,'Danh mục'!$A$39:$A$78,0))&amp;"",""))</f>
      </c>
      <c r="H1073" s="11"/>
      <c r="I1073" s="20"/>
      <c r="J1073" s="11"/>
      <c r="K1073" s="11"/>
      <c r="L1073" s="11"/>
    </row>
    <row r="1074" spans="1:12" x14ac:dyDescent="0.3">
      <c r="A1074" s="31"/>
      <c r="B1074" s="32">
        <f>IF(A1074="","",DATE(YEAR(A1074),MONTH(A1074),1))</f>
      </c>
      <c r="C1074" s="11"/>
      <c r="D1074" s="11"/>
      <c r="E1074" s="16">
        <f>IF(OR(D1074="",C1074&lt;&gt;"Chi"),"",IFERROR(INDEX('Danh mục'!$B$39:$B$78,MATCH(D1074,'Danh mục'!$A$39:$A$78,0))&amp;"","?"))</f>
      </c>
      <c r="F1074" s="16">
        <f>IF(D1074="","",IF(C1074="Thu",IFERROR(INDEX('Danh mục'!$B$26:$B$35,MATCH(D1074,'Danh mục'!$A$26:$A$35,0))&amp;"","?"),IFERROR(INDEX('Danh mục'!$D$39:$D$78,MATCH(D1074,'Danh mục'!$A$39:$A$78,0))&amp;"","?")))</f>
      </c>
      <c r="G1074" s="16">
        <f>IF(OR(D1074="",C1074&lt;&gt;"Chi"),"",IFERROR(INDEX('Danh mục'!$C$39:$C$78,MATCH(D1074,'Danh mục'!$A$39:$A$78,0))&amp;"",""))</f>
      </c>
      <c r="H1074" s="11"/>
      <c r="I1074" s="20"/>
      <c r="J1074" s="11"/>
      <c r="K1074" s="11"/>
      <c r="L1074" s="11"/>
    </row>
    <row r="1075" spans="1:12" x14ac:dyDescent="0.3">
      <c r="A1075" s="31"/>
      <c r="B1075" s="32">
        <f>IF(A1075="","",DATE(YEAR(A1075),MONTH(A1075),1))</f>
      </c>
      <c r="C1075" s="11"/>
      <c r="D1075" s="11"/>
      <c r="E1075" s="16">
        <f>IF(OR(D1075="",C1075&lt;&gt;"Chi"),"",IFERROR(INDEX('Danh mục'!$B$39:$B$78,MATCH(D1075,'Danh mục'!$A$39:$A$78,0))&amp;"","?"))</f>
      </c>
      <c r="F1075" s="16">
        <f>IF(D1075="","",IF(C1075="Thu",IFERROR(INDEX('Danh mục'!$B$26:$B$35,MATCH(D1075,'Danh mục'!$A$26:$A$35,0))&amp;"","?"),IFERROR(INDEX('Danh mục'!$D$39:$D$78,MATCH(D1075,'Danh mục'!$A$39:$A$78,0))&amp;"","?")))</f>
      </c>
      <c r="G1075" s="16">
        <f>IF(OR(D1075="",C1075&lt;&gt;"Chi"),"",IFERROR(INDEX('Danh mục'!$C$39:$C$78,MATCH(D1075,'Danh mục'!$A$39:$A$78,0))&amp;"",""))</f>
      </c>
      <c r="H1075" s="11"/>
      <c r="I1075" s="20"/>
      <c r="J1075" s="11"/>
      <c r="K1075" s="11"/>
      <c r="L1075" s="11"/>
    </row>
    <row r="1076" spans="1:12" x14ac:dyDescent="0.3">
      <c r="A1076" s="31"/>
      <c r="B1076" s="32">
        <f>IF(A1076="","",DATE(YEAR(A1076),MONTH(A1076),1))</f>
      </c>
      <c r="C1076" s="11"/>
      <c r="D1076" s="11"/>
      <c r="E1076" s="16">
        <f>IF(OR(D1076="",C1076&lt;&gt;"Chi"),"",IFERROR(INDEX('Danh mục'!$B$39:$B$78,MATCH(D1076,'Danh mục'!$A$39:$A$78,0))&amp;"","?"))</f>
      </c>
      <c r="F1076" s="16">
        <f>IF(D1076="","",IF(C1076="Thu",IFERROR(INDEX('Danh mục'!$B$26:$B$35,MATCH(D1076,'Danh mục'!$A$26:$A$35,0))&amp;"","?"),IFERROR(INDEX('Danh mục'!$D$39:$D$78,MATCH(D1076,'Danh mục'!$A$39:$A$78,0))&amp;"","?")))</f>
      </c>
      <c r="G1076" s="16">
        <f>IF(OR(D1076="",C1076&lt;&gt;"Chi"),"",IFERROR(INDEX('Danh mục'!$C$39:$C$78,MATCH(D1076,'Danh mục'!$A$39:$A$78,0))&amp;"",""))</f>
      </c>
      <c r="H1076" s="11"/>
      <c r="I1076" s="20"/>
      <c r="J1076" s="11"/>
      <c r="K1076" s="11"/>
      <c r="L1076" s="11"/>
    </row>
    <row r="1077" spans="1:12" x14ac:dyDescent="0.3">
      <c r="A1077" s="31"/>
      <c r="B1077" s="32">
        <f>IF(A1077="","",DATE(YEAR(A1077),MONTH(A1077),1))</f>
      </c>
      <c r="C1077" s="11"/>
      <c r="D1077" s="11"/>
      <c r="E1077" s="16">
        <f>IF(OR(D1077="",C1077&lt;&gt;"Chi"),"",IFERROR(INDEX('Danh mục'!$B$39:$B$78,MATCH(D1077,'Danh mục'!$A$39:$A$78,0))&amp;"","?"))</f>
      </c>
      <c r="F1077" s="16">
        <f>IF(D1077="","",IF(C1077="Thu",IFERROR(INDEX('Danh mục'!$B$26:$B$35,MATCH(D1077,'Danh mục'!$A$26:$A$35,0))&amp;"","?"),IFERROR(INDEX('Danh mục'!$D$39:$D$78,MATCH(D1077,'Danh mục'!$A$39:$A$78,0))&amp;"","?")))</f>
      </c>
      <c r="G1077" s="16">
        <f>IF(OR(D1077="",C1077&lt;&gt;"Chi"),"",IFERROR(INDEX('Danh mục'!$C$39:$C$78,MATCH(D1077,'Danh mục'!$A$39:$A$78,0))&amp;"",""))</f>
      </c>
      <c r="H1077" s="11"/>
      <c r="I1077" s="20"/>
      <c r="J1077" s="11"/>
      <c r="K1077" s="11"/>
      <c r="L1077" s="11"/>
    </row>
    <row r="1078" spans="1:12" x14ac:dyDescent="0.3">
      <c r="A1078" s="31"/>
      <c r="B1078" s="32">
        <f>IF(A1078="","",DATE(YEAR(A1078),MONTH(A1078),1))</f>
      </c>
      <c r="C1078" s="11"/>
      <c r="D1078" s="11"/>
      <c r="E1078" s="16">
        <f>IF(OR(D1078="",C1078&lt;&gt;"Chi"),"",IFERROR(INDEX('Danh mục'!$B$39:$B$78,MATCH(D1078,'Danh mục'!$A$39:$A$78,0))&amp;"","?"))</f>
      </c>
      <c r="F1078" s="16">
        <f>IF(D1078="","",IF(C1078="Thu",IFERROR(INDEX('Danh mục'!$B$26:$B$35,MATCH(D1078,'Danh mục'!$A$26:$A$35,0))&amp;"","?"),IFERROR(INDEX('Danh mục'!$D$39:$D$78,MATCH(D1078,'Danh mục'!$A$39:$A$78,0))&amp;"","?")))</f>
      </c>
      <c r="G1078" s="16">
        <f>IF(OR(D1078="",C1078&lt;&gt;"Chi"),"",IFERROR(INDEX('Danh mục'!$C$39:$C$78,MATCH(D1078,'Danh mục'!$A$39:$A$78,0))&amp;"",""))</f>
      </c>
      <c r="H1078" s="11"/>
      <c r="I1078" s="20"/>
      <c r="J1078" s="11"/>
      <c r="K1078" s="11"/>
      <c r="L1078" s="11"/>
    </row>
    <row r="1079" spans="1:12" x14ac:dyDescent="0.3">
      <c r="A1079" s="31"/>
      <c r="B1079" s="32">
        <f>IF(A1079="","",DATE(YEAR(A1079),MONTH(A1079),1))</f>
      </c>
      <c r="C1079" s="11"/>
      <c r="D1079" s="11"/>
      <c r="E1079" s="16">
        <f>IF(OR(D1079="",C1079&lt;&gt;"Chi"),"",IFERROR(INDEX('Danh mục'!$B$39:$B$78,MATCH(D1079,'Danh mục'!$A$39:$A$78,0))&amp;"","?"))</f>
      </c>
      <c r="F1079" s="16">
        <f>IF(D1079="","",IF(C1079="Thu",IFERROR(INDEX('Danh mục'!$B$26:$B$35,MATCH(D1079,'Danh mục'!$A$26:$A$35,0))&amp;"","?"),IFERROR(INDEX('Danh mục'!$D$39:$D$78,MATCH(D1079,'Danh mục'!$A$39:$A$78,0))&amp;"","?")))</f>
      </c>
      <c r="G1079" s="16">
        <f>IF(OR(D1079="",C1079&lt;&gt;"Chi"),"",IFERROR(INDEX('Danh mục'!$C$39:$C$78,MATCH(D1079,'Danh mục'!$A$39:$A$78,0))&amp;"",""))</f>
      </c>
      <c r="H1079" s="11"/>
      <c r="I1079" s="20"/>
      <c r="J1079" s="11"/>
      <c r="K1079" s="11"/>
      <c r="L1079" s="11"/>
    </row>
    <row r="1080" spans="1:12" x14ac:dyDescent="0.3">
      <c r="A1080" s="31"/>
      <c r="B1080" s="32">
        <f>IF(A1080="","",DATE(YEAR(A1080),MONTH(A1080),1))</f>
      </c>
      <c r="C1080" s="11"/>
      <c r="D1080" s="11"/>
      <c r="E1080" s="16">
        <f>IF(OR(D1080="",C1080&lt;&gt;"Chi"),"",IFERROR(INDEX('Danh mục'!$B$39:$B$78,MATCH(D1080,'Danh mục'!$A$39:$A$78,0))&amp;"","?"))</f>
      </c>
      <c r="F1080" s="16">
        <f>IF(D1080="","",IF(C1080="Thu",IFERROR(INDEX('Danh mục'!$B$26:$B$35,MATCH(D1080,'Danh mục'!$A$26:$A$35,0))&amp;"","?"),IFERROR(INDEX('Danh mục'!$D$39:$D$78,MATCH(D1080,'Danh mục'!$A$39:$A$78,0))&amp;"","?")))</f>
      </c>
      <c r="G1080" s="16">
        <f>IF(OR(D1080="",C1080&lt;&gt;"Chi"),"",IFERROR(INDEX('Danh mục'!$C$39:$C$78,MATCH(D1080,'Danh mục'!$A$39:$A$78,0))&amp;"",""))</f>
      </c>
      <c r="H1080" s="11"/>
      <c r="I1080" s="20"/>
      <c r="J1080" s="11"/>
      <c r="K1080" s="11"/>
      <c r="L1080" s="11"/>
    </row>
    <row r="1081" spans="1:12" x14ac:dyDescent="0.3">
      <c r="A1081" s="31"/>
      <c r="B1081" s="32">
        <f>IF(A1081="","",DATE(YEAR(A1081),MONTH(A1081),1))</f>
      </c>
      <c r="C1081" s="11"/>
      <c r="D1081" s="11"/>
      <c r="E1081" s="16">
        <f>IF(OR(D1081="",C1081&lt;&gt;"Chi"),"",IFERROR(INDEX('Danh mục'!$B$39:$B$78,MATCH(D1081,'Danh mục'!$A$39:$A$78,0))&amp;"","?"))</f>
      </c>
      <c r="F1081" s="16">
        <f>IF(D1081="","",IF(C1081="Thu",IFERROR(INDEX('Danh mục'!$B$26:$B$35,MATCH(D1081,'Danh mục'!$A$26:$A$35,0))&amp;"","?"),IFERROR(INDEX('Danh mục'!$D$39:$D$78,MATCH(D1081,'Danh mục'!$A$39:$A$78,0))&amp;"","?")))</f>
      </c>
      <c r="G1081" s="16">
        <f>IF(OR(D1081="",C1081&lt;&gt;"Chi"),"",IFERROR(INDEX('Danh mục'!$C$39:$C$78,MATCH(D1081,'Danh mục'!$A$39:$A$78,0))&amp;"",""))</f>
      </c>
      <c r="H1081" s="11"/>
      <c r="I1081" s="20"/>
      <c r="J1081" s="11"/>
      <c r="K1081" s="11"/>
      <c r="L1081" s="11"/>
    </row>
    <row r="1082" spans="1:12" x14ac:dyDescent="0.3">
      <c r="A1082" s="31"/>
      <c r="B1082" s="32">
        <f>IF(A1082="","",DATE(YEAR(A1082),MONTH(A1082),1))</f>
      </c>
      <c r="C1082" s="11"/>
      <c r="D1082" s="11"/>
      <c r="E1082" s="16">
        <f>IF(OR(D1082="",C1082&lt;&gt;"Chi"),"",IFERROR(INDEX('Danh mục'!$B$39:$B$78,MATCH(D1082,'Danh mục'!$A$39:$A$78,0))&amp;"","?"))</f>
      </c>
      <c r="F1082" s="16">
        <f>IF(D1082="","",IF(C1082="Thu",IFERROR(INDEX('Danh mục'!$B$26:$B$35,MATCH(D1082,'Danh mục'!$A$26:$A$35,0))&amp;"","?"),IFERROR(INDEX('Danh mục'!$D$39:$D$78,MATCH(D1082,'Danh mục'!$A$39:$A$78,0))&amp;"","?")))</f>
      </c>
      <c r="G1082" s="16">
        <f>IF(OR(D1082="",C1082&lt;&gt;"Chi"),"",IFERROR(INDEX('Danh mục'!$C$39:$C$78,MATCH(D1082,'Danh mục'!$A$39:$A$78,0))&amp;"",""))</f>
      </c>
      <c r="H1082" s="11"/>
      <c r="I1082" s="20"/>
      <c r="J1082" s="11"/>
      <c r="K1082" s="11"/>
      <c r="L1082" s="11"/>
    </row>
    <row r="1083" spans="1:12" x14ac:dyDescent="0.3">
      <c r="A1083" s="31"/>
      <c r="B1083" s="32">
        <f>IF(A1083="","",DATE(YEAR(A1083),MONTH(A1083),1))</f>
      </c>
      <c r="C1083" s="11"/>
      <c r="D1083" s="11"/>
      <c r="E1083" s="16">
        <f>IF(OR(D1083="",C1083&lt;&gt;"Chi"),"",IFERROR(INDEX('Danh mục'!$B$39:$B$78,MATCH(D1083,'Danh mục'!$A$39:$A$78,0))&amp;"","?"))</f>
      </c>
      <c r="F1083" s="16">
        <f>IF(D1083="","",IF(C1083="Thu",IFERROR(INDEX('Danh mục'!$B$26:$B$35,MATCH(D1083,'Danh mục'!$A$26:$A$35,0))&amp;"","?"),IFERROR(INDEX('Danh mục'!$D$39:$D$78,MATCH(D1083,'Danh mục'!$A$39:$A$78,0))&amp;"","?")))</f>
      </c>
      <c r="G1083" s="16">
        <f>IF(OR(D1083="",C1083&lt;&gt;"Chi"),"",IFERROR(INDEX('Danh mục'!$C$39:$C$78,MATCH(D1083,'Danh mục'!$A$39:$A$78,0))&amp;"",""))</f>
      </c>
      <c r="H1083" s="11"/>
      <c r="I1083" s="20"/>
      <c r="J1083" s="11"/>
      <c r="K1083" s="11"/>
      <c r="L1083" s="11"/>
    </row>
    <row r="1084" spans="1:12" x14ac:dyDescent="0.3">
      <c r="A1084" s="31"/>
      <c r="B1084" s="32">
        <f>IF(A1084="","",DATE(YEAR(A1084),MONTH(A1084),1))</f>
      </c>
      <c r="C1084" s="11"/>
      <c r="D1084" s="11"/>
      <c r="E1084" s="16">
        <f>IF(OR(D1084="",C1084&lt;&gt;"Chi"),"",IFERROR(INDEX('Danh mục'!$B$39:$B$78,MATCH(D1084,'Danh mục'!$A$39:$A$78,0))&amp;"","?"))</f>
      </c>
      <c r="F1084" s="16">
        <f>IF(D1084="","",IF(C1084="Thu",IFERROR(INDEX('Danh mục'!$B$26:$B$35,MATCH(D1084,'Danh mục'!$A$26:$A$35,0))&amp;"","?"),IFERROR(INDEX('Danh mục'!$D$39:$D$78,MATCH(D1084,'Danh mục'!$A$39:$A$78,0))&amp;"","?")))</f>
      </c>
      <c r="G1084" s="16">
        <f>IF(OR(D1084="",C1084&lt;&gt;"Chi"),"",IFERROR(INDEX('Danh mục'!$C$39:$C$78,MATCH(D1084,'Danh mục'!$A$39:$A$78,0))&amp;"",""))</f>
      </c>
      <c r="H1084" s="11"/>
      <c r="I1084" s="20"/>
      <c r="J1084" s="11"/>
      <c r="K1084" s="11"/>
      <c r="L1084" s="11"/>
    </row>
    <row r="1085" spans="1:12" x14ac:dyDescent="0.3">
      <c r="A1085" s="31"/>
      <c r="B1085" s="32">
        <f>IF(A1085="","",DATE(YEAR(A1085),MONTH(A1085),1))</f>
      </c>
      <c r="C1085" s="11"/>
      <c r="D1085" s="11"/>
      <c r="E1085" s="16">
        <f>IF(OR(D1085="",C1085&lt;&gt;"Chi"),"",IFERROR(INDEX('Danh mục'!$B$39:$B$78,MATCH(D1085,'Danh mục'!$A$39:$A$78,0))&amp;"","?"))</f>
      </c>
      <c r="F1085" s="16">
        <f>IF(D1085="","",IF(C1085="Thu",IFERROR(INDEX('Danh mục'!$B$26:$B$35,MATCH(D1085,'Danh mục'!$A$26:$A$35,0))&amp;"","?"),IFERROR(INDEX('Danh mục'!$D$39:$D$78,MATCH(D1085,'Danh mục'!$A$39:$A$78,0))&amp;"","?")))</f>
      </c>
      <c r="G1085" s="16">
        <f>IF(OR(D1085="",C1085&lt;&gt;"Chi"),"",IFERROR(INDEX('Danh mục'!$C$39:$C$78,MATCH(D1085,'Danh mục'!$A$39:$A$78,0))&amp;"",""))</f>
      </c>
      <c r="H1085" s="11"/>
      <c r="I1085" s="20"/>
      <c r="J1085" s="11"/>
      <c r="K1085" s="11"/>
      <c r="L1085" s="11"/>
    </row>
    <row r="1086" spans="1:12" x14ac:dyDescent="0.3">
      <c r="A1086" s="31"/>
      <c r="B1086" s="32">
        <f>IF(A1086="","",DATE(YEAR(A1086),MONTH(A1086),1))</f>
      </c>
      <c r="C1086" s="11"/>
      <c r="D1086" s="11"/>
      <c r="E1086" s="16">
        <f>IF(OR(D1086="",C1086&lt;&gt;"Chi"),"",IFERROR(INDEX('Danh mục'!$B$39:$B$78,MATCH(D1086,'Danh mục'!$A$39:$A$78,0))&amp;"","?"))</f>
      </c>
      <c r="F1086" s="16">
        <f>IF(D1086="","",IF(C1086="Thu",IFERROR(INDEX('Danh mục'!$B$26:$B$35,MATCH(D1086,'Danh mục'!$A$26:$A$35,0))&amp;"","?"),IFERROR(INDEX('Danh mục'!$D$39:$D$78,MATCH(D1086,'Danh mục'!$A$39:$A$78,0))&amp;"","?")))</f>
      </c>
      <c r="G1086" s="16">
        <f>IF(OR(D1086="",C1086&lt;&gt;"Chi"),"",IFERROR(INDEX('Danh mục'!$C$39:$C$78,MATCH(D1086,'Danh mục'!$A$39:$A$78,0))&amp;"",""))</f>
      </c>
      <c r="H1086" s="11"/>
      <c r="I1086" s="20"/>
      <c r="J1086" s="11"/>
      <c r="K1086" s="11"/>
      <c r="L1086" s="11"/>
    </row>
    <row r="1087" spans="1:12" x14ac:dyDescent="0.3">
      <c r="A1087" s="31"/>
      <c r="B1087" s="32">
        <f>IF(A1087="","",DATE(YEAR(A1087),MONTH(A1087),1))</f>
      </c>
      <c r="C1087" s="11"/>
      <c r="D1087" s="11"/>
      <c r="E1087" s="16">
        <f>IF(OR(D1087="",C1087&lt;&gt;"Chi"),"",IFERROR(INDEX('Danh mục'!$B$39:$B$78,MATCH(D1087,'Danh mục'!$A$39:$A$78,0))&amp;"","?"))</f>
      </c>
      <c r="F1087" s="16">
        <f>IF(D1087="","",IF(C1087="Thu",IFERROR(INDEX('Danh mục'!$B$26:$B$35,MATCH(D1087,'Danh mục'!$A$26:$A$35,0))&amp;"","?"),IFERROR(INDEX('Danh mục'!$D$39:$D$78,MATCH(D1087,'Danh mục'!$A$39:$A$78,0))&amp;"","?")))</f>
      </c>
      <c r="G1087" s="16">
        <f>IF(OR(D1087="",C1087&lt;&gt;"Chi"),"",IFERROR(INDEX('Danh mục'!$C$39:$C$78,MATCH(D1087,'Danh mục'!$A$39:$A$78,0))&amp;"",""))</f>
      </c>
      <c r="H1087" s="11"/>
      <c r="I1087" s="20"/>
      <c r="J1087" s="11"/>
      <c r="K1087" s="11"/>
      <c r="L1087" s="11"/>
    </row>
    <row r="1088" spans="1:12" x14ac:dyDescent="0.3">
      <c r="A1088" s="31"/>
      <c r="B1088" s="32">
        <f>IF(A1088="","",DATE(YEAR(A1088),MONTH(A1088),1))</f>
      </c>
      <c r="C1088" s="11"/>
      <c r="D1088" s="11"/>
      <c r="E1088" s="16">
        <f>IF(OR(D1088="",C1088&lt;&gt;"Chi"),"",IFERROR(INDEX('Danh mục'!$B$39:$B$78,MATCH(D1088,'Danh mục'!$A$39:$A$78,0))&amp;"","?"))</f>
      </c>
      <c r="F1088" s="16">
        <f>IF(D1088="","",IF(C1088="Thu",IFERROR(INDEX('Danh mục'!$B$26:$B$35,MATCH(D1088,'Danh mục'!$A$26:$A$35,0))&amp;"","?"),IFERROR(INDEX('Danh mục'!$D$39:$D$78,MATCH(D1088,'Danh mục'!$A$39:$A$78,0))&amp;"","?")))</f>
      </c>
      <c r="G1088" s="16">
        <f>IF(OR(D1088="",C1088&lt;&gt;"Chi"),"",IFERROR(INDEX('Danh mục'!$C$39:$C$78,MATCH(D1088,'Danh mục'!$A$39:$A$78,0))&amp;"",""))</f>
      </c>
      <c r="H1088" s="11"/>
      <c r="I1088" s="20"/>
      <c r="J1088" s="11"/>
      <c r="K1088" s="11"/>
      <c r="L1088" s="11"/>
    </row>
    <row r="1089" spans="1:12" x14ac:dyDescent="0.3">
      <c r="A1089" s="31"/>
      <c r="B1089" s="32">
        <f>IF(A1089="","",DATE(YEAR(A1089),MONTH(A1089),1))</f>
      </c>
      <c r="C1089" s="11"/>
      <c r="D1089" s="11"/>
      <c r="E1089" s="16">
        <f>IF(OR(D1089="",C1089&lt;&gt;"Chi"),"",IFERROR(INDEX('Danh mục'!$B$39:$B$78,MATCH(D1089,'Danh mục'!$A$39:$A$78,0))&amp;"","?"))</f>
      </c>
      <c r="F1089" s="16">
        <f>IF(D1089="","",IF(C1089="Thu",IFERROR(INDEX('Danh mục'!$B$26:$B$35,MATCH(D1089,'Danh mục'!$A$26:$A$35,0))&amp;"","?"),IFERROR(INDEX('Danh mục'!$D$39:$D$78,MATCH(D1089,'Danh mục'!$A$39:$A$78,0))&amp;"","?")))</f>
      </c>
      <c r="G1089" s="16">
        <f>IF(OR(D1089="",C1089&lt;&gt;"Chi"),"",IFERROR(INDEX('Danh mục'!$C$39:$C$78,MATCH(D1089,'Danh mục'!$A$39:$A$78,0))&amp;"",""))</f>
      </c>
      <c r="H1089" s="11"/>
      <c r="I1089" s="20"/>
      <c r="J1089" s="11"/>
      <c r="K1089" s="11"/>
      <c r="L1089" s="11"/>
    </row>
    <row r="1090" spans="1:12" x14ac:dyDescent="0.3">
      <c r="A1090" s="31"/>
      <c r="B1090" s="32">
        <f>IF(A1090="","",DATE(YEAR(A1090),MONTH(A1090),1))</f>
      </c>
      <c r="C1090" s="11"/>
      <c r="D1090" s="11"/>
      <c r="E1090" s="16">
        <f>IF(OR(D1090="",C1090&lt;&gt;"Chi"),"",IFERROR(INDEX('Danh mục'!$B$39:$B$78,MATCH(D1090,'Danh mục'!$A$39:$A$78,0))&amp;"","?"))</f>
      </c>
      <c r="F1090" s="16">
        <f>IF(D1090="","",IF(C1090="Thu",IFERROR(INDEX('Danh mục'!$B$26:$B$35,MATCH(D1090,'Danh mục'!$A$26:$A$35,0))&amp;"","?"),IFERROR(INDEX('Danh mục'!$D$39:$D$78,MATCH(D1090,'Danh mục'!$A$39:$A$78,0))&amp;"","?")))</f>
      </c>
      <c r="G1090" s="16">
        <f>IF(OR(D1090="",C1090&lt;&gt;"Chi"),"",IFERROR(INDEX('Danh mục'!$C$39:$C$78,MATCH(D1090,'Danh mục'!$A$39:$A$78,0))&amp;"",""))</f>
      </c>
      <c r="H1090" s="11"/>
      <c r="I1090" s="20"/>
      <c r="J1090" s="11"/>
      <c r="K1090" s="11"/>
      <c r="L1090" s="11"/>
    </row>
    <row r="1091" spans="1:12" x14ac:dyDescent="0.3">
      <c r="A1091" s="31"/>
      <c r="B1091" s="32">
        <f>IF(A1091="","",DATE(YEAR(A1091),MONTH(A1091),1))</f>
      </c>
      <c r="C1091" s="11"/>
      <c r="D1091" s="11"/>
      <c r="E1091" s="16">
        <f>IF(OR(D1091="",C1091&lt;&gt;"Chi"),"",IFERROR(INDEX('Danh mục'!$B$39:$B$78,MATCH(D1091,'Danh mục'!$A$39:$A$78,0))&amp;"","?"))</f>
      </c>
      <c r="F1091" s="16">
        <f>IF(D1091="","",IF(C1091="Thu",IFERROR(INDEX('Danh mục'!$B$26:$B$35,MATCH(D1091,'Danh mục'!$A$26:$A$35,0))&amp;"","?"),IFERROR(INDEX('Danh mục'!$D$39:$D$78,MATCH(D1091,'Danh mục'!$A$39:$A$78,0))&amp;"","?")))</f>
      </c>
      <c r="G1091" s="16">
        <f>IF(OR(D1091="",C1091&lt;&gt;"Chi"),"",IFERROR(INDEX('Danh mục'!$C$39:$C$78,MATCH(D1091,'Danh mục'!$A$39:$A$78,0))&amp;"",""))</f>
      </c>
      <c r="H1091" s="11"/>
      <c r="I1091" s="20"/>
      <c r="J1091" s="11"/>
      <c r="K1091" s="11"/>
      <c r="L1091" s="11"/>
    </row>
    <row r="1092" spans="1:12" x14ac:dyDescent="0.3">
      <c r="A1092" s="31"/>
      <c r="B1092" s="32">
        <f>IF(A1092="","",DATE(YEAR(A1092),MONTH(A1092),1))</f>
      </c>
      <c r="C1092" s="11"/>
      <c r="D1092" s="11"/>
      <c r="E1092" s="16">
        <f>IF(OR(D1092="",C1092&lt;&gt;"Chi"),"",IFERROR(INDEX('Danh mục'!$B$39:$B$78,MATCH(D1092,'Danh mục'!$A$39:$A$78,0))&amp;"","?"))</f>
      </c>
      <c r="F1092" s="16">
        <f>IF(D1092="","",IF(C1092="Thu",IFERROR(INDEX('Danh mục'!$B$26:$B$35,MATCH(D1092,'Danh mục'!$A$26:$A$35,0))&amp;"","?"),IFERROR(INDEX('Danh mục'!$D$39:$D$78,MATCH(D1092,'Danh mục'!$A$39:$A$78,0))&amp;"","?")))</f>
      </c>
      <c r="G1092" s="16">
        <f>IF(OR(D1092="",C1092&lt;&gt;"Chi"),"",IFERROR(INDEX('Danh mục'!$C$39:$C$78,MATCH(D1092,'Danh mục'!$A$39:$A$78,0))&amp;"",""))</f>
      </c>
      <c r="H1092" s="11"/>
      <c r="I1092" s="20"/>
      <c r="J1092" s="11"/>
      <c r="K1092" s="11"/>
      <c r="L1092" s="11"/>
    </row>
    <row r="1093" spans="1:12" x14ac:dyDescent="0.3">
      <c r="A1093" s="31"/>
      <c r="B1093" s="32">
        <f>IF(A1093="","",DATE(YEAR(A1093),MONTH(A1093),1))</f>
      </c>
      <c r="C1093" s="11"/>
      <c r="D1093" s="11"/>
      <c r="E1093" s="16">
        <f>IF(OR(D1093="",C1093&lt;&gt;"Chi"),"",IFERROR(INDEX('Danh mục'!$B$39:$B$78,MATCH(D1093,'Danh mục'!$A$39:$A$78,0))&amp;"","?"))</f>
      </c>
      <c r="F1093" s="16">
        <f>IF(D1093="","",IF(C1093="Thu",IFERROR(INDEX('Danh mục'!$B$26:$B$35,MATCH(D1093,'Danh mục'!$A$26:$A$35,0))&amp;"","?"),IFERROR(INDEX('Danh mục'!$D$39:$D$78,MATCH(D1093,'Danh mục'!$A$39:$A$78,0))&amp;"","?")))</f>
      </c>
      <c r="G1093" s="16">
        <f>IF(OR(D1093="",C1093&lt;&gt;"Chi"),"",IFERROR(INDEX('Danh mục'!$C$39:$C$78,MATCH(D1093,'Danh mục'!$A$39:$A$78,0))&amp;"",""))</f>
      </c>
      <c r="H1093" s="11"/>
      <c r="I1093" s="20"/>
      <c r="J1093" s="11"/>
      <c r="K1093" s="11"/>
      <c r="L1093" s="11"/>
    </row>
    <row r="1094" spans="1:12" x14ac:dyDescent="0.3">
      <c r="A1094" s="31"/>
      <c r="B1094" s="32">
        <f>IF(A1094="","",DATE(YEAR(A1094),MONTH(A1094),1))</f>
      </c>
      <c r="C1094" s="11"/>
      <c r="D1094" s="11"/>
      <c r="E1094" s="16">
        <f>IF(OR(D1094="",C1094&lt;&gt;"Chi"),"",IFERROR(INDEX('Danh mục'!$B$39:$B$78,MATCH(D1094,'Danh mục'!$A$39:$A$78,0))&amp;"","?"))</f>
      </c>
      <c r="F1094" s="16">
        <f>IF(D1094="","",IF(C1094="Thu",IFERROR(INDEX('Danh mục'!$B$26:$B$35,MATCH(D1094,'Danh mục'!$A$26:$A$35,0))&amp;"","?"),IFERROR(INDEX('Danh mục'!$D$39:$D$78,MATCH(D1094,'Danh mục'!$A$39:$A$78,0))&amp;"","?")))</f>
      </c>
      <c r="G1094" s="16">
        <f>IF(OR(D1094="",C1094&lt;&gt;"Chi"),"",IFERROR(INDEX('Danh mục'!$C$39:$C$78,MATCH(D1094,'Danh mục'!$A$39:$A$78,0))&amp;"",""))</f>
      </c>
      <c r="H1094" s="11"/>
      <c r="I1094" s="20"/>
      <c r="J1094" s="11"/>
      <c r="K1094" s="11"/>
      <c r="L1094" s="11"/>
    </row>
    <row r="1095" spans="1:12" x14ac:dyDescent="0.3">
      <c r="A1095" s="31"/>
      <c r="B1095" s="32">
        <f>IF(A1095="","",DATE(YEAR(A1095),MONTH(A1095),1))</f>
      </c>
      <c r="C1095" s="11"/>
      <c r="D1095" s="11"/>
      <c r="E1095" s="16">
        <f>IF(OR(D1095="",C1095&lt;&gt;"Chi"),"",IFERROR(INDEX('Danh mục'!$B$39:$B$78,MATCH(D1095,'Danh mục'!$A$39:$A$78,0))&amp;"","?"))</f>
      </c>
      <c r="F1095" s="16">
        <f>IF(D1095="","",IF(C1095="Thu",IFERROR(INDEX('Danh mục'!$B$26:$B$35,MATCH(D1095,'Danh mục'!$A$26:$A$35,0))&amp;"","?"),IFERROR(INDEX('Danh mục'!$D$39:$D$78,MATCH(D1095,'Danh mục'!$A$39:$A$78,0))&amp;"","?")))</f>
      </c>
      <c r="G1095" s="16">
        <f>IF(OR(D1095="",C1095&lt;&gt;"Chi"),"",IFERROR(INDEX('Danh mục'!$C$39:$C$78,MATCH(D1095,'Danh mục'!$A$39:$A$78,0))&amp;"",""))</f>
      </c>
      <c r="H1095" s="11"/>
      <c r="I1095" s="20"/>
      <c r="J1095" s="11"/>
      <c r="K1095" s="11"/>
      <c r="L1095" s="11"/>
    </row>
    <row r="1096" spans="1:12" x14ac:dyDescent="0.3">
      <c r="A1096" s="31"/>
      <c r="B1096" s="32">
        <f>IF(A1096="","",DATE(YEAR(A1096),MONTH(A1096),1))</f>
      </c>
      <c r="C1096" s="11"/>
      <c r="D1096" s="11"/>
      <c r="E1096" s="16">
        <f>IF(OR(D1096="",C1096&lt;&gt;"Chi"),"",IFERROR(INDEX('Danh mục'!$B$39:$B$78,MATCH(D1096,'Danh mục'!$A$39:$A$78,0))&amp;"","?"))</f>
      </c>
      <c r="F1096" s="16">
        <f>IF(D1096="","",IF(C1096="Thu",IFERROR(INDEX('Danh mục'!$B$26:$B$35,MATCH(D1096,'Danh mục'!$A$26:$A$35,0))&amp;"","?"),IFERROR(INDEX('Danh mục'!$D$39:$D$78,MATCH(D1096,'Danh mục'!$A$39:$A$78,0))&amp;"","?")))</f>
      </c>
      <c r="G1096" s="16">
        <f>IF(OR(D1096="",C1096&lt;&gt;"Chi"),"",IFERROR(INDEX('Danh mục'!$C$39:$C$78,MATCH(D1096,'Danh mục'!$A$39:$A$78,0))&amp;"",""))</f>
      </c>
      <c r="H1096" s="11"/>
      <c r="I1096" s="20"/>
      <c r="J1096" s="11"/>
      <c r="K1096" s="11"/>
      <c r="L1096" s="11"/>
    </row>
    <row r="1097" spans="1:12" x14ac:dyDescent="0.3">
      <c r="A1097" s="31"/>
      <c r="B1097" s="32">
        <f>IF(A1097="","",DATE(YEAR(A1097),MONTH(A1097),1))</f>
      </c>
      <c r="C1097" s="11"/>
      <c r="D1097" s="11"/>
      <c r="E1097" s="16">
        <f>IF(OR(D1097="",C1097&lt;&gt;"Chi"),"",IFERROR(INDEX('Danh mục'!$B$39:$B$78,MATCH(D1097,'Danh mục'!$A$39:$A$78,0))&amp;"","?"))</f>
      </c>
      <c r="F1097" s="16">
        <f>IF(D1097="","",IF(C1097="Thu",IFERROR(INDEX('Danh mục'!$B$26:$B$35,MATCH(D1097,'Danh mục'!$A$26:$A$35,0))&amp;"","?"),IFERROR(INDEX('Danh mục'!$D$39:$D$78,MATCH(D1097,'Danh mục'!$A$39:$A$78,0))&amp;"","?")))</f>
      </c>
      <c r="G1097" s="16">
        <f>IF(OR(D1097="",C1097&lt;&gt;"Chi"),"",IFERROR(INDEX('Danh mục'!$C$39:$C$78,MATCH(D1097,'Danh mục'!$A$39:$A$78,0))&amp;"",""))</f>
      </c>
      <c r="H1097" s="11"/>
      <c r="I1097" s="20"/>
      <c r="J1097" s="11"/>
      <c r="K1097" s="11"/>
      <c r="L1097" s="11"/>
    </row>
    <row r="1098" spans="1:12" x14ac:dyDescent="0.3">
      <c r="A1098" s="31"/>
      <c r="B1098" s="32">
        <f>IF(A1098="","",DATE(YEAR(A1098),MONTH(A1098),1))</f>
      </c>
      <c r="C1098" s="11"/>
      <c r="D1098" s="11"/>
      <c r="E1098" s="16">
        <f>IF(OR(D1098="",C1098&lt;&gt;"Chi"),"",IFERROR(INDEX('Danh mục'!$B$39:$B$78,MATCH(D1098,'Danh mục'!$A$39:$A$78,0))&amp;"","?"))</f>
      </c>
      <c r="F1098" s="16">
        <f>IF(D1098="","",IF(C1098="Thu",IFERROR(INDEX('Danh mục'!$B$26:$B$35,MATCH(D1098,'Danh mục'!$A$26:$A$35,0))&amp;"","?"),IFERROR(INDEX('Danh mục'!$D$39:$D$78,MATCH(D1098,'Danh mục'!$A$39:$A$78,0))&amp;"","?")))</f>
      </c>
      <c r="G1098" s="16">
        <f>IF(OR(D1098="",C1098&lt;&gt;"Chi"),"",IFERROR(INDEX('Danh mục'!$C$39:$C$78,MATCH(D1098,'Danh mục'!$A$39:$A$78,0))&amp;"",""))</f>
      </c>
      <c r="H1098" s="11"/>
      <c r="I1098" s="20"/>
      <c r="J1098" s="11"/>
      <c r="K1098" s="11"/>
      <c r="L1098" s="11"/>
    </row>
    <row r="1099" spans="1:12" x14ac:dyDescent="0.3">
      <c r="A1099" s="31"/>
      <c r="B1099" s="32">
        <f>IF(A1099="","",DATE(YEAR(A1099),MONTH(A1099),1))</f>
      </c>
      <c r="C1099" s="11"/>
      <c r="D1099" s="11"/>
      <c r="E1099" s="16">
        <f>IF(OR(D1099="",C1099&lt;&gt;"Chi"),"",IFERROR(INDEX('Danh mục'!$B$39:$B$78,MATCH(D1099,'Danh mục'!$A$39:$A$78,0))&amp;"","?"))</f>
      </c>
      <c r="F1099" s="16">
        <f>IF(D1099="","",IF(C1099="Thu",IFERROR(INDEX('Danh mục'!$B$26:$B$35,MATCH(D1099,'Danh mục'!$A$26:$A$35,0))&amp;"","?"),IFERROR(INDEX('Danh mục'!$D$39:$D$78,MATCH(D1099,'Danh mục'!$A$39:$A$78,0))&amp;"","?")))</f>
      </c>
      <c r="G1099" s="16">
        <f>IF(OR(D1099="",C1099&lt;&gt;"Chi"),"",IFERROR(INDEX('Danh mục'!$C$39:$C$78,MATCH(D1099,'Danh mục'!$A$39:$A$78,0))&amp;"",""))</f>
      </c>
      <c r="H1099" s="11"/>
      <c r="I1099" s="20"/>
      <c r="J1099" s="11"/>
      <c r="K1099" s="11"/>
      <c r="L1099" s="11"/>
    </row>
    <row r="1100" spans="1:12" x14ac:dyDescent="0.3">
      <c r="A1100" s="31"/>
      <c r="B1100" s="32">
        <f>IF(A1100="","",DATE(YEAR(A1100),MONTH(A1100),1))</f>
      </c>
      <c r="C1100" s="11"/>
      <c r="D1100" s="11"/>
      <c r="E1100" s="16">
        <f>IF(OR(D1100="",C1100&lt;&gt;"Chi"),"",IFERROR(INDEX('Danh mục'!$B$39:$B$78,MATCH(D1100,'Danh mục'!$A$39:$A$78,0))&amp;"","?"))</f>
      </c>
      <c r="F1100" s="16">
        <f>IF(D1100="","",IF(C1100="Thu",IFERROR(INDEX('Danh mục'!$B$26:$B$35,MATCH(D1100,'Danh mục'!$A$26:$A$35,0))&amp;"","?"),IFERROR(INDEX('Danh mục'!$D$39:$D$78,MATCH(D1100,'Danh mục'!$A$39:$A$78,0))&amp;"","?")))</f>
      </c>
      <c r="G1100" s="16">
        <f>IF(OR(D1100="",C1100&lt;&gt;"Chi"),"",IFERROR(INDEX('Danh mục'!$C$39:$C$78,MATCH(D1100,'Danh mục'!$A$39:$A$78,0))&amp;"",""))</f>
      </c>
      <c r="H1100" s="11"/>
      <c r="I1100" s="20"/>
      <c r="J1100" s="11"/>
      <c r="K1100" s="11"/>
      <c r="L1100" s="11"/>
    </row>
    <row r="1101" spans="1:12" x14ac:dyDescent="0.3">
      <c r="A1101" s="31"/>
      <c r="B1101" s="32">
        <f>IF(A1101="","",DATE(YEAR(A1101),MONTH(A1101),1))</f>
      </c>
      <c r="C1101" s="11"/>
      <c r="D1101" s="11"/>
      <c r="E1101" s="16">
        <f>IF(OR(D1101="",C1101&lt;&gt;"Chi"),"",IFERROR(INDEX('Danh mục'!$B$39:$B$78,MATCH(D1101,'Danh mục'!$A$39:$A$78,0))&amp;"","?"))</f>
      </c>
      <c r="F1101" s="16">
        <f>IF(D1101="","",IF(C1101="Thu",IFERROR(INDEX('Danh mục'!$B$26:$B$35,MATCH(D1101,'Danh mục'!$A$26:$A$35,0))&amp;"","?"),IFERROR(INDEX('Danh mục'!$D$39:$D$78,MATCH(D1101,'Danh mục'!$A$39:$A$78,0))&amp;"","?")))</f>
      </c>
      <c r="G1101" s="16">
        <f>IF(OR(D1101="",C1101&lt;&gt;"Chi"),"",IFERROR(INDEX('Danh mục'!$C$39:$C$78,MATCH(D1101,'Danh mục'!$A$39:$A$78,0))&amp;"",""))</f>
      </c>
      <c r="H1101" s="11"/>
      <c r="I1101" s="20"/>
      <c r="J1101" s="11"/>
      <c r="K1101" s="11"/>
      <c r="L1101" s="11"/>
    </row>
    <row r="1102" spans="1:12" x14ac:dyDescent="0.3">
      <c r="A1102" s="31"/>
      <c r="B1102" s="32">
        <f>IF(A1102="","",DATE(YEAR(A1102),MONTH(A1102),1))</f>
      </c>
      <c r="C1102" s="11"/>
      <c r="D1102" s="11"/>
      <c r="E1102" s="16">
        <f>IF(OR(D1102="",C1102&lt;&gt;"Chi"),"",IFERROR(INDEX('Danh mục'!$B$39:$B$78,MATCH(D1102,'Danh mục'!$A$39:$A$78,0))&amp;"","?"))</f>
      </c>
      <c r="F1102" s="16">
        <f>IF(D1102="","",IF(C1102="Thu",IFERROR(INDEX('Danh mục'!$B$26:$B$35,MATCH(D1102,'Danh mục'!$A$26:$A$35,0))&amp;"","?"),IFERROR(INDEX('Danh mục'!$D$39:$D$78,MATCH(D1102,'Danh mục'!$A$39:$A$78,0))&amp;"","?")))</f>
      </c>
      <c r="G1102" s="16">
        <f>IF(OR(D1102="",C1102&lt;&gt;"Chi"),"",IFERROR(INDEX('Danh mục'!$C$39:$C$78,MATCH(D1102,'Danh mục'!$A$39:$A$78,0))&amp;"",""))</f>
      </c>
      <c r="H1102" s="11"/>
      <c r="I1102" s="20"/>
      <c r="J1102" s="11"/>
      <c r="K1102" s="11"/>
      <c r="L1102" s="11"/>
    </row>
    <row r="1103" spans="1:12" x14ac:dyDescent="0.3">
      <c r="A1103" s="31"/>
      <c r="B1103" s="32">
        <f>IF(A1103="","",DATE(YEAR(A1103),MONTH(A1103),1))</f>
      </c>
      <c r="C1103" s="11"/>
      <c r="D1103" s="11"/>
      <c r="E1103" s="16">
        <f>IF(OR(D1103="",C1103&lt;&gt;"Chi"),"",IFERROR(INDEX('Danh mục'!$B$39:$B$78,MATCH(D1103,'Danh mục'!$A$39:$A$78,0))&amp;"","?"))</f>
      </c>
      <c r="F1103" s="16">
        <f>IF(D1103="","",IF(C1103="Thu",IFERROR(INDEX('Danh mục'!$B$26:$B$35,MATCH(D1103,'Danh mục'!$A$26:$A$35,0))&amp;"","?"),IFERROR(INDEX('Danh mục'!$D$39:$D$78,MATCH(D1103,'Danh mục'!$A$39:$A$78,0))&amp;"","?")))</f>
      </c>
      <c r="G1103" s="16">
        <f>IF(OR(D1103="",C1103&lt;&gt;"Chi"),"",IFERROR(INDEX('Danh mục'!$C$39:$C$78,MATCH(D1103,'Danh mục'!$A$39:$A$78,0))&amp;"",""))</f>
      </c>
      <c r="H1103" s="11"/>
      <c r="I1103" s="20"/>
      <c r="J1103" s="11"/>
      <c r="K1103" s="11"/>
      <c r="L1103" s="11"/>
    </row>
    <row r="1104" spans="1:12" x14ac:dyDescent="0.3">
      <c r="A1104" s="31"/>
      <c r="B1104" s="32">
        <f>IF(A1104="","",DATE(YEAR(A1104),MONTH(A1104),1))</f>
      </c>
      <c r="C1104" s="11"/>
      <c r="D1104" s="11"/>
      <c r="E1104" s="16">
        <f>IF(OR(D1104="",C1104&lt;&gt;"Chi"),"",IFERROR(INDEX('Danh mục'!$B$39:$B$78,MATCH(D1104,'Danh mục'!$A$39:$A$78,0))&amp;"","?"))</f>
      </c>
      <c r="F1104" s="16">
        <f>IF(D1104="","",IF(C1104="Thu",IFERROR(INDEX('Danh mục'!$B$26:$B$35,MATCH(D1104,'Danh mục'!$A$26:$A$35,0))&amp;"","?"),IFERROR(INDEX('Danh mục'!$D$39:$D$78,MATCH(D1104,'Danh mục'!$A$39:$A$78,0))&amp;"","?")))</f>
      </c>
      <c r="G1104" s="16">
        <f>IF(OR(D1104="",C1104&lt;&gt;"Chi"),"",IFERROR(INDEX('Danh mục'!$C$39:$C$78,MATCH(D1104,'Danh mục'!$A$39:$A$78,0))&amp;"",""))</f>
      </c>
      <c r="H1104" s="11"/>
      <c r="I1104" s="20"/>
      <c r="J1104" s="11"/>
      <c r="K1104" s="11"/>
      <c r="L1104" s="11"/>
    </row>
    <row r="1105" spans="1:12" x14ac:dyDescent="0.3">
      <c r="A1105" s="31"/>
      <c r="B1105" s="32">
        <f>IF(A1105="","",DATE(YEAR(A1105),MONTH(A1105),1))</f>
      </c>
      <c r="C1105" s="11"/>
      <c r="D1105" s="11"/>
      <c r="E1105" s="16">
        <f>IF(OR(D1105="",C1105&lt;&gt;"Chi"),"",IFERROR(INDEX('Danh mục'!$B$39:$B$78,MATCH(D1105,'Danh mục'!$A$39:$A$78,0))&amp;"","?"))</f>
      </c>
      <c r="F1105" s="16">
        <f>IF(D1105="","",IF(C1105="Thu",IFERROR(INDEX('Danh mục'!$B$26:$B$35,MATCH(D1105,'Danh mục'!$A$26:$A$35,0))&amp;"","?"),IFERROR(INDEX('Danh mục'!$D$39:$D$78,MATCH(D1105,'Danh mục'!$A$39:$A$78,0))&amp;"","?")))</f>
      </c>
      <c r="G1105" s="16">
        <f>IF(OR(D1105="",C1105&lt;&gt;"Chi"),"",IFERROR(INDEX('Danh mục'!$C$39:$C$78,MATCH(D1105,'Danh mục'!$A$39:$A$78,0))&amp;"",""))</f>
      </c>
      <c r="H1105" s="11"/>
      <c r="I1105" s="20"/>
      <c r="J1105" s="11"/>
      <c r="K1105" s="11"/>
      <c r="L1105" s="11"/>
    </row>
    <row r="1106" spans="1:12" x14ac:dyDescent="0.3">
      <c r="A1106" s="31"/>
      <c r="B1106" s="32">
        <f>IF(A1106="","",DATE(YEAR(A1106),MONTH(A1106),1))</f>
      </c>
      <c r="C1106" s="11"/>
      <c r="D1106" s="11"/>
      <c r="E1106" s="16">
        <f>IF(OR(D1106="",C1106&lt;&gt;"Chi"),"",IFERROR(INDEX('Danh mục'!$B$39:$B$78,MATCH(D1106,'Danh mục'!$A$39:$A$78,0))&amp;"","?"))</f>
      </c>
      <c r="F1106" s="16">
        <f>IF(D1106="","",IF(C1106="Thu",IFERROR(INDEX('Danh mục'!$B$26:$B$35,MATCH(D1106,'Danh mục'!$A$26:$A$35,0))&amp;"","?"),IFERROR(INDEX('Danh mục'!$D$39:$D$78,MATCH(D1106,'Danh mục'!$A$39:$A$78,0))&amp;"","?")))</f>
      </c>
      <c r="G1106" s="16">
        <f>IF(OR(D1106="",C1106&lt;&gt;"Chi"),"",IFERROR(INDEX('Danh mục'!$C$39:$C$78,MATCH(D1106,'Danh mục'!$A$39:$A$78,0))&amp;"",""))</f>
      </c>
      <c r="H1106" s="11"/>
      <c r="I1106" s="20"/>
      <c r="J1106" s="11"/>
      <c r="K1106" s="11"/>
      <c r="L1106" s="11"/>
    </row>
    <row r="1107" spans="1:12" x14ac:dyDescent="0.3">
      <c r="A1107" s="31"/>
      <c r="B1107" s="32">
        <f>IF(A1107="","",DATE(YEAR(A1107),MONTH(A1107),1))</f>
      </c>
      <c r="C1107" s="11"/>
      <c r="D1107" s="11"/>
      <c r="E1107" s="16">
        <f>IF(OR(D1107="",C1107&lt;&gt;"Chi"),"",IFERROR(INDEX('Danh mục'!$B$39:$B$78,MATCH(D1107,'Danh mục'!$A$39:$A$78,0))&amp;"","?"))</f>
      </c>
      <c r="F1107" s="16">
        <f>IF(D1107="","",IF(C1107="Thu",IFERROR(INDEX('Danh mục'!$B$26:$B$35,MATCH(D1107,'Danh mục'!$A$26:$A$35,0))&amp;"","?"),IFERROR(INDEX('Danh mục'!$D$39:$D$78,MATCH(D1107,'Danh mục'!$A$39:$A$78,0))&amp;"","?")))</f>
      </c>
      <c r="G1107" s="16">
        <f>IF(OR(D1107="",C1107&lt;&gt;"Chi"),"",IFERROR(INDEX('Danh mục'!$C$39:$C$78,MATCH(D1107,'Danh mục'!$A$39:$A$78,0))&amp;"",""))</f>
      </c>
      <c r="H1107" s="11"/>
      <c r="I1107" s="20"/>
      <c r="J1107" s="11"/>
      <c r="K1107" s="11"/>
      <c r="L1107" s="11"/>
    </row>
    <row r="1108" spans="1:12" x14ac:dyDescent="0.3">
      <c r="A1108" s="31"/>
      <c r="B1108" s="32">
        <f>IF(A1108="","",DATE(YEAR(A1108),MONTH(A1108),1))</f>
      </c>
      <c r="C1108" s="11"/>
      <c r="D1108" s="11"/>
      <c r="E1108" s="16">
        <f>IF(OR(D1108="",C1108&lt;&gt;"Chi"),"",IFERROR(INDEX('Danh mục'!$B$39:$B$78,MATCH(D1108,'Danh mục'!$A$39:$A$78,0))&amp;"","?"))</f>
      </c>
      <c r="F1108" s="16">
        <f>IF(D1108="","",IF(C1108="Thu",IFERROR(INDEX('Danh mục'!$B$26:$B$35,MATCH(D1108,'Danh mục'!$A$26:$A$35,0))&amp;"","?"),IFERROR(INDEX('Danh mục'!$D$39:$D$78,MATCH(D1108,'Danh mục'!$A$39:$A$78,0))&amp;"","?")))</f>
      </c>
      <c r="G1108" s="16">
        <f>IF(OR(D1108="",C1108&lt;&gt;"Chi"),"",IFERROR(INDEX('Danh mục'!$C$39:$C$78,MATCH(D1108,'Danh mục'!$A$39:$A$78,0))&amp;"",""))</f>
      </c>
      <c r="H1108" s="11"/>
      <c r="I1108" s="20"/>
      <c r="J1108" s="11"/>
      <c r="K1108" s="11"/>
      <c r="L1108" s="11"/>
    </row>
    <row r="1109" spans="1:12" x14ac:dyDescent="0.3">
      <c r="A1109" s="31"/>
      <c r="B1109" s="32">
        <f>IF(A1109="","",DATE(YEAR(A1109),MONTH(A1109),1))</f>
      </c>
      <c r="C1109" s="11"/>
      <c r="D1109" s="11"/>
      <c r="E1109" s="16">
        <f>IF(OR(D1109="",C1109&lt;&gt;"Chi"),"",IFERROR(INDEX('Danh mục'!$B$39:$B$78,MATCH(D1109,'Danh mục'!$A$39:$A$78,0))&amp;"","?"))</f>
      </c>
      <c r="F1109" s="16">
        <f>IF(D1109="","",IF(C1109="Thu",IFERROR(INDEX('Danh mục'!$B$26:$B$35,MATCH(D1109,'Danh mục'!$A$26:$A$35,0))&amp;"","?"),IFERROR(INDEX('Danh mục'!$D$39:$D$78,MATCH(D1109,'Danh mục'!$A$39:$A$78,0))&amp;"","?")))</f>
      </c>
      <c r="G1109" s="16">
        <f>IF(OR(D1109="",C1109&lt;&gt;"Chi"),"",IFERROR(INDEX('Danh mục'!$C$39:$C$78,MATCH(D1109,'Danh mục'!$A$39:$A$78,0))&amp;"",""))</f>
      </c>
      <c r="H1109" s="11"/>
      <c r="I1109" s="20"/>
      <c r="J1109" s="11"/>
      <c r="K1109" s="11"/>
      <c r="L1109" s="11"/>
    </row>
    <row r="1110" spans="1:12" x14ac:dyDescent="0.3">
      <c r="A1110" s="31"/>
      <c r="B1110" s="32">
        <f>IF(A1110="","",DATE(YEAR(A1110),MONTH(A1110),1))</f>
      </c>
      <c r="C1110" s="11"/>
      <c r="D1110" s="11"/>
      <c r="E1110" s="16">
        <f>IF(OR(D1110="",C1110&lt;&gt;"Chi"),"",IFERROR(INDEX('Danh mục'!$B$39:$B$78,MATCH(D1110,'Danh mục'!$A$39:$A$78,0))&amp;"","?"))</f>
      </c>
      <c r="F1110" s="16">
        <f>IF(D1110="","",IF(C1110="Thu",IFERROR(INDEX('Danh mục'!$B$26:$B$35,MATCH(D1110,'Danh mục'!$A$26:$A$35,0))&amp;"","?"),IFERROR(INDEX('Danh mục'!$D$39:$D$78,MATCH(D1110,'Danh mục'!$A$39:$A$78,0))&amp;"","?")))</f>
      </c>
      <c r="G1110" s="16">
        <f>IF(OR(D1110="",C1110&lt;&gt;"Chi"),"",IFERROR(INDEX('Danh mục'!$C$39:$C$78,MATCH(D1110,'Danh mục'!$A$39:$A$78,0))&amp;"",""))</f>
      </c>
      <c r="H1110" s="11"/>
      <c r="I1110" s="20"/>
      <c r="J1110" s="11"/>
      <c r="K1110" s="11"/>
      <c r="L1110" s="11"/>
    </row>
    <row r="1111" spans="1:12" x14ac:dyDescent="0.3">
      <c r="A1111" s="31"/>
      <c r="B1111" s="32">
        <f>IF(A1111="","",DATE(YEAR(A1111),MONTH(A1111),1))</f>
      </c>
      <c r="C1111" s="11"/>
      <c r="D1111" s="11"/>
      <c r="E1111" s="16">
        <f>IF(OR(D1111="",C1111&lt;&gt;"Chi"),"",IFERROR(INDEX('Danh mục'!$B$39:$B$78,MATCH(D1111,'Danh mục'!$A$39:$A$78,0))&amp;"","?"))</f>
      </c>
      <c r="F1111" s="16">
        <f>IF(D1111="","",IF(C1111="Thu",IFERROR(INDEX('Danh mục'!$B$26:$B$35,MATCH(D1111,'Danh mục'!$A$26:$A$35,0))&amp;"","?"),IFERROR(INDEX('Danh mục'!$D$39:$D$78,MATCH(D1111,'Danh mục'!$A$39:$A$78,0))&amp;"","?")))</f>
      </c>
      <c r="G1111" s="16">
        <f>IF(OR(D1111="",C1111&lt;&gt;"Chi"),"",IFERROR(INDEX('Danh mục'!$C$39:$C$78,MATCH(D1111,'Danh mục'!$A$39:$A$78,0))&amp;"",""))</f>
      </c>
      <c r="H1111" s="11"/>
      <c r="I1111" s="20"/>
      <c r="J1111" s="11"/>
      <c r="K1111" s="11"/>
      <c r="L1111" s="11"/>
    </row>
    <row r="1112" spans="1:12" x14ac:dyDescent="0.3">
      <c r="A1112" s="31"/>
      <c r="B1112" s="32">
        <f>IF(A1112="","",DATE(YEAR(A1112),MONTH(A1112),1))</f>
      </c>
      <c r="C1112" s="11"/>
      <c r="D1112" s="11"/>
      <c r="E1112" s="16">
        <f>IF(OR(D1112="",C1112&lt;&gt;"Chi"),"",IFERROR(INDEX('Danh mục'!$B$39:$B$78,MATCH(D1112,'Danh mục'!$A$39:$A$78,0))&amp;"","?"))</f>
      </c>
      <c r="F1112" s="16">
        <f>IF(D1112="","",IF(C1112="Thu",IFERROR(INDEX('Danh mục'!$B$26:$B$35,MATCH(D1112,'Danh mục'!$A$26:$A$35,0))&amp;"","?"),IFERROR(INDEX('Danh mục'!$D$39:$D$78,MATCH(D1112,'Danh mục'!$A$39:$A$78,0))&amp;"","?")))</f>
      </c>
      <c r="G1112" s="16">
        <f>IF(OR(D1112="",C1112&lt;&gt;"Chi"),"",IFERROR(INDEX('Danh mục'!$C$39:$C$78,MATCH(D1112,'Danh mục'!$A$39:$A$78,0))&amp;"",""))</f>
      </c>
      <c r="H1112" s="11"/>
      <c r="I1112" s="20"/>
      <c r="J1112" s="11"/>
      <c r="K1112" s="11"/>
      <c r="L1112" s="11"/>
    </row>
    <row r="1113" spans="1:12" x14ac:dyDescent="0.3">
      <c r="A1113" s="31"/>
      <c r="B1113" s="32">
        <f>IF(A1113="","",DATE(YEAR(A1113),MONTH(A1113),1))</f>
      </c>
      <c r="C1113" s="11"/>
      <c r="D1113" s="11"/>
      <c r="E1113" s="16">
        <f>IF(OR(D1113="",C1113&lt;&gt;"Chi"),"",IFERROR(INDEX('Danh mục'!$B$39:$B$78,MATCH(D1113,'Danh mục'!$A$39:$A$78,0))&amp;"","?"))</f>
      </c>
      <c r="F1113" s="16">
        <f>IF(D1113="","",IF(C1113="Thu",IFERROR(INDEX('Danh mục'!$B$26:$B$35,MATCH(D1113,'Danh mục'!$A$26:$A$35,0))&amp;"","?"),IFERROR(INDEX('Danh mục'!$D$39:$D$78,MATCH(D1113,'Danh mục'!$A$39:$A$78,0))&amp;"","?")))</f>
      </c>
      <c r="G1113" s="16">
        <f>IF(OR(D1113="",C1113&lt;&gt;"Chi"),"",IFERROR(INDEX('Danh mục'!$C$39:$C$78,MATCH(D1113,'Danh mục'!$A$39:$A$78,0))&amp;"",""))</f>
      </c>
      <c r="H1113" s="11"/>
      <c r="I1113" s="20"/>
      <c r="J1113" s="11"/>
      <c r="K1113" s="11"/>
      <c r="L1113" s="11"/>
    </row>
    <row r="1114" spans="1:12" x14ac:dyDescent="0.3">
      <c r="A1114" s="31"/>
      <c r="B1114" s="32">
        <f>IF(A1114="","",DATE(YEAR(A1114),MONTH(A1114),1))</f>
      </c>
      <c r="C1114" s="11"/>
      <c r="D1114" s="11"/>
      <c r="E1114" s="16">
        <f>IF(OR(D1114="",C1114&lt;&gt;"Chi"),"",IFERROR(INDEX('Danh mục'!$B$39:$B$78,MATCH(D1114,'Danh mục'!$A$39:$A$78,0))&amp;"","?"))</f>
      </c>
      <c r="F1114" s="16">
        <f>IF(D1114="","",IF(C1114="Thu",IFERROR(INDEX('Danh mục'!$B$26:$B$35,MATCH(D1114,'Danh mục'!$A$26:$A$35,0))&amp;"","?"),IFERROR(INDEX('Danh mục'!$D$39:$D$78,MATCH(D1114,'Danh mục'!$A$39:$A$78,0))&amp;"","?")))</f>
      </c>
      <c r="G1114" s="16">
        <f>IF(OR(D1114="",C1114&lt;&gt;"Chi"),"",IFERROR(INDEX('Danh mục'!$C$39:$C$78,MATCH(D1114,'Danh mục'!$A$39:$A$78,0))&amp;"",""))</f>
      </c>
      <c r="H1114" s="11"/>
      <c r="I1114" s="20"/>
      <c r="J1114" s="11"/>
      <c r="K1114" s="11"/>
      <c r="L1114" s="11"/>
    </row>
    <row r="1115" spans="1:12" x14ac:dyDescent="0.3">
      <c r="A1115" s="31"/>
      <c r="B1115" s="32">
        <f>IF(A1115="","",DATE(YEAR(A1115),MONTH(A1115),1))</f>
      </c>
      <c r="C1115" s="11"/>
      <c r="D1115" s="11"/>
      <c r="E1115" s="16">
        <f>IF(OR(D1115="",C1115&lt;&gt;"Chi"),"",IFERROR(INDEX('Danh mục'!$B$39:$B$78,MATCH(D1115,'Danh mục'!$A$39:$A$78,0))&amp;"","?"))</f>
      </c>
      <c r="F1115" s="16">
        <f>IF(D1115="","",IF(C1115="Thu",IFERROR(INDEX('Danh mục'!$B$26:$B$35,MATCH(D1115,'Danh mục'!$A$26:$A$35,0))&amp;"","?"),IFERROR(INDEX('Danh mục'!$D$39:$D$78,MATCH(D1115,'Danh mục'!$A$39:$A$78,0))&amp;"","?")))</f>
      </c>
      <c r="G1115" s="16">
        <f>IF(OR(D1115="",C1115&lt;&gt;"Chi"),"",IFERROR(INDEX('Danh mục'!$C$39:$C$78,MATCH(D1115,'Danh mục'!$A$39:$A$78,0))&amp;"",""))</f>
      </c>
      <c r="H1115" s="11"/>
      <c r="I1115" s="20"/>
      <c r="J1115" s="11"/>
      <c r="K1115" s="11"/>
      <c r="L1115" s="11"/>
    </row>
    <row r="1116" spans="1:12" x14ac:dyDescent="0.3">
      <c r="A1116" s="31"/>
      <c r="B1116" s="32">
        <f>IF(A1116="","",DATE(YEAR(A1116),MONTH(A1116),1))</f>
      </c>
      <c r="C1116" s="11"/>
      <c r="D1116" s="11"/>
      <c r="E1116" s="16">
        <f>IF(OR(D1116="",C1116&lt;&gt;"Chi"),"",IFERROR(INDEX('Danh mục'!$B$39:$B$78,MATCH(D1116,'Danh mục'!$A$39:$A$78,0))&amp;"","?"))</f>
      </c>
      <c r="F1116" s="16">
        <f>IF(D1116="","",IF(C1116="Thu",IFERROR(INDEX('Danh mục'!$B$26:$B$35,MATCH(D1116,'Danh mục'!$A$26:$A$35,0))&amp;"","?"),IFERROR(INDEX('Danh mục'!$D$39:$D$78,MATCH(D1116,'Danh mục'!$A$39:$A$78,0))&amp;"","?")))</f>
      </c>
      <c r="G1116" s="16">
        <f>IF(OR(D1116="",C1116&lt;&gt;"Chi"),"",IFERROR(INDEX('Danh mục'!$C$39:$C$78,MATCH(D1116,'Danh mục'!$A$39:$A$78,0))&amp;"",""))</f>
      </c>
      <c r="H1116" s="11"/>
      <c r="I1116" s="20"/>
      <c r="J1116" s="11"/>
      <c r="K1116" s="11"/>
      <c r="L1116" s="11"/>
    </row>
    <row r="1117" spans="1:12" x14ac:dyDescent="0.3">
      <c r="A1117" s="31"/>
      <c r="B1117" s="32">
        <f>IF(A1117="","",DATE(YEAR(A1117),MONTH(A1117),1))</f>
      </c>
      <c r="C1117" s="11"/>
      <c r="D1117" s="11"/>
      <c r="E1117" s="16">
        <f>IF(OR(D1117="",C1117&lt;&gt;"Chi"),"",IFERROR(INDEX('Danh mục'!$B$39:$B$78,MATCH(D1117,'Danh mục'!$A$39:$A$78,0))&amp;"","?"))</f>
      </c>
      <c r="F1117" s="16">
        <f>IF(D1117="","",IF(C1117="Thu",IFERROR(INDEX('Danh mục'!$B$26:$B$35,MATCH(D1117,'Danh mục'!$A$26:$A$35,0))&amp;"","?"),IFERROR(INDEX('Danh mục'!$D$39:$D$78,MATCH(D1117,'Danh mục'!$A$39:$A$78,0))&amp;"","?")))</f>
      </c>
      <c r="G1117" s="16">
        <f>IF(OR(D1117="",C1117&lt;&gt;"Chi"),"",IFERROR(INDEX('Danh mục'!$C$39:$C$78,MATCH(D1117,'Danh mục'!$A$39:$A$78,0))&amp;"",""))</f>
      </c>
      <c r="H1117" s="11"/>
      <c r="I1117" s="20"/>
      <c r="J1117" s="11"/>
      <c r="K1117" s="11"/>
      <c r="L1117" s="11"/>
    </row>
    <row r="1118" spans="1:12" x14ac:dyDescent="0.3">
      <c r="A1118" s="31"/>
      <c r="B1118" s="32">
        <f>IF(A1118="","",DATE(YEAR(A1118),MONTH(A1118),1))</f>
      </c>
      <c r="C1118" s="11"/>
      <c r="D1118" s="11"/>
      <c r="E1118" s="16">
        <f>IF(OR(D1118="",C1118&lt;&gt;"Chi"),"",IFERROR(INDEX('Danh mục'!$B$39:$B$78,MATCH(D1118,'Danh mục'!$A$39:$A$78,0))&amp;"","?"))</f>
      </c>
      <c r="F1118" s="16">
        <f>IF(D1118="","",IF(C1118="Thu",IFERROR(INDEX('Danh mục'!$B$26:$B$35,MATCH(D1118,'Danh mục'!$A$26:$A$35,0))&amp;"","?"),IFERROR(INDEX('Danh mục'!$D$39:$D$78,MATCH(D1118,'Danh mục'!$A$39:$A$78,0))&amp;"","?")))</f>
      </c>
      <c r="G1118" s="16">
        <f>IF(OR(D1118="",C1118&lt;&gt;"Chi"),"",IFERROR(INDEX('Danh mục'!$C$39:$C$78,MATCH(D1118,'Danh mục'!$A$39:$A$78,0))&amp;"",""))</f>
      </c>
      <c r="H1118" s="11"/>
      <c r="I1118" s="20"/>
      <c r="J1118" s="11"/>
      <c r="K1118" s="11"/>
      <c r="L1118" s="11"/>
    </row>
    <row r="1119" spans="1:12" x14ac:dyDescent="0.3">
      <c r="A1119" s="31"/>
      <c r="B1119" s="32">
        <f>IF(A1119="","",DATE(YEAR(A1119),MONTH(A1119),1))</f>
      </c>
      <c r="C1119" s="11"/>
      <c r="D1119" s="11"/>
      <c r="E1119" s="16">
        <f>IF(OR(D1119="",C1119&lt;&gt;"Chi"),"",IFERROR(INDEX('Danh mục'!$B$39:$B$78,MATCH(D1119,'Danh mục'!$A$39:$A$78,0))&amp;"","?"))</f>
      </c>
      <c r="F1119" s="16">
        <f>IF(D1119="","",IF(C1119="Thu",IFERROR(INDEX('Danh mục'!$B$26:$B$35,MATCH(D1119,'Danh mục'!$A$26:$A$35,0))&amp;"","?"),IFERROR(INDEX('Danh mục'!$D$39:$D$78,MATCH(D1119,'Danh mục'!$A$39:$A$78,0))&amp;"","?")))</f>
      </c>
      <c r="G1119" s="16">
        <f>IF(OR(D1119="",C1119&lt;&gt;"Chi"),"",IFERROR(INDEX('Danh mục'!$C$39:$C$78,MATCH(D1119,'Danh mục'!$A$39:$A$78,0))&amp;"",""))</f>
      </c>
      <c r="H1119" s="11"/>
      <c r="I1119" s="20"/>
      <c r="J1119" s="11"/>
      <c r="K1119" s="11"/>
      <c r="L1119" s="11"/>
    </row>
    <row r="1120" spans="1:12" x14ac:dyDescent="0.3">
      <c r="A1120" s="31"/>
      <c r="B1120" s="32">
        <f>IF(A1120="","",DATE(YEAR(A1120),MONTH(A1120),1))</f>
      </c>
      <c r="C1120" s="11"/>
      <c r="D1120" s="11"/>
      <c r="E1120" s="16">
        <f>IF(OR(D1120="",C1120&lt;&gt;"Chi"),"",IFERROR(INDEX('Danh mục'!$B$39:$B$78,MATCH(D1120,'Danh mục'!$A$39:$A$78,0))&amp;"","?"))</f>
      </c>
      <c r="F1120" s="16">
        <f>IF(D1120="","",IF(C1120="Thu",IFERROR(INDEX('Danh mục'!$B$26:$B$35,MATCH(D1120,'Danh mục'!$A$26:$A$35,0))&amp;"","?"),IFERROR(INDEX('Danh mục'!$D$39:$D$78,MATCH(D1120,'Danh mục'!$A$39:$A$78,0))&amp;"","?")))</f>
      </c>
      <c r="G1120" s="16">
        <f>IF(OR(D1120="",C1120&lt;&gt;"Chi"),"",IFERROR(INDEX('Danh mục'!$C$39:$C$78,MATCH(D1120,'Danh mục'!$A$39:$A$78,0))&amp;"",""))</f>
      </c>
      <c r="H1120" s="11"/>
      <c r="I1120" s="20"/>
      <c r="J1120" s="11"/>
      <c r="K1120" s="11"/>
      <c r="L1120" s="11"/>
    </row>
    <row r="1121" spans="1:12" x14ac:dyDescent="0.3">
      <c r="A1121" s="31"/>
      <c r="B1121" s="32">
        <f>IF(A1121="","",DATE(YEAR(A1121),MONTH(A1121),1))</f>
      </c>
      <c r="C1121" s="11"/>
      <c r="D1121" s="11"/>
      <c r="E1121" s="16">
        <f>IF(OR(D1121="",C1121&lt;&gt;"Chi"),"",IFERROR(INDEX('Danh mục'!$B$39:$B$78,MATCH(D1121,'Danh mục'!$A$39:$A$78,0))&amp;"","?"))</f>
      </c>
      <c r="F1121" s="16">
        <f>IF(D1121="","",IF(C1121="Thu",IFERROR(INDEX('Danh mục'!$B$26:$B$35,MATCH(D1121,'Danh mục'!$A$26:$A$35,0))&amp;"","?"),IFERROR(INDEX('Danh mục'!$D$39:$D$78,MATCH(D1121,'Danh mục'!$A$39:$A$78,0))&amp;"","?")))</f>
      </c>
      <c r="G1121" s="16">
        <f>IF(OR(D1121="",C1121&lt;&gt;"Chi"),"",IFERROR(INDEX('Danh mục'!$C$39:$C$78,MATCH(D1121,'Danh mục'!$A$39:$A$78,0))&amp;"",""))</f>
      </c>
      <c r="H1121" s="11"/>
      <c r="I1121" s="20"/>
      <c r="J1121" s="11"/>
      <c r="K1121" s="11"/>
      <c r="L1121" s="11"/>
    </row>
    <row r="1122" spans="1:12" x14ac:dyDescent="0.3">
      <c r="A1122" s="31"/>
      <c r="B1122" s="32">
        <f>IF(A1122="","",DATE(YEAR(A1122),MONTH(A1122),1))</f>
      </c>
      <c r="C1122" s="11"/>
      <c r="D1122" s="11"/>
      <c r="E1122" s="16">
        <f>IF(OR(D1122="",C1122&lt;&gt;"Chi"),"",IFERROR(INDEX('Danh mục'!$B$39:$B$78,MATCH(D1122,'Danh mục'!$A$39:$A$78,0))&amp;"","?"))</f>
      </c>
      <c r="F1122" s="16">
        <f>IF(D1122="","",IF(C1122="Thu",IFERROR(INDEX('Danh mục'!$B$26:$B$35,MATCH(D1122,'Danh mục'!$A$26:$A$35,0))&amp;"","?"),IFERROR(INDEX('Danh mục'!$D$39:$D$78,MATCH(D1122,'Danh mục'!$A$39:$A$78,0))&amp;"","?")))</f>
      </c>
      <c r="G1122" s="16">
        <f>IF(OR(D1122="",C1122&lt;&gt;"Chi"),"",IFERROR(INDEX('Danh mục'!$C$39:$C$78,MATCH(D1122,'Danh mục'!$A$39:$A$78,0))&amp;"",""))</f>
      </c>
      <c r="H1122" s="11"/>
      <c r="I1122" s="20"/>
      <c r="J1122" s="11"/>
      <c r="K1122" s="11"/>
      <c r="L1122" s="11"/>
    </row>
    <row r="1123" spans="1:12" x14ac:dyDescent="0.3">
      <c r="A1123" s="31"/>
      <c r="B1123" s="32">
        <f>IF(A1123="","",DATE(YEAR(A1123),MONTH(A1123),1))</f>
      </c>
      <c r="C1123" s="11"/>
      <c r="D1123" s="11"/>
      <c r="E1123" s="16">
        <f>IF(OR(D1123="",C1123&lt;&gt;"Chi"),"",IFERROR(INDEX('Danh mục'!$B$39:$B$78,MATCH(D1123,'Danh mục'!$A$39:$A$78,0))&amp;"","?"))</f>
      </c>
      <c r="F1123" s="16">
        <f>IF(D1123="","",IF(C1123="Thu",IFERROR(INDEX('Danh mục'!$B$26:$B$35,MATCH(D1123,'Danh mục'!$A$26:$A$35,0))&amp;"","?"),IFERROR(INDEX('Danh mục'!$D$39:$D$78,MATCH(D1123,'Danh mục'!$A$39:$A$78,0))&amp;"","?")))</f>
      </c>
      <c r="G1123" s="16">
        <f>IF(OR(D1123="",C1123&lt;&gt;"Chi"),"",IFERROR(INDEX('Danh mục'!$C$39:$C$78,MATCH(D1123,'Danh mục'!$A$39:$A$78,0))&amp;"",""))</f>
      </c>
      <c r="H1123" s="11"/>
      <c r="I1123" s="20"/>
      <c r="J1123" s="11"/>
      <c r="K1123" s="11"/>
      <c r="L1123" s="11"/>
    </row>
    <row r="1124" spans="1:12" x14ac:dyDescent="0.3">
      <c r="A1124" s="31"/>
      <c r="B1124" s="32">
        <f>IF(A1124="","",DATE(YEAR(A1124),MONTH(A1124),1))</f>
      </c>
      <c r="C1124" s="11"/>
      <c r="D1124" s="11"/>
      <c r="E1124" s="16">
        <f>IF(OR(D1124="",C1124&lt;&gt;"Chi"),"",IFERROR(INDEX('Danh mục'!$B$39:$B$78,MATCH(D1124,'Danh mục'!$A$39:$A$78,0))&amp;"","?"))</f>
      </c>
      <c r="F1124" s="16">
        <f>IF(D1124="","",IF(C1124="Thu",IFERROR(INDEX('Danh mục'!$B$26:$B$35,MATCH(D1124,'Danh mục'!$A$26:$A$35,0))&amp;"","?"),IFERROR(INDEX('Danh mục'!$D$39:$D$78,MATCH(D1124,'Danh mục'!$A$39:$A$78,0))&amp;"","?")))</f>
      </c>
      <c r="G1124" s="16">
        <f>IF(OR(D1124="",C1124&lt;&gt;"Chi"),"",IFERROR(INDEX('Danh mục'!$C$39:$C$78,MATCH(D1124,'Danh mục'!$A$39:$A$78,0))&amp;"",""))</f>
      </c>
      <c r="H1124" s="11"/>
      <c r="I1124" s="20"/>
      <c r="J1124" s="11"/>
      <c r="K1124" s="11"/>
      <c r="L1124" s="11"/>
    </row>
    <row r="1125" spans="1:12" x14ac:dyDescent="0.3">
      <c r="A1125" s="31"/>
      <c r="B1125" s="32">
        <f>IF(A1125="","",DATE(YEAR(A1125),MONTH(A1125),1))</f>
      </c>
      <c r="C1125" s="11"/>
      <c r="D1125" s="11"/>
      <c r="E1125" s="16">
        <f>IF(OR(D1125="",C1125&lt;&gt;"Chi"),"",IFERROR(INDEX('Danh mục'!$B$39:$B$78,MATCH(D1125,'Danh mục'!$A$39:$A$78,0))&amp;"","?"))</f>
      </c>
      <c r="F1125" s="16">
        <f>IF(D1125="","",IF(C1125="Thu",IFERROR(INDEX('Danh mục'!$B$26:$B$35,MATCH(D1125,'Danh mục'!$A$26:$A$35,0))&amp;"","?"),IFERROR(INDEX('Danh mục'!$D$39:$D$78,MATCH(D1125,'Danh mục'!$A$39:$A$78,0))&amp;"","?")))</f>
      </c>
      <c r="G1125" s="16">
        <f>IF(OR(D1125="",C1125&lt;&gt;"Chi"),"",IFERROR(INDEX('Danh mục'!$C$39:$C$78,MATCH(D1125,'Danh mục'!$A$39:$A$78,0))&amp;"",""))</f>
      </c>
      <c r="H1125" s="11"/>
      <c r="I1125" s="20"/>
      <c r="J1125" s="11"/>
      <c r="K1125" s="11"/>
      <c r="L1125" s="11"/>
    </row>
    <row r="1126" spans="1:12" x14ac:dyDescent="0.3">
      <c r="A1126" s="31"/>
      <c r="B1126" s="32">
        <f>IF(A1126="","",DATE(YEAR(A1126),MONTH(A1126),1))</f>
      </c>
      <c r="C1126" s="11"/>
      <c r="D1126" s="11"/>
      <c r="E1126" s="16">
        <f>IF(OR(D1126="",C1126&lt;&gt;"Chi"),"",IFERROR(INDEX('Danh mục'!$B$39:$B$78,MATCH(D1126,'Danh mục'!$A$39:$A$78,0))&amp;"","?"))</f>
      </c>
      <c r="F1126" s="16">
        <f>IF(D1126="","",IF(C1126="Thu",IFERROR(INDEX('Danh mục'!$B$26:$B$35,MATCH(D1126,'Danh mục'!$A$26:$A$35,0))&amp;"","?"),IFERROR(INDEX('Danh mục'!$D$39:$D$78,MATCH(D1126,'Danh mục'!$A$39:$A$78,0))&amp;"","?")))</f>
      </c>
      <c r="G1126" s="16">
        <f>IF(OR(D1126="",C1126&lt;&gt;"Chi"),"",IFERROR(INDEX('Danh mục'!$C$39:$C$78,MATCH(D1126,'Danh mục'!$A$39:$A$78,0))&amp;"",""))</f>
      </c>
      <c r="H1126" s="11"/>
      <c r="I1126" s="20"/>
      <c r="J1126" s="11"/>
      <c r="K1126" s="11"/>
      <c r="L1126" s="11"/>
    </row>
    <row r="1127" spans="1:12" x14ac:dyDescent="0.3">
      <c r="A1127" s="31"/>
      <c r="B1127" s="32">
        <f>IF(A1127="","",DATE(YEAR(A1127),MONTH(A1127),1))</f>
      </c>
      <c r="C1127" s="11"/>
      <c r="D1127" s="11"/>
      <c r="E1127" s="16">
        <f>IF(OR(D1127="",C1127&lt;&gt;"Chi"),"",IFERROR(INDEX('Danh mục'!$B$39:$B$78,MATCH(D1127,'Danh mục'!$A$39:$A$78,0))&amp;"","?"))</f>
      </c>
      <c r="F1127" s="16">
        <f>IF(D1127="","",IF(C1127="Thu",IFERROR(INDEX('Danh mục'!$B$26:$B$35,MATCH(D1127,'Danh mục'!$A$26:$A$35,0))&amp;"","?"),IFERROR(INDEX('Danh mục'!$D$39:$D$78,MATCH(D1127,'Danh mục'!$A$39:$A$78,0))&amp;"","?")))</f>
      </c>
      <c r="G1127" s="16">
        <f>IF(OR(D1127="",C1127&lt;&gt;"Chi"),"",IFERROR(INDEX('Danh mục'!$C$39:$C$78,MATCH(D1127,'Danh mục'!$A$39:$A$78,0))&amp;"",""))</f>
      </c>
      <c r="H1127" s="11"/>
      <c r="I1127" s="20"/>
      <c r="J1127" s="11"/>
      <c r="K1127" s="11"/>
      <c r="L1127" s="11"/>
    </row>
    <row r="1128" spans="1:12" x14ac:dyDescent="0.3">
      <c r="A1128" s="31"/>
      <c r="B1128" s="32">
        <f>IF(A1128="","",DATE(YEAR(A1128),MONTH(A1128),1))</f>
      </c>
      <c r="C1128" s="11"/>
      <c r="D1128" s="11"/>
      <c r="E1128" s="16">
        <f>IF(OR(D1128="",C1128&lt;&gt;"Chi"),"",IFERROR(INDEX('Danh mục'!$B$39:$B$78,MATCH(D1128,'Danh mục'!$A$39:$A$78,0))&amp;"","?"))</f>
      </c>
      <c r="F1128" s="16">
        <f>IF(D1128="","",IF(C1128="Thu",IFERROR(INDEX('Danh mục'!$B$26:$B$35,MATCH(D1128,'Danh mục'!$A$26:$A$35,0))&amp;"","?"),IFERROR(INDEX('Danh mục'!$D$39:$D$78,MATCH(D1128,'Danh mục'!$A$39:$A$78,0))&amp;"","?")))</f>
      </c>
      <c r="G1128" s="16">
        <f>IF(OR(D1128="",C1128&lt;&gt;"Chi"),"",IFERROR(INDEX('Danh mục'!$C$39:$C$78,MATCH(D1128,'Danh mục'!$A$39:$A$78,0))&amp;"",""))</f>
      </c>
      <c r="H1128" s="11"/>
      <c r="I1128" s="20"/>
      <c r="J1128" s="11"/>
      <c r="K1128" s="11"/>
      <c r="L1128" s="11"/>
    </row>
    <row r="1129" spans="1:12" x14ac:dyDescent="0.3">
      <c r="A1129" s="31"/>
      <c r="B1129" s="32">
        <f>IF(A1129="","",DATE(YEAR(A1129),MONTH(A1129),1))</f>
      </c>
      <c r="C1129" s="11"/>
      <c r="D1129" s="11"/>
      <c r="E1129" s="16">
        <f>IF(OR(D1129="",C1129&lt;&gt;"Chi"),"",IFERROR(INDEX('Danh mục'!$B$39:$B$78,MATCH(D1129,'Danh mục'!$A$39:$A$78,0))&amp;"","?"))</f>
      </c>
      <c r="F1129" s="16">
        <f>IF(D1129="","",IF(C1129="Thu",IFERROR(INDEX('Danh mục'!$B$26:$B$35,MATCH(D1129,'Danh mục'!$A$26:$A$35,0))&amp;"","?"),IFERROR(INDEX('Danh mục'!$D$39:$D$78,MATCH(D1129,'Danh mục'!$A$39:$A$78,0))&amp;"","?")))</f>
      </c>
      <c r="G1129" s="16">
        <f>IF(OR(D1129="",C1129&lt;&gt;"Chi"),"",IFERROR(INDEX('Danh mục'!$C$39:$C$78,MATCH(D1129,'Danh mục'!$A$39:$A$78,0))&amp;"",""))</f>
      </c>
      <c r="H1129" s="11"/>
      <c r="I1129" s="20"/>
      <c r="J1129" s="11"/>
      <c r="K1129" s="11"/>
      <c r="L1129" s="11"/>
    </row>
    <row r="1130" spans="1:12" x14ac:dyDescent="0.3">
      <c r="A1130" s="31"/>
      <c r="B1130" s="32">
        <f>IF(A1130="","",DATE(YEAR(A1130),MONTH(A1130),1))</f>
      </c>
      <c r="C1130" s="11"/>
      <c r="D1130" s="11"/>
      <c r="E1130" s="16">
        <f>IF(OR(D1130="",C1130&lt;&gt;"Chi"),"",IFERROR(INDEX('Danh mục'!$B$39:$B$78,MATCH(D1130,'Danh mục'!$A$39:$A$78,0))&amp;"","?"))</f>
      </c>
      <c r="F1130" s="16">
        <f>IF(D1130="","",IF(C1130="Thu",IFERROR(INDEX('Danh mục'!$B$26:$B$35,MATCH(D1130,'Danh mục'!$A$26:$A$35,0))&amp;"","?"),IFERROR(INDEX('Danh mục'!$D$39:$D$78,MATCH(D1130,'Danh mục'!$A$39:$A$78,0))&amp;"","?")))</f>
      </c>
      <c r="G1130" s="16">
        <f>IF(OR(D1130="",C1130&lt;&gt;"Chi"),"",IFERROR(INDEX('Danh mục'!$C$39:$C$78,MATCH(D1130,'Danh mục'!$A$39:$A$78,0))&amp;"",""))</f>
      </c>
      <c r="H1130" s="11"/>
      <c r="I1130" s="20"/>
      <c r="J1130" s="11"/>
      <c r="K1130" s="11"/>
      <c r="L1130" s="11"/>
    </row>
    <row r="1131" spans="1:12" x14ac:dyDescent="0.3">
      <c r="A1131" s="31"/>
      <c r="B1131" s="32">
        <f>IF(A1131="","",DATE(YEAR(A1131),MONTH(A1131),1))</f>
      </c>
      <c r="C1131" s="11"/>
      <c r="D1131" s="11"/>
      <c r="E1131" s="16">
        <f>IF(OR(D1131="",C1131&lt;&gt;"Chi"),"",IFERROR(INDEX('Danh mục'!$B$39:$B$78,MATCH(D1131,'Danh mục'!$A$39:$A$78,0))&amp;"","?"))</f>
      </c>
      <c r="F1131" s="16">
        <f>IF(D1131="","",IF(C1131="Thu",IFERROR(INDEX('Danh mục'!$B$26:$B$35,MATCH(D1131,'Danh mục'!$A$26:$A$35,0))&amp;"","?"),IFERROR(INDEX('Danh mục'!$D$39:$D$78,MATCH(D1131,'Danh mục'!$A$39:$A$78,0))&amp;"","?")))</f>
      </c>
      <c r="G1131" s="16">
        <f>IF(OR(D1131="",C1131&lt;&gt;"Chi"),"",IFERROR(INDEX('Danh mục'!$C$39:$C$78,MATCH(D1131,'Danh mục'!$A$39:$A$78,0))&amp;"",""))</f>
      </c>
      <c r="H1131" s="11"/>
      <c r="I1131" s="20"/>
      <c r="J1131" s="11"/>
      <c r="K1131" s="11"/>
      <c r="L1131" s="11"/>
    </row>
    <row r="1132" spans="1:12" x14ac:dyDescent="0.3">
      <c r="A1132" s="31"/>
      <c r="B1132" s="32">
        <f>IF(A1132="","",DATE(YEAR(A1132),MONTH(A1132),1))</f>
      </c>
      <c r="C1132" s="11"/>
      <c r="D1132" s="11"/>
      <c r="E1132" s="16">
        <f>IF(OR(D1132="",C1132&lt;&gt;"Chi"),"",IFERROR(INDEX('Danh mục'!$B$39:$B$78,MATCH(D1132,'Danh mục'!$A$39:$A$78,0))&amp;"","?"))</f>
      </c>
      <c r="F1132" s="16">
        <f>IF(D1132="","",IF(C1132="Thu",IFERROR(INDEX('Danh mục'!$B$26:$B$35,MATCH(D1132,'Danh mục'!$A$26:$A$35,0))&amp;"","?"),IFERROR(INDEX('Danh mục'!$D$39:$D$78,MATCH(D1132,'Danh mục'!$A$39:$A$78,0))&amp;"","?")))</f>
      </c>
      <c r="G1132" s="16">
        <f>IF(OR(D1132="",C1132&lt;&gt;"Chi"),"",IFERROR(INDEX('Danh mục'!$C$39:$C$78,MATCH(D1132,'Danh mục'!$A$39:$A$78,0))&amp;"",""))</f>
      </c>
      <c r="H1132" s="11"/>
      <c r="I1132" s="20"/>
      <c r="J1132" s="11"/>
      <c r="K1132" s="11"/>
      <c r="L1132" s="11"/>
    </row>
    <row r="1133" spans="1:12" x14ac:dyDescent="0.3">
      <c r="A1133" s="31"/>
      <c r="B1133" s="32">
        <f>IF(A1133="","",DATE(YEAR(A1133),MONTH(A1133),1))</f>
      </c>
      <c r="C1133" s="11"/>
      <c r="D1133" s="11"/>
      <c r="E1133" s="16">
        <f>IF(OR(D1133="",C1133&lt;&gt;"Chi"),"",IFERROR(INDEX('Danh mục'!$B$39:$B$78,MATCH(D1133,'Danh mục'!$A$39:$A$78,0))&amp;"","?"))</f>
      </c>
      <c r="F1133" s="16">
        <f>IF(D1133="","",IF(C1133="Thu",IFERROR(INDEX('Danh mục'!$B$26:$B$35,MATCH(D1133,'Danh mục'!$A$26:$A$35,0))&amp;"","?"),IFERROR(INDEX('Danh mục'!$D$39:$D$78,MATCH(D1133,'Danh mục'!$A$39:$A$78,0))&amp;"","?")))</f>
      </c>
      <c r="G1133" s="16">
        <f>IF(OR(D1133="",C1133&lt;&gt;"Chi"),"",IFERROR(INDEX('Danh mục'!$C$39:$C$78,MATCH(D1133,'Danh mục'!$A$39:$A$78,0))&amp;"",""))</f>
      </c>
      <c r="H1133" s="11"/>
      <c r="I1133" s="20"/>
      <c r="J1133" s="11"/>
      <c r="K1133" s="11"/>
      <c r="L1133" s="11"/>
    </row>
    <row r="1134" spans="1:12" x14ac:dyDescent="0.3">
      <c r="A1134" s="31"/>
      <c r="B1134" s="32">
        <f>IF(A1134="","",DATE(YEAR(A1134),MONTH(A1134),1))</f>
      </c>
      <c r="C1134" s="11"/>
      <c r="D1134" s="11"/>
      <c r="E1134" s="16">
        <f>IF(OR(D1134="",C1134&lt;&gt;"Chi"),"",IFERROR(INDEX('Danh mục'!$B$39:$B$78,MATCH(D1134,'Danh mục'!$A$39:$A$78,0))&amp;"","?"))</f>
      </c>
      <c r="F1134" s="16">
        <f>IF(D1134="","",IF(C1134="Thu",IFERROR(INDEX('Danh mục'!$B$26:$B$35,MATCH(D1134,'Danh mục'!$A$26:$A$35,0))&amp;"","?"),IFERROR(INDEX('Danh mục'!$D$39:$D$78,MATCH(D1134,'Danh mục'!$A$39:$A$78,0))&amp;"","?")))</f>
      </c>
      <c r="G1134" s="16">
        <f>IF(OR(D1134="",C1134&lt;&gt;"Chi"),"",IFERROR(INDEX('Danh mục'!$C$39:$C$78,MATCH(D1134,'Danh mục'!$A$39:$A$78,0))&amp;"",""))</f>
      </c>
      <c r="H1134" s="11"/>
      <c r="I1134" s="20"/>
      <c r="J1134" s="11"/>
      <c r="K1134" s="11"/>
      <c r="L1134" s="11"/>
    </row>
    <row r="1135" spans="1:12" x14ac:dyDescent="0.3">
      <c r="A1135" s="31"/>
      <c r="B1135" s="32">
        <f>IF(A1135="","",DATE(YEAR(A1135),MONTH(A1135),1))</f>
      </c>
      <c r="C1135" s="11"/>
      <c r="D1135" s="11"/>
      <c r="E1135" s="16">
        <f>IF(OR(D1135="",C1135&lt;&gt;"Chi"),"",IFERROR(INDEX('Danh mục'!$B$39:$B$78,MATCH(D1135,'Danh mục'!$A$39:$A$78,0))&amp;"","?"))</f>
      </c>
      <c r="F1135" s="16">
        <f>IF(D1135="","",IF(C1135="Thu",IFERROR(INDEX('Danh mục'!$B$26:$B$35,MATCH(D1135,'Danh mục'!$A$26:$A$35,0))&amp;"","?"),IFERROR(INDEX('Danh mục'!$D$39:$D$78,MATCH(D1135,'Danh mục'!$A$39:$A$78,0))&amp;"","?")))</f>
      </c>
      <c r="G1135" s="16">
        <f>IF(OR(D1135="",C1135&lt;&gt;"Chi"),"",IFERROR(INDEX('Danh mục'!$C$39:$C$78,MATCH(D1135,'Danh mục'!$A$39:$A$78,0))&amp;"",""))</f>
      </c>
      <c r="H1135" s="11"/>
      <c r="I1135" s="20"/>
      <c r="J1135" s="11"/>
      <c r="K1135" s="11"/>
      <c r="L1135" s="11"/>
    </row>
    <row r="1136" spans="1:12" x14ac:dyDescent="0.3">
      <c r="A1136" s="31"/>
      <c r="B1136" s="32">
        <f>IF(A1136="","",DATE(YEAR(A1136),MONTH(A1136),1))</f>
      </c>
      <c r="C1136" s="11"/>
      <c r="D1136" s="11"/>
      <c r="E1136" s="16">
        <f>IF(OR(D1136="",C1136&lt;&gt;"Chi"),"",IFERROR(INDEX('Danh mục'!$B$39:$B$78,MATCH(D1136,'Danh mục'!$A$39:$A$78,0))&amp;"","?"))</f>
      </c>
      <c r="F1136" s="16">
        <f>IF(D1136="","",IF(C1136="Thu",IFERROR(INDEX('Danh mục'!$B$26:$B$35,MATCH(D1136,'Danh mục'!$A$26:$A$35,0))&amp;"","?"),IFERROR(INDEX('Danh mục'!$D$39:$D$78,MATCH(D1136,'Danh mục'!$A$39:$A$78,0))&amp;"","?")))</f>
      </c>
      <c r="G1136" s="16">
        <f>IF(OR(D1136="",C1136&lt;&gt;"Chi"),"",IFERROR(INDEX('Danh mục'!$C$39:$C$78,MATCH(D1136,'Danh mục'!$A$39:$A$78,0))&amp;"",""))</f>
      </c>
      <c r="H1136" s="11"/>
      <c r="I1136" s="20"/>
      <c r="J1136" s="11"/>
      <c r="K1136" s="11"/>
      <c r="L1136" s="11"/>
    </row>
    <row r="1137" spans="1:12" x14ac:dyDescent="0.3">
      <c r="A1137" s="31"/>
      <c r="B1137" s="32">
        <f>IF(A1137="","",DATE(YEAR(A1137),MONTH(A1137),1))</f>
      </c>
      <c r="C1137" s="11"/>
      <c r="D1137" s="11"/>
      <c r="E1137" s="16">
        <f>IF(OR(D1137="",C1137&lt;&gt;"Chi"),"",IFERROR(INDEX('Danh mục'!$B$39:$B$78,MATCH(D1137,'Danh mục'!$A$39:$A$78,0))&amp;"","?"))</f>
      </c>
      <c r="F1137" s="16">
        <f>IF(D1137="","",IF(C1137="Thu",IFERROR(INDEX('Danh mục'!$B$26:$B$35,MATCH(D1137,'Danh mục'!$A$26:$A$35,0))&amp;"","?"),IFERROR(INDEX('Danh mục'!$D$39:$D$78,MATCH(D1137,'Danh mục'!$A$39:$A$78,0))&amp;"","?")))</f>
      </c>
      <c r="G1137" s="16">
        <f>IF(OR(D1137="",C1137&lt;&gt;"Chi"),"",IFERROR(INDEX('Danh mục'!$C$39:$C$78,MATCH(D1137,'Danh mục'!$A$39:$A$78,0))&amp;"",""))</f>
      </c>
      <c r="H1137" s="11"/>
      <c r="I1137" s="20"/>
      <c r="J1137" s="11"/>
      <c r="K1137" s="11"/>
      <c r="L1137" s="11"/>
    </row>
    <row r="1138" spans="1:12" x14ac:dyDescent="0.3">
      <c r="A1138" s="31"/>
      <c r="B1138" s="32">
        <f>IF(A1138="","",DATE(YEAR(A1138),MONTH(A1138),1))</f>
      </c>
      <c r="C1138" s="11"/>
      <c r="D1138" s="11"/>
      <c r="E1138" s="16">
        <f>IF(OR(D1138="",C1138&lt;&gt;"Chi"),"",IFERROR(INDEX('Danh mục'!$B$39:$B$78,MATCH(D1138,'Danh mục'!$A$39:$A$78,0))&amp;"","?"))</f>
      </c>
      <c r="F1138" s="16">
        <f>IF(D1138="","",IF(C1138="Thu",IFERROR(INDEX('Danh mục'!$B$26:$B$35,MATCH(D1138,'Danh mục'!$A$26:$A$35,0))&amp;"","?"),IFERROR(INDEX('Danh mục'!$D$39:$D$78,MATCH(D1138,'Danh mục'!$A$39:$A$78,0))&amp;"","?")))</f>
      </c>
      <c r="G1138" s="16">
        <f>IF(OR(D1138="",C1138&lt;&gt;"Chi"),"",IFERROR(INDEX('Danh mục'!$C$39:$C$78,MATCH(D1138,'Danh mục'!$A$39:$A$78,0))&amp;"",""))</f>
      </c>
      <c r="H1138" s="11"/>
      <c r="I1138" s="20"/>
      <c r="J1138" s="11"/>
      <c r="K1138" s="11"/>
      <c r="L1138" s="11"/>
    </row>
    <row r="1139" spans="1:12" x14ac:dyDescent="0.3">
      <c r="A1139" s="31"/>
      <c r="B1139" s="32">
        <f>IF(A1139="","",DATE(YEAR(A1139),MONTH(A1139),1))</f>
      </c>
      <c r="C1139" s="11"/>
      <c r="D1139" s="11"/>
      <c r="E1139" s="16">
        <f>IF(OR(D1139="",C1139&lt;&gt;"Chi"),"",IFERROR(INDEX('Danh mục'!$B$39:$B$78,MATCH(D1139,'Danh mục'!$A$39:$A$78,0))&amp;"","?"))</f>
      </c>
      <c r="F1139" s="16">
        <f>IF(D1139="","",IF(C1139="Thu",IFERROR(INDEX('Danh mục'!$B$26:$B$35,MATCH(D1139,'Danh mục'!$A$26:$A$35,0))&amp;"","?"),IFERROR(INDEX('Danh mục'!$D$39:$D$78,MATCH(D1139,'Danh mục'!$A$39:$A$78,0))&amp;"","?")))</f>
      </c>
      <c r="G1139" s="16">
        <f>IF(OR(D1139="",C1139&lt;&gt;"Chi"),"",IFERROR(INDEX('Danh mục'!$C$39:$C$78,MATCH(D1139,'Danh mục'!$A$39:$A$78,0))&amp;"",""))</f>
      </c>
      <c r="H1139" s="11"/>
      <c r="I1139" s="20"/>
      <c r="J1139" s="11"/>
      <c r="K1139" s="11"/>
      <c r="L1139" s="11"/>
    </row>
    <row r="1140" spans="1:12" x14ac:dyDescent="0.3">
      <c r="A1140" s="31"/>
      <c r="B1140" s="32">
        <f>IF(A1140="","",DATE(YEAR(A1140),MONTH(A1140),1))</f>
      </c>
      <c r="C1140" s="11"/>
      <c r="D1140" s="11"/>
      <c r="E1140" s="16">
        <f>IF(OR(D1140="",C1140&lt;&gt;"Chi"),"",IFERROR(INDEX('Danh mục'!$B$39:$B$78,MATCH(D1140,'Danh mục'!$A$39:$A$78,0))&amp;"","?"))</f>
      </c>
      <c r="F1140" s="16">
        <f>IF(D1140="","",IF(C1140="Thu",IFERROR(INDEX('Danh mục'!$B$26:$B$35,MATCH(D1140,'Danh mục'!$A$26:$A$35,0))&amp;"","?"),IFERROR(INDEX('Danh mục'!$D$39:$D$78,MATCH(D1140,'Danh mục'!$A$39:$A$78,0))&amp;"","?")))</f>
      </c>
      <c r="G1140" s="16">
        <f>IF(OR(D1140="",C1140&lt;&gt;"Chi"),"",IFERROR(INDEX('Danh mục'!$C$39:$C$78,MATCH(D1140,'Danh mục'!$A$39:$A$78,0))&amp;"",""))</f>
      </c>
      <c r="H1140" s="11"/>
      <c r="I1140" s="20"/>
      <c r="J1140" s="11"/>
      <c r="K1140" s="11"/>
      <c r="L1140" s="11"/>
    </row>
    <row r="1141" spans="1:12" x14ac:dyDescent="0.3">
      <c r="A1141" s="31"/>
      <c r="B1141" s="32">
        <f>IF(A1141="","",DATE(YEAR(A1141),MONTH(A1141),1))</f>
      </c>
      <c r="C1141" s="11"/>
      <c r="D1141" s="11"/>
      <c r="E1141" s="16">
        <f>IF(OR(D1141="",C1141&lt;&gt;"Chi"),"",IFERROR(INDEX('Danh mục'!$B$39:$B$78,MATCH(D1141,'Danh mục'!$A$39:$A$78,0))&amp;"","?"))</f>
      </c>
      <c r="F1141" s="16">
        <f>IF(D1141="","",IF(C1141="Thu",IFERROR(INDEX('Danh mục'!$B$26:$B$35,MATCH(D1141,'Danh mục'!$A$26:$A$35,0))&amp;"","?"),IFERROR(INDEX('Danh mục'!$D$39:$D$78,MATCH(D1141,'Danh mục'!$A$39:$A$78,0))&amp;"","?")))</f>
      </c>
      <c r="G1141" s="16">
        <f>IF(OR(D1141="",C1141&lt;&gt;"Chi"),"",IFERROR(INDEX('Danh mục'!$C$39:$C$78,MATCH(D1141,'Danh mục'!$A$39:$A$78,0))&amp;"",""))</f>
      </c>
      <c r="H1141" s="11"/>
      <c r="I1141" s="20"/>
      <c r="J1141" s="11"/>
      <c r="K1141" s="11"/>
      <c r="L1141" s="11"/>
    </row>
    <row r="1142" spans="1:12" x14ac:dyDescent="0.3">
      <c r="A1142" s="31"/>
      <c r="B1142" s="32">
        <f>IF(A1142="","",DATE(YEAR(A1142),MONTH(A1142),1))</f>
      </c>
      <c r="C1142" s="11"/>
      <c r="D1142" s="11"/>
      <c r="E1142" s="16">
        <f>IF(OR(D1142="",C1142&lt;&gt;"Chi"),"",IFERROR(INDEX('Danh mục'!$B$39:$B$78,MATCH(D1142,'Danh mục'!$A$39:$A$78,0))&amp;"","?"))</f>
      </c>
      <c r="F1142" s="16">
        <f>IF(D1142="","",IF(C1142="Thu",IFERROR(INDEX('Danh mục'!$B$26:$B$35,MATCH(D1142,'Danh mục'!$A$26:$A$35,0))&amp;"","?"),IFERROR(INDEX('Danh mục'!$D$39:$D$78,MATCH(D1142,'Danh mục'!$A$39:$A$78,0))&amp;"","?")))</f>
      </c>
      <c r="G1142" s="16">
        <f>IF(OR(D1142="",C1142&lt;&gt;"Chi"),"",IFERROR(INDEX('Danh mục'!$C$39:$C$78,MATCH(D1142,'Danh mục'!$A$39:$A$78,0))&amp;"",""))</f>
      </c>
      <c r="H1142" s="11"/>
      <c r="I1142" s="20"/>
      <c r="J1142" s="11"/>
      <c r="K1142" s="11"/>
      <c r="L1142" s="11"/>
    </row>
    <row r="1143" spans="1:12" x14ac:dyDescent="0.3">
      <c r="A1143" s="31"/>
      <c r="B1143" s="32">
        <f>IF(A1143="","",DATE(YEAR(A1143),MONTH(A1143),1))</f>
      </c>
      <c r="C1143" s="11"/>
      <c r="D1143" s="11"/>
      <c r="E1143" s="16">
        <f>IF(OR(D1143="",C1143&lt;&gt;"Chi"),"",IFERROR(INDEX('Danh mục'!$B$39:$B$78,MATCH(D1143,'Danh mục'!$A$39:$A$78,0))&amp;"","?"))</f>
      </c>
      <c r="F1143" s="16">
        <f>IF(D1143="","",IF(C1143="Thu",IFERROR(INDEX('Danh mục'!$B$26:$B$35,MATCH(D1143,'Danh mục'!$A$26:$A$35,0))&amp;"","?"),IFERROR(INDEX('Danh mục'!$D$39:$D$78,MATCH(D1143,'Danh mục'!$A$39:$A$78,0))&amp;"","?")))</f>
      </c>
      <c r="G1143" s="16">
        <f>IF(OR(D1143="",C1143&lt;&gt;"Chi"),"",IFERROR(INDEX('Danh mục'!$C$39:$C$78,MATCH(D1143,'Danh mục'!$A$39:$A$78,0))&amp;"",""))</f>
      </c>
      <c r="H1143" s="11"/>
      <c r="I1143" s="20"/>
      <c r="J1143" s="11"/>
      <c r="K1143" s="11"/>
      <c r="L1143" s="11"/>
    </row>
    <row r="1144" spans="1:12" x14ac:dyDescent="0.3">
      <c r="A1144" s="31"/>
      <c r="B1144" s="32">
        <f>IF(A1144="","",DATE(YEAR(A1144),MONTH(A1144),1))</f>
      </c>
      <c r="C1144" s="11"/>
      <c r="D1144" s="11"/>
      <c r="E1144" s="16">
        <f>IF(OR(D1144="",C1144&lt;&gt;"Chi"),"",IFERROR(INDEX('Danh mục'!$B$39:$B$78,MATCH(D1144,'Danh mục'!$A$39:$A$78,0))&amp;"","?"))</f>
      </c>
      <c r="F1144" s="16">
        <f>IF(D1144="","",IF(C1144="Thu",IFERROR(INDEX('Danh mục'!$B$26:$B$35,MATCH(D1144,'Danh mục'!$A$26:$A$35,0))&amp;"","?"),IFERROR(INDEX('Danh mục'!$D$39:$D$78,MATCH(D1144,'Danh mục'!$A$39:$A$78,0))&amp;"","?")))</f>
      </c>
      <c r="G1144" s="16">
        <f>IF(OR(D1144="",C1144&lt;&gt;"Chi"),"",IFERROR(INDEX('Danh mục'!$C$39:$C$78,MATCH(D1144,'Danh mục'!$A$39:$A$78,0))&amp;"",""))</f>
      </c>
      <c r="H1144" s="11"/>
      <c r="I1144" s="20"/>
      <c r="J1144" s="11"/>
      <c r="K1144" s="11"/>
      <c r="L1144" s="11"/>
    </row>
    <row r="1145" spans="1:12" x14ac:dyDescent="0.3">
      <c r="A1145" s="31"/>
      <c r="B1145" s="32">
        <f>IF(A1145="","",DATE(YEAR(A1145),MONTH(A1145),1))</f>
      </c>
      <c r="C1145" s="11"/>
      <c r="D1145" s="11"/>
      <c r="E1145" s="16">
        <f>IF(OR(D1145="",C1145&lt;&gt;"Chi"),"",IFERROR(INDEX('Danh mục'!$B$39:$B$78,MATCH(D1145,'Danh mục'!$A$39:$A$78,0))&amp;"","?"))</f>
      </c>
      <c r="F1145" s="16">
        <f>IF(D1145="","",IF(C1145="Thu",IFERROR(INDEX('Danh mục'!$B$26:$B$35,MATCH(D1145,'Danh mục'!$A$26:$A$35,0))&amp;"","?"),IFERROR(INDEX('Danh mục'!$D$39:$D$78,MATCH(D1145,'Danh mục'!$A$39:$A$78,0))&amp;"","?")))</f>
      </c>
      <c r="G1145" s="16">
        <f>IF(OR(D1145="",C1145&lt;&gt;"Chi"),"",IFERROR(INDEX('Danh mục'!$C$39:$C$78,MATCH(D1145,'Danh mục'!$A$39:$A$78,0))&amp;"",""))</f>
      </c>
      <c r="H1145" s="11"/>
      <c r="I1145" s="20"/>
      <c r="J1145" s="11"/>
      <c r="K1145" s="11"/>
      <c r="L1145" s="11"/>
    </row>
    <row r="1146" spans="1:12" x14ac:dyDescent="0.3">
      <c r="A1146" s="31"/>
      <c r="B1146" s="32">
        <f>IF(A1146="","",DATE(YEAR(A1146),MONTH(A1146),1))</f>
      </c>
      <c r="C1146" s="11"/>
      <c r="D1146" s="11"/>
      <c r="E1146" s="16">
        <f>IF(OR(D1146="",C1146&lt;&gt;"Chi"),"",IFERROR(INDEX('Danh mục'!$B$39:$B$78,MATCH(D1146,'Danh mục'!$A$39:$A$78,0))&amp;"","?"))</f>
      </c>
      <c r="F1146" s="16">
        <f>IF(D1146="","",IF(C1146="Thu",IFERROR(INDEX('Danh mục'!$B$26:$B$35,MATCH(D1146,'Danh mục'!$A$26:$A$35,0))&amp;"","?"),IFERROR(INDEX('Danh mục'!$D$39:$D$78,MATCH(D1146,'Danh mục'!$A$39:$A$78,0))&amp;"","?")))</f>
      </c>
      <c r="G1146" s="16">
        <f>IF(OR(D1146="",C1146&lt;&gt;"Chi"),"",IFERROR(INDEX('Danh mục'!$C$39:$C$78,MATCH(D1146,'Danh mục'!$A$39:$A$78,0))&amp;"",""))</f>
      </c>
      <c r="H1146" s="11"/>
      <c r="I1146" s="20"/>
      <c r="J1146" s="11"/>
      <c r="K1146" s="11"/>
      <c r="L1146" s="11"/>
    </row>
    <row r="1147" spans="1:12" x14ac:dyDescent="0.3">
      <c r="A1147" s="31"/>
      <c r="B1147" s="32">
        <f>IF(A1147="","",DATE(YEAR(A1147),MONTH(A1147),1))</f>
      </c>
      <c r="C1147" s="11"/>
      <c r="D1147" s="11"/>
      <c r="E1147" s="16">
        <f>IF(OR(D1147="",C1147&lt;&gt;"Chi"),"",IFERROR(INDEX('Danh mục'!$B$39:$B$78,MATCH(D1147,'Danh mục'!$A$39:$A$78,0))&amp;"","?"))</f>
      </c>
      <c r="F1147" s="16">
        <f>IF(D1147="","",IF(C1147="Thu",IFERROR(INDEX('Danh mục'!$B$26:$B$35,MATCH(D1147,'Danh mục'!$A$26:$A$35,0))&amp;"","?"),IFERROR(INDEX('Danh mục'!$D$39:$D$78,MATCH(D1147,'Danh mục'!$A$39:$A$78,0))&amp;"","?")))</f>
      </c>
      <c r="G1147" s="16">
        <f>IF(OR(D1147="",C1147&lt;&gt;"Chi"),"",IFERROR(INDEX('Danh mục'!$C$39:$C$78,MATCH(D1147,'Danh mục'!$A$39:$A$78,0))&amp;"",""))</f>
      </c>
      <c r="H1147" s="11"/>
      <c r="I1147" s="20"/>
      <c r="J1147" s="11"/>
      <c r="K1147" s="11"/>
      <c r="L1147" s="11"/>
    </row>
    <row r="1148" spans="1:12" x14ac:dyDescent="0.3">
      <c r="A1148" s="31"/>
      <c r="B1148" s="32">
        <f>IF(A1148="","",DATE(YEAR(A1148),MONTH(A1148),1))</f>
      </c>
      <c r="C1148" s="11"/>
      <c r="D1148" s="11"/>
      <c r="E1148" s="16">
        <f>IF(OR(D1148="",C1148&lt;&gt;"Chi"),"",IFERROR(INDEX('Danh mục'!$B$39:$B$78,MATCH(D1148,'Danh mục'!$A$39:$A$78,0))&amp;"","?"))</f>
      </c>
      <c r="F1148" s="16">
        <f>IF(D1148="","",IF(C1148="Thu",IFERROR(INDEX('Danh mục'!$B$26:$B$35,MATCH(D1148,'Danh mục'!$A$26:$A$35,0))&amp;"","?"),IFERROR(INDEX('Danh mục'!$D$39:$D$78,MATCH(D1148,'Danh mục'!$A$39:$A$78,0))&amp;"","?")))</f>
      </c>
      <c r="G1148" s="16">
        <f>IF(OR(D1148="",C1148&lt;&gt;"Chi"),"",IFERROR(INDEX('Danh mục'!$C$39:$C$78,MATCH(D1148,'Danh mục'!$A$39:$A$78,0))&amp;"",""))</f>
      </c>
      <c r="H1148" s="11"/>
      <c r="I1148" s="20"/>
      <c r="J1148" s="11"/>
      <c r="K1148" s="11"/>
      <c r="L1148" s="11"/>
    </row>
    <row r="1149" spans="1:12" x14ac:dyDescent="0.3">
      <c r="A1149" s="31"/>
      <c r="B1149" s="32">
        <f>IF(A1149="","",DATE(YEAR(A1149),MONTH(A1149),1))</f>
      </c>
      <c r="C1149" s="11"/>
      <c r="D1149" s="11"/>
      <c r="E1149" s="16">
        <f>IF(OR(D1149="",C1149&lt;&gt;"Chi"),"",IFERROR(INDEX('Danh mục'!$B$39:$B$78,MATCH(D1149,'Danh mục'!$A$39:$A$78,0))&amp;"","?"))</f>
      </c>
      <c r="F1149" s="16">
        <f>IF(D1149="","",IF(C1149="Thu",IFERROR(INDEX('Danh mục'!$B$26:$B$35,MATCH(D1149,'Danh mục'!$A$26:$A$35,0))&amp;"","?"),IFERROR(INDEX('Danh mục'!$D$39:$D$78,MATCH(D1149,'Danh mục'!$A$39:$A$78,0))&amp;"","?")))</f>
      </c>
      <c r="G1149" s="16">
        <f>IF(OR(D1149="",C1149&lt;&gt;"Chi"),"",IFERROR(INDEX('Danh mục'!$C$39:$C$78,MATCH(D1149,'Danh mục'!$A$39:$A$78,0))&amp;"",""))</f>
      </c>
      <c r="H1149" s="11"/>
      <c r="I1149" s="20"/>
      <c r="J1149" s="11"/>
      <c r="K1149" s="11"/>
      <c r="L1149" s="11"/>
    </row>
    <row r="1150" spans="1:12" x14ac:dyDescent="0.3">
      <c r="A1150" s="31"/>
      <c r="B1150" s="32">
        <f>IF(A1150="","",DATE(YEAR(A1150),MONTH(A1150),1))</f>
      </c>
      <c r="C1150" s="11"/>
      <c r="D1150" s="11"/>
      <c r="E1150" s="16">
        <f>IF(OR(D1150="",C1150&lt;&gt;"Chi"),"",IFERROR(INDEX('Danh mục'!$B$39:$B$78,MATCH(D1150,'Danh mục'!$A$39:$A$78,0))&amp;"","?"))</f>
      </c>
      <c r="F1150" s="16">
        <f>IF(D1150="","",IF(C1150="Thu",IFERROR(INDEX('Danh mục'!$B$26:$B$35,MATCH(D1150,'Danh mục'!$A$26:$A$35,0))&amp;"","?"),IFERROR(INDEX('Danh mục'!$D$39:$D$78,MATCH(D1150,'Danh mục'!$A$39:$A$78,0))&amp;"","?")))</f>
      </c>
      <c r="G1150" s="16">
        <f>IF(OR(D1150="",C1150&lt;&gt;"Chi"),"",IFERROR(INDEX('Danh mục'!$C$39:$C$78,MATCH(D1150,'Danh mục'!$A$39:$A$78,0))&amp;"",""))</f>
      </c>
      <c r="H1150" s="11"/>
      <c r="I1150" s="20"/>
      <c r="J1150" s="11"/>
      <c r="K1150" s="11"/>
      <c r="L1150" s="11"/>
    </row>
    <row r="1151" spans="1:12" x14ac:dyDescent="0.3">
      <c r="A1151" s="31"/>
      <c r="B1151" s="32">
        <f>IF(A1151="","",DATE(YEAR(A1151),MONTH(A1151),1))</f>
      </c>
      <c r="C1151" s="11"/>
      <c r="D1151" s="11"/>
      <c r="E1151" s="16">
        <f>IF(OR(D1151="",C1151&lt;&gt;"Chi"),"",IFERROR(INDEX('Danh mục'!$B$39:$B$78,MATCH(D1151,'Danh mục'!$A$39:$A$78,0))&amp;"","?"))</f>
      </c>
      <c r="F1151" s="16">
        <f>IF(D1151="","",IF(C1151="Thu",IFERROR(INDEX('Danh mục'!$B$26:$B$35,MATCH(D1151,'Danh mục'!$A$26:$A$35,0))&amp;"","?"),IFERROR(INDEX('Danh mục'!$D$39:$D$78,MATCH(D1151,'Danh mục'!$A$39:$A$78,0))&amp;"","?")))</f>
      </c>
      <c r="G1151" s="16">
        <f>IF(OR(D1151="",C1151&lt;&gt;"Chi"),"",IFERROR(INDEX('Danh mục'!$C$39:$C$78,MATCH(D1151,'Danh mục'!$A$39:$A$78,0))&amp;"",""))</f>
      </c>
      <c r="H1151" s="11"/>
      <c r="I1151" s="20"/>
      <c r="J1151" s="11"/>
      <c r="K1151" s="11"/>
      <c r="L1151" s="11"/>
    </row>
    <row r="1152" spans="1:12" x14ac:dyDescent="0.3">
      <c r="A1152" s="31"/>
      <c r="B1152" s="32">
        <f>IF(A1152="","",DATE(YEAR(A1152),MONTH(A1152),1))</f>
      </c>
      <c r="C1152" s="11"/>
      <c r="D1152" s="11"/>
      <c r="E1152" s="16">
        <f>IF(OR(D1152="",C1152&lt;&gt;"Chi"),"",IFERROR(INDEX('Danh mục'!$B$39:$B$78,MATCH(D1152,'Danh mục'!$A$39:$A$78,0))&amp;"","?"))</f>
      </c>
      <c r="F1152" s="16">
        <f>IF(D1152="","",IF(C1152="Thu",IFERROR(INDEX('Danh mục'!$B$26:$B$35,MATCH(D1152,'Danh mục'!$A$26:$A$35,0))&amp;"","?"),IFERROR(INDEX('Danh mục'!$D$39:$D$78,MATCH(D1152,'Danh mục'!$A$39:$A$78,0))&amp;"","?")))</f>
      </c>
      <c r="G1152" s="16">
        <f>IF(OR(D1152="",C1152&lt;&gt;"Chi"),"",IFERROR(INDEX('Danh mục'!$C$39:$C$78,MATCH(D1152,'Danh mục'!$A$39:$A$78,0))&amp;"",""))</f>
      </c>
      <c r="H1152" s="11"/>
      <c r="I1152" s="20"/>
      <c r="J1152" s="11"/>
      <c r="K1152" s="11"/>
      <c r="L1152" s="11"/>
    </row>
    <row r="1153" spans="1:12" x14ac:dyDescent="0.3">
      <c r="A1153" s="31"/>
      <c r="B1153" s="32">
        <f>IF(A1153="","",DATE(YEAR(A1153),MONTH(A1153),1))</f>
      </c>
      <c r="C1153" s="11"/>
      <c r="D1153" s="11"/>
      <c r="E1153" s="16">
        <f>IF(OR(D1153="",C1153&lt;&gt;"Chi"),"",IFERROR(INDEX('Danh mục'!$B$39:$B$78,MATCH(D1153,'Danh mục'!$A$39:$A$78,0))&amp;"","?"))</f>
      </c>
      <c r="F1153" s="16">
        <f>IF(D1153="","",IF(C1153="Thu",IFERROR(INDEX('Danh mục'!$B$26:$B$35,MATCH(D1153,'Danh mục'!$A$26:$A$35,0))&amp;"","?"),IFERROR(INDEX('Danh mục'!$D$39:$D$78,MATCH(D1153,'Danh mục'!$A$39:$A$78,0))&amp;"","?")))</f>
      </c>
      <c r="G1153" s="16">
        <f>IF(OR(D1153="",C1153&lt;&gt;"Chi"),"",IFERROR(INDEX('Danh mục'!$C$39:$C$78,MATCH(D1153,'Danh mục'!$A$39:$A$78,0))&amp;"",""))</f>
      </c>
      <c r="H1153" s="11"/>
      <c r="I1153" s="20"/>
      <c r="J1153" s="11"/>
      <c r="K1153" s="11"/>
      <c r="L1153" s="11"/>
    </row>
    <row r="1154" spans="1:12" x14ac:dyDescent="0.3">
      <c r="A1154" s="31"/>
      <c r="B1154" s="32">
        <f>IF(A1154="","",DATE(YEAR(A1154),MONTH(A1154),1))</f>
      </c>
      <c r="C1154" s="11"/>
      <c r="D1154" s="11"/>
      <c r="E1154" s="16">
        <f>IF(OR(D1154="",C1154&lt;&gt;"Chi"),"",IFERROR(INDEX('Danh mục'!$B$39:$B$78,MATCH(D1154,'Danh mục'!$A$39:$A$78,0))&amp;"","?"))</f>
      </c>
      <c r="F1154" s="16">
        <f>IF(D1154="","",IF(C1154="Thu",IFERROR(INDEX('Danh mục'!$B$26:$B$35,MATCH(D1154,'Danh mục'!$A$26:$A$35,0))&amp;"","?"),IFERROR(INDEX('Danh mục'!$D$39:$D$78,MATCH(D1154,'Danh mục'!$A$39:$A$78,0))&amp;"","?")))</f>
      </c>
      <c r="G1154" s="16">
        <f>IF(OR(D1154="",C1154&lt;&gt;"Chi"),"",IFERROR(INDEX('Danh mục'!$C$39:$C$78,MATCH(D1154,'Danh mục'!$A$39:$A$78,0))&amp;"",""))</f>
      </c>
      <c r="H1154" s="11"/>
      <c r="I1154" s="20"/>
      <c r="J1154" s="11"/>
      <c r="K1154" s="11"/>
      <c r="L1154" s="11"/>
    </row>
    <row r="1155" spans="1:12" x14ac:dyDescent="0.3">
      <c r="A1155" s="31"/>
      <c r="B1155" s="32">
        <f>IF(A1155="","",DATE(YEAR(A1155),MONTH(A1155),1))</f>
      </c>
      <c r="C1155" s="11"/>
      <c r="D1155" s="11"/>
      <c r="E1155" s="16">
        <f>IF(OR(D1155="",C1155&lt;&gt;"Chi"),"",IFERROR(INDEX('Danh mục'!$B$39:$B$78,MATCH(D1155,'Danh mục'!$A$39:$A$78,0))&amp;"","?"))</f>
      </c>
      <c r="F1155" s="16">
        <f>IF(D1155="","",IF(C1155="Thu",IFERROR(INDEX('Danh mục'!$B$26:$B$35,MATCH(D1155,'Danh mục'!$A$26:$A$35,0))&amp;"","?"),IFERROR(INDEX('Danh mục'!$D$39:$D$78,MATCH(D1155,'Danh mục'!$A$39:$A$78,0))&amp;"","?")))</f>
      </c>
      <c r="G1155" s="16">
        <f>IF(OR(D1155="",C1155&lt;&gt;"Chi"),"",IFERROR(INDEX('Danh mục'!$C$39:$C$78,MATCH(D1155,'Danh mục'!$A$39:$A$78,0))&amp;"",""))</f>
      </c>
      <c r="H1155" s="11"/>
      <c r="I1155" s="20"/>
      <c r="J1155" s="11"/>
      <c r="K1155" s="11"/>
      <c r="L1155" s="11"/>
    </row>
    <row r="1156" spans="1:12" x14ac:dyDescent="0.3">
      <c r="A1156" s="31"/>
      <c r="B1156" s="32">
        <f>IF(A1156="","",DATE(YEAR(A1156),MONTH(A1156),1))</f>
      </c>
      <c r="C1156" s="11"/>
      <c r="D1156" s="11"/>
      <c r="E1156" s="16">
        <f>IF(OR(D1156="",C1156&lt;&gt;"Chi"),"",IFERROR(INDEX('Danh mục'!$B$39:$B$78,MATCH(D1156,'Danh mục'!$A$39:$A$78,0))&amp;"","?"))</f>
      </c>
      <c r="F1156" s="16">
        <f>IF(D1156="","",IF(C1156="Thu",IFERROR(INDEX('Danh mục'!$B$26:$B$35,MATCH(D1156,'Danh mục'!$A$26:$A$35,0))&amp;"","?"),IFERROR(INDEX('Danh mục'!$D$39:$D$78,MATCH(D1156,'Danh mục'!$A$39:$A$78,0))&amp;"","?")))</f>
      </c>
      <c r="G1156" s="16">
        <f>IF(OR(D1156="",C1156&lt;&gt;"Chi"),"",IFERROR(INDEX('Danh mục'!$C$39:$C$78,MATCH(D1156,'Danh mục'!$A$39:$A$78,0))&amp;"",""))</f>
      </c>
      <c r="H1156" s="11"/>
      <c r="I1156" s="20"/>
      <c r="J1156" s="11"/>
      <c r="K1156" s="11"/>
      <c r="L1156" s="11"/>
    </row>
    <row r="1157" spans="1:12" x14ac:dyDescent="0.3">
      <c r="A1157" s="31"/>
      <c r="B1157" s="32">
        <f>IF(A1157="","",DATE(YEAR(A1157),MONTH(A1157),1))</f>
      </c>
      <c r="C1157" s="11"/>
      <c r="D1157" s="11"/>
      <c r="E1157" s="16">
        <f>IF(OR(D1157="",C1157&lt;&gt;"Chi"),"",IFERROR(INDEX('Danh mục'!$B$39:$B$78,MATCH(D1157,'Danh mục'!$A$39:$A$78,0))&amp;"","?"))</f>
      </c>
      <c r="F1157" s="16">
        <f>IF(D1157="","",IF(C1157="Thu",IFERROR(INDEX('Danh mục'!$B$26:$B$35,MATCH(D1157,'Danh mục'!$A$26:$A$35,0))&amp;"","?"),IFERROR(INDEX('Danh mục'!$D$39:$D$78,MATCH(D1157,'Danh mục'!$A$39:$A$78,0))&amp;"","?")))</f>
      </c>
      <c r="G1157" s="16">
        <f>IF(OR(D1157="",C1157&lt;&gt;"Chi"),"",IFERROR(INDEX('Danh mục'!$C$39:$C$78,MATCH(D1157,'Danh mục'!$A$39:$A$78,0))&amp;"",""))</f>
      </c>
      <c r="H1157" s="11"/>
      <c r="I1157" s="20"/>
      <c r="J1157" s="11"/>
      <c r="K1157" s="11"/>
      <c r="L1157" s="11"/>
    </row>
    <row r="1158" spans="1:12" x14ac:dyDescent="0.3">
      <c r="A1158" s="31"/>
      <c r="B1158" s="32">
        <f>IF(A1158="","",DATE(YEAR(A1158),MONTH(A1158),1))</f>
      </c>
      <c r="C1158" s="11"/>
      <c r="D1158" s="11"/>
      <c r="E1158" s="16">
        <f>IF(OR(D1158="",C1158&lt;&gt;"Chi"),"",IFERROR(INDEX('Danh mục'!$B$39:$B$78,MATCH(D1158,'Danh mục'!$A$39:$A$78,0))&amp;"","?"))</f>
      </c>
      <c r="F1158" s="16">
        <f>IF(D1158="","",IF(C1158="Thu",IFERROR(INDEX('Danh mục'!$B$26:$B$35,MATCH(D1158,'Danh mục'!$A$26:$A$35,0))&amp;"","?"),IFERROR(INDEX('Danh mục'!$D$39:$D$78,MATCH(D1158,'Danh mục'!$A$39:$A$78,0))&amp;"","?")))</f>
      </c>
      <c r="G1158" s="16">
        <f>IF(OR(D1158="",C1158&lt;&gt;"Chi"),"",IFERROR(INDEX('Danh mục'!$C$39:$C$78,MATCH(D1158,'Danh mục'!$A$39:$A$78,0))&amp;"",""))</f>
      </c>
      <c r="H1158" s="11"/>
      <c r="I1158" s="20"/>
      <c r="J1158" s="11"/>
      <c r="K1158" s="11"/>
      <c r="L1158" s="11"/>
    </row>
    <row r="1159" spans="1:12" x14ac:dyDescent="0.3">
      <c r="A1159" s="31"/>
      <c r="B1159" s="32">
        <f>IF(A1159="","",DATE(YEAR(A1159),MONTH(A1159),1))</f>
      </c>
      <c r="C1159" s="11"/>
      <c r="D1159" s="11"/>
      <c r="E1159" s="16">
        <f>IF(OR(D1159="",C1159&lt;&gt;"Chi"),"",IFERROR(INDEX('Danh mục'!$B$39:$B$78,MATCH(D1159,'Danh mục'!$A$39:$A$78,0))&amp;"","?"))</f>
      </c>
      <c r="F1159" s="16">
        <f>IF(D1159="","",IF(C1159="Thu",IFERROR(INDEX('Danh mục'!$B$26:$B$35,MATCH(D1159,'Danh mục'!$A$26:$A$35,0))&amp;"","?"),IFERROR(INDEX('Danh mục'!$D$39:$D$78,MATCH(D1159,'Danh mục'!$A$39:$A$78,0))&amp;"","?")))</f>
      </c>
      <c r="G1159" s="16">
        <f>IF(OR(D1159="",C1159&lt;&gt;"Chi"),"",IFERROR(INDEX('Danh mục'!$C$39:$C$78,MATCH(D1159,'Danh mục'!$A$39:$A$78,0))&amp;"",""))</f>
      </c>
      <c r="H1159" s="11"/>
      <c r="I1159" s="20"/>
      <c r="J1159" s="11"/>
      <c r="K1159" s="11"/>
      <c r="L1159" s="11"/>
    </row>
    <row r="1160" spans="1:12" x14ac:dyDescent="0.3">
      <c r="A1160" s="31"/>
      <c r="B1160" s="32">
        <f>IF(A1160="","",DATE(YEAR(A1160),MONTH(A1160),1))</f>
      </c>
      <c r="C1160" s="11"/>
      <c r="D1160" s="11"/>
      <c r="E1160" s="16">
        <f>IF(OR(D1160="",C1160&lt;&gt;"Chi"),"",IFERROR(INDEX('Danh mục'!$B$39:$B$78,MATCH(D1160,'Danh mục'!$A$39:$A$78,0))&amp;"","?"))</f>
      </c>
      <c r="F1160" s="16">
        <f>IF(D1160="","",IF(C1160="Thu",IFERROR(INDEX('Danh mục'!$B$26:$B$35,MATCH(D1160,'Danh mục'!$A$26:$A$35,0))&amp;"","?"),IFERROR(INDEX('Danh mục'!$D$39:$D$78,MATCH(D1160,'Danh mục'!$A$39:$A$78,0))&amp;"","?")))</f>
      </c>
      <c r="G1160" s="16">
        <f>IF(OR(D1160="",C1160&lt;&gt;"Chi"),"",IFERROR(INDEX('Danh mục'!$C$39:$C$78,MATCH(D1160,'Danh mục'!$A$39:$A$78,0))&amp;"",""))</f>
      </c>
      <c r="H1160" s="11"/>
      <c r="I1160" s="20"/>
      <c r="J1160" s="11"/>
      <c r="K1160" s="11"/>
      <c r="L1160" s="11"/>
    </row>
    <row r="1161" spans="1:12" x14ac:dyDescent="0.3">
      <c r="A1161" s="31"/>
      <c r="B1161" s="32">
        <f>IF(A1161="","",DATE(YEAR(A1161),MONTH(A1161),1))</f>
      </c>
      <c r="C1161" s="11"/>
      <c r="D1161" s="11"/>
      <c r="E1161" s="16">
        <f>IF(OR(D1161="",C1161&lt;&gt;"Chi"),"",IFERROR(INDEX('Danh mục'!$B$39:$B$78,MATCH(D1161,'Danh mục'!$A$39:$A$78,0))&amp;"","?"))</f>
      </c>
      <c r="F1161" s="16">
        <f>IF(D1161="","",IF(C1161="Thu",IFERROR(INDEX('Danh mục'!$B$26:$B$35,MATCH(D1161,'Danh mục'!$A$26:$A$35,0))&amp;"","?"),IFERROR(INDEX('Danh mục'!$D$39:$D$78,MATCH(D1161,'Danh mục'!$A$39:$A$78,0))&amp;"","?")))</f>
      </c>
      <c r="G1161" s="16">
        <f>IF(OR(D1161="",C1161&lt;&gt;"Chi"),"",IFERROR(INDEX('Danh mục'!$C$39:$C$78,MATCH(D1161,'Danh mục'!$A$39:$A$78,0))&amp;"",""))</f>
      </c>
      <c r="H1161" s="11"/>
      <c r="I1161" s="20"/>
      <c r="J1161" s="11"/>
      <c r="K1161" s="11"/>
      <c r="L1161" s="11"/>
    </row>
    <row r="1162" spans="1:12" x14ac:dyDescent="0.3">
      <c r="A1162" s="31"/>
      <c r="B1162" s="32">
        <f>IF(A1162="","",DATE(YEAR(A1162),MONTH(A1162),1))</f>
      </c>
      <c r="C1162" s="11"/>
      <c r="D1162" s="11"/>
      <c r="E1162" s="16">
        <f>IF(OR(D1162="",C1162&lt;&gt;"Chi"),"",IFERROR(INDEX('Danh mục'!$B$39:$B$78,MATCH(D1162,'Danh mục'!$A$39:$A$78,0))&amp;"","?"))</f>
      </c>
      <c r="F1162" s="16">
        <f>IF(D1162="","",IF(C1162="Thu",IFERROR(INDEX('Danh mục'!$B$26:$B$35,MATCH(D1162,'Danh mục'!$A$26:$A$35,0))&amp;"","?"),IFERROR(INDEX('Danh mục'!$D$39:$D$78,MATCH(D1162,'Danh mục'!$A$39:$A$78,0))&amp;"","?")))</f>
      </c>
      <c r="G1162" s="16">
        <f>IF(OR(D1162="",C1162&lt;&gt;"Chi"),"",IFERROR(INDEX('Danh mục'!$C$39:$C$78,MATCH(D1162,'Danh mục'!$A$39:$A$78,0))&amp;"",""))</f>
      </c>
      <c r="H1162" s="11"/>
      <c r="I1162" s="20"/>
      <c r="J1162" s="11"/>
      <c r="K1162" s="11"/>
      <c r="L1162" s="11"/>
    </row>
    <row r="1163" spans="1:12" x14ac:dyDescent="0.3">
      <c r="A1163" s="31"/>
      <c r="B1163" s="32">
        <f>IF(A1163="","",DATE(YEAR(A1163),MONTH(A1163),1))</f>
      </c>
      <c r="C1163" s="11"/>
      <c r="D1163" s="11"/>
      <c r="E1163" s="16">
        <f>IF(OR(D1163="",C1163&lt;&gt;"Chi"),"",IFERROR(INDEX('Danh mục'!$B$39:$B$78,MATCH(D1163,'Danh mục'!$A$39:$A$78,0))&amp;"","?"))</f>
      </c>
      <c r="F1163" s="16">
        <f>IF(D1163="","",IF(C1163="Thu",IFERROR(INDEX('Danh mục'!$B$26:$B$35,MATCH(D1163,'Danh mục'!$A$26:$A$35,0))&amp;"","?"),IFERROR(INDEX('Danh mục'!$D$39:$D$78,MATCH(D1163,'Danh mục'!$A$39:$A$78,0))&amp;"","?")))</f>
      </c>
      <c r="G1163" s="16">
        <f>IF(OR(D1163="",C1163&lt;&gt;"Chi"),"",IFERROR(INDEX('Danh mục'!$C$39:$C$78,MATCH(D1163,'Danh mục'!$A$39:$A$78,0))&amp;"",""))</f>
      </c>
      <c r="H1163" s="11"/>
      <c r="I1163" s="20"/>
      <c r="J1163" s="11"/>
      <c r="K1163" s="11"/>
      <c r="L1163" s="11"/>
    </row>
    <row r="1164" spans="1:12" x14ac:dyDescent="0.3">
      <c r="A1164" s="31"/>
      <c r="B1164" s="32">
        <f>IF(A1164="","",DATE(YEAR(A1164),MONTH(A1164),1))</f>
      </c>
      <c r="C1164" s="11"/>
      <c r="D1164" s="11"/>
      <c r="E1164" s="16">
        <f>IF(OR(D1164="",C1164&lt;&gt;"Chi"),"",IFERROR(INDEX('Danh mục'!$B$39:$B$78,MATCH(D1164,'Danh mục'!$A$39:$A$78,0))&amp;"","?"))</f>
      </c>
      <c r="F1164" s="16">
        <f>IF(D1164="","",IF(C1164="Thu",IFERROR(INDEX('Danh mục'!$B$26:$B$35,MATCH(D1164,'Danh mục'!$A$26:$A$35,0))&amp;"","?"),IFERROR(INDEX('Danh mục'!$D$39:$D$78,MATCH(D1164,'Danh mục'!$A$39:$A$78,0))&amp;"","?")))</f>
      </c>
      <c r="G1164" s="16">
        <f>IF(OR(D1164="",C1164&lt;&gt;"Chi"),"",IFERROR(INDEX('Danh mục'!$C$39:$C$78,MATCH(D1164,'Danh mục'!$A$39:$A$78,0))&amp;"",""))</f>
      </c>
      <c r="H1164" s="11"/>
      <c r="I1164" s="20"/>
      <c r="J1164" s="11"/>
      <c r="K1164" s="11"/>
      <c r="L1164" s="11"/>
    </row>
    <row r="1165" spans="1:12" x14ac:dyDescent="0.3">
      <c r="A1165" s="31"/>
      <c r="B1165" s="32">
        <f>IF(A1165="","",DATE(YEAR(A1165),MONTH(A1165),1))</f>
      </c>
      <c r="C1165" s="11"/>
      <c r="D1165" s="11"/>
      <c r="E1165" s="16">
        <f>IF(OR(D1165="",C1165&lt;&gt;"Chi"),"",IFERROR(INDEX('Danh mục'!$B$39:$B$78,MATCH(D1165,'Danh mục'!$A$39:$A$78,0))&amp;"","?"))</f>
      </c>
      <c r="F1165" s="16">
        <f>IF(D1165="","",IF(C1165="Thu",IFERROR(INDEX('Danh mục'!$B$26:$B$35,MATCH(D1165,'Danh mục'!$A$26:$A$35,0))&amp;"","?"),IFERROR(INDEX('Danh mục'!$D$39:$D$78,MATCH(D1165,'Danh mục'!$A$39:$A$78,0))&amp;"","?")))</f>
      </c>
      <c r="G1165" s="16">
        <f>IF(OR(D1165="",C1165&lt;&gt;"Chi"),"",IFERROR(INDEX('Danh mục'!$C$39:$C$78,MATCH(D1165,'Danh mục'!$A$39:$A$78,0))&amp;"",""))</f>
      </c>
      <c r="H1165" s="11"/>
      <c r="I1165" s="20"/>
      <c r="J1165" s="11"/>
      <c r="K1165" s="11"/>
      <c r="L1165" s="11"/>
    </row>
    <row r="1166" spans="1:12" x14ac:dyDescent="0.3">
      <c r="A1166" s="31"/>
      <c r="B1166" s="32">
        <f>IF(A1166="","",DATE(YEAR(A1166),MONTH(A1166),1))</f>
      </c>
      <c r="C1166" s="11"/>
      <c r="D1166" s="11"/>
      <c r="E1166" s="16">
        <f>IF(OR(D1166="",C1166&lt;&gt;"Chi"),"",IFERROR(INDEX('Danh mục'!$B$39:$B$78,MATCH(D1166,'Danh mục'!$A$39:$A$78,0))&amp;"","?"))</f>
      </c>
      <c r="F1166" s="16">
        <f>IF(D1166="","",IF(C1166="Thu",IFERROR(INDEX('Danh mục'!$B$26:$B$35,MATCH(D1166,'Danh mục'!$A$26:$A$35,0))&amp;"","?"),IFERROR(INDEX('Danh mục'!$D$39:$D$78,MATCH(D1166,'Danh mục'!$A$39:$A$78,0))&amp;"","?")))</f>
      </c>
      <c r="G1166" s="16">
        <f>IF(OR(D1166="",C1166&lt;&gt;"Chi"),"",IFERROR(INDEX('Danh mục'!$C$39:$C$78,MATCH(D1166,'Danh mục'!$A$39:$A$78,0))&amp;"",""))</f>
      </c>
      <c r="H1166" s="11"/>
      <c r="I1166" s="20"/>
      <c r="J1166" s="11"/>
      <c r="K1166" s="11"/>
      <c r="L1166" s="11"/>
    </row>
    <row r="1167" spans="1:12" x14ac:dyDescent="0.3">
      <c r="A1167" s="31"/>
      <c r="B1167" s="32">
        <f>IF(A1167="","",DATE(YEAR(A1167),MONTH(A1167),1))</f>
      </c>
      <c r="C1167" s="11"/>
      <c r="D1167" s="11"/>
      <c r="E1167" s="16">
        <f>IF(OR(D1167="",C1167&lt;&gt;"Chi"),"",IFERROR(INDEX('Danh mục'!$B$39:$B$78,MATCH(D1167,'Danh mục'!$A$39:$A$78,0))&amp;"","?"))</f>
      </c>
      <c r="F1167" s="16">
        <f>IF(D1167="","",IF(C1167="Thu",IFERROR(INDEX('Danh mục'!$B$26:$B$35,MATCH(D1167,'Danh mục'!$A$26:$A$35,0))&amp;"","?"),IFERROR(INDEX('Danh mục'!$D$39:$D$78,MATCH(D1167,'Danh mục'!$A$39:$A$78,0))&amp;"","?")))</f>
      </c>
      <c r="G1167" s="16">
        <f>IF(OR(D1167="",C1167&lt;&gt;"Chi"),"",IFERROR(INDEX('Danh mục'!$C$39:$C$78,MATCH(D1167,'Danh mục'!$A$39:$A$78,0))&amp;"",""))</f>
      </c>
      <c r="H1167" s="11"/>
      <c r="I1167" s="20"/>
      <c r="J1167" s="11"/>
      <c r="K1167" s="11"/>
      <c r="L1167" s="11"/>
    </row>
    <row r="1168" spans="1:12" x14ac:dyDescent="0.3">
      <c r="A1168" s="31"/>
      <c r="B1168" s="32">
        <f>IF(A1168="","",DATE(YEAR(A1168),MONTH(A1168),1))</f>
      </c>
      <c r="C1168" s="11"/>
      <c r="D1168" s="11"/>
      <c r="E1168" s="16">
        <f>IF(OR(D1168="",C1168&lt;&gt;"Chi"),"",IFERROR(INDEX('Danh mục'!$B$39:$B$78,MATCH(D1168,'Danh mục'!$A$39:$A$78,0))&amp;"","?"))</f>
      </c>
      <c r="F1168" s="16">
        <f>IF(D1168="","",IF(C1168="Thu",IFERROR(INDEX('Danh mục'!$B$26:$B$35,MATCH(D1168,'Danh mục'!$A$26:$A$35,0))&amp;"","?"),IFERROR(INDEX('Danh mục'!$D$39:$D$78,MATCH(D1168,'Danh mục'!$A$39:$A$78,0))&amp;"","?")))</f>
      </c>
      <c r="G1168" s="16">
        <f>IF(OR(D1168="",C1168&lt;&gt;"Chi"),"",IFERROR(INDEX('Danh mục'!$C$39:$C$78,MATCH(D1168,'Danh mục'!$A$39:$A$78,0))&amp;"",""))</f>
      </c>
      <c r="H1168" s="11"/>
      <c r="I1168" s="20"/>
      <c r="J1168" s="11"/>
      <c r="K1168" s="11"/>
      <c r="L1168" s="11"/>
    </row>
    <row r="1169" spans="1:12" x14ac:dyDescent="0.3">
      <c r="A1169" s="31"/>
      <c r="B1169" s="32">
        <f>IF(A1169="","",DATE(YEAR(A1169),MONTH(A1169),1))</f>
      </c>
      <c r="C1169" s="11"/>
      <c r="D1169" s="11"/>
      <c r="E1169" s="16">
        <f>IF(OR(D1169="",C1169&lt;&gt;"Chi"),"",IFERROR(INDEX('Danh mục'!$B$39:$B$78,MATCH(D1169,'Danh mục'!$A$39:$A$78,0))&amp;"","?"))</f>
      </c>
      <c r="F1169" s="16">
        <f>IF(D1169="","",IF(C1169="Thu",IFERROR(INDEX('Danh mục'!$B$26:$B$35,MATCH(D1169,'Danh mục'!$A$26:$A$35,0))&amp;"","?"),IFERROR(INDEX('Danh mục'!$D$39:$D$78,MATCH(D1169,'Danh mục'!$A$39:$A$78,0))&amp;"","?")))</f>
      </c>
      <c r="G1169" s="16">
        <f>IF(OR(D1169="",C1169&lt;&gt;"Chi"),"",IFERROR(INDEX('Danh mục'!$C$39:$C$78,MATCH(D1169,'Danh mục'!$A$39:$A$78,0))&amp;"",""))</f>
      </c>
      <c r="H1169" s="11"/>
      <c r="I1169" s="20"/>
      <c r="J1169" s="11"/>
      <c r="K1169" s="11"/>
      <c r="L1169" s="11"/>
    </row>
    <row r="1170" spans="1:12" x14ac:dyDescent="0.3">
      <c r="A1170" s="31"/>
      <c r="B1170" s="32">
        <f>IF(A1170="","",DATE(YEAR(A1170),MONTH(A1170),1))</f>
      </c>
      <c r="C1170" s="11"/>
      <c r="D1170" s="11"/>
      <c r="E1170" s="16">
        <f>IF(OR(D1170="",C1170&lt;&gt;"Chi"),"",IFERROR(INDEX('Danh mục'!$B$39:$B$78,MATCH(D1170,'Danh mục'!$A$39:$A$78,0))&amp;"","?"))</f>
      </c>
      <c r="F1170" s="16">
        <f>IF(D1170="","",IF(C1170="Thu",IFERROR(INDEX('Danh mục'!$B$26:$B$35,MATCH(D1170,'Danh mục'!$A$26:$A$35,0))&amp;"","?"),IFERROR(INDEX('Danh mục'!$D$39:$D$78,MATCH(D1170,'Danh mục'!$A$39:$A$78,0))&amp;"","?")))</f>
      </c>
      <c r="G1170" s="16">
        <f>IF(OR(D1170="",C1170&lt;&gt;"Chi"),"",IFERROR(INDEX('Danh mục'!$C$39:$C$78,MATCH(D1170,'Danh mục'!$A$39:$A$78,0))&amp;"",""))</f>
      </c>
      <c r="H1170" s="11"/>
      <c r="I1170" s="20"/>
      <c r="J1170" s="11"/>
      <c r="K1170" s="11"/>
      <c r="L1170" s="11"/>
    </row>
    <row r="1171" spans="1:12" x14ac:dyDescent="0.3">
      <c r="A1171" s="31"/>
      <c r="B1171" s="32">
        <f>IF(A1171="","",DATE(YEAR(A1171),MONTH(A1171),1))</f>
      </c>
      <c r="C1171" s="11"/>
      <c r="D1171" s="11"/>
      <c r="E1171" s="16">
        <f>IF(OR(D1171="",C1171&lt;&gt;"Chi"),"",IFERROR(INDEX('Danh mục'!$B$39:$B$78,MATCH(D1171,'Danh mục'!$A$39:$A$78,0))&amp;"","?"))</f>
      </c>
      <c r="F1171" s="16">
        <f>IF(D1171="","",IF(C1171="Thu",IFERROR(INDEX('Danh mục'!$B$26:$B$35,MATCH(D1171,'Danh mục'!$A$26:$A$35,0))&amp;"","?"),IFERROR(INDEX('Danh mục'!$D$39:$D$78,MATCH(D1171,'Danh mục'!$A$39:$A$78,0))&amp;"","?")))</f>
      </c>
      <c r="G1171" s="16">
        <f>IF(OR(D1171="",C1171&lt;&gt;"Chi"),"",IFERROR(INDEX('Danh mục'!$C$39:$C$78,MATCH(D1171,'Danh mục'!$A$39:$A$78,0))&amp;"",""))</f>
      </c>
      <c r="H1171" s="11"/>
      <c r="I1171" s="20"/>
      <c r="J1171" s="11"/>
      <c r="K1171" s="11"/>
      <c r="L1171" s="11"/>
    </row>
    <row r="1172" spans="1:12" x14ac:dyDescent="0.3">
      <c r="A1172" s="31"/>
      <c r="B1172" s="32">
        <f>IF(A1172="","",DATE(YEAR(A1172),MONTH(A1172),1))</f>
      </c>
      <c r="C1172" s="11"/>
      <c r="D1172" s="11"/>
      <c r="E1172" s="16">
        <f>IF(OR(D1172="",C1172&lt;&gt;"Chi"),"",IFERROR(INDEX('Danh mục'!$B$39:$B$78,MATCH(D1172,'Danh mục'!$A$39:$A$78,0))&amp;"","?"))</f>
      </c>
      <c r="F1172" s="16">
        <f>IF(D1172="","",IF(C1172="Thu",IFERROR(INDEX('Danh mục'!$B$26:$B$35,MATCH(D1172,'Danh mục'!$A$26:$A$35,0))&amp;"","?"),IFERROR(INDEX('Danh mục'!$D$39:$D$78,MATCH(D1172,'Danh mục'!$A$39:$A$78,0))&amp;"","?")))</f>
      </c>
      <c r="G1172" s="16">
        <f>IF(OR(D1172="",C1172&lt;&gt;"Chi"),"",IFERROR(INDEX('Danh mục'!$C$39:$C$78,MATCH(D1172,'Danh mục'!$A$39:$A$78,0))&amp;"",""))</f>
      </c>
      <c r="H1172" s="11"/>
      <c r="I1172" s="20"/>
      <c r="J1172" s="11"/>
      <c r="K1172" s="11"/>
      <c r="L1172" s="11"/>
    </row>
    <row r="1173" spans="1:12" x14ac:dyDescent="0.3">
      <c r="A1173" s="31"/>
      <c r="B1173" s="32">
        <f>IF(A1173="","",DATE(YEAR(A1173),MONTH(A1173),1))</f>
      </c>
      <c r="C1173" s="11"/>
      <c r="D1173" s="11"/>
      <c r="E1173" s="16">
        <f>IF(OR(D1173="",C1173&lt;&gt;"Chi"),"",IFERROR(INDEX('Danh mục'!$B$39:$B$78,MATCH(D1173,'Danh mục'!$A$39:$A$78,0))&amp;"","?"))</f>
      </c>
      <c r="F1173" s="16">
        <f>IF(D1173="","",IF(C1173="Thu",IFERROR(INDEX('Danh mục'!$B$26:$B$35,MATCH(D1173,'Danh mục'!$A$26:$A$35,0))&amp;"","?"),IFERROR(INDEX('Danh mục'!$D$39:$D$78,MATCH(D1173,'Danh mục'!$A$39:$A$78,0))&amp;"","?")))</f>
      </c>
      <c r="G1173" s="16">
        <f>IF(OR(D1173="",C1173&lt;&gt;"Chi"),"",IFERROR(INDEX('Danh mục'!$C$39:$C$78,MATCH(D1173,'Danh mục'!$A$39:$A$78,0))&amp;"",""))</f>
      </c>
      <c r="H1173" s="11"/>
      <c r="I1173" s="20"/>
      <c r="J1173" s="11"/>
      <c r="K1173" s="11"/>
      <c r="L1173" s="11"/>
    </row>
    <row r="1174" spans="1:12" x14ac:dyDescent="0.3">
      <c r="A1174" s="31"/>
      <c r="B1174" s="32">
        <f>IF(A1174="","",DATE(YEAR(A1174),MONTH(A1174),1))</f>
      </c>
      <c r="C1174" s="11"/>
      <c r="D1174" s="11"/>
      <c r="E1174" s="16">
        <f>IF(OR(D1174="",C1174&lt;&gt;"Chi"),"",IFERROR(INDEX('Danh mục'!$B$39:$B$78,MATCH(D1174,'Danh mục'!$A$39:$A$78,0))&amp;"","?"))</f>
      </c>
      <c r="F1174" s="16">
        <f>IF(D1174="","",IF(C1174="Thu",IFERROR(INDEX('Danh mục'!$B$26:$B$35,MATCH(D1174,'Danh mục'!$A$26:$A$35,0))&amp;"","?"),IFERROR(INDEX('Danh mục'!$D$39:$D$78,MATCH(D1174,'Danh mục'!$A$39:$A$78,0))&amp;"","?")))</f>
      </c>
      <c r="G1174" s="16">
        <f>IF(OR(D1174="",C1174&lt;&gt;"Chi"),"",IFERROR(INDEX('Danh mục'!$C$39:$C$78,MATCH(D1174,'Danh mục'!$A$39:$A$78,0))&amp;"",""))</f>
      </c>
      <c r="H1174" s="11"/>
      <c r="I1174" s="20"/>
      <c r="J1174" s="11"/>
      <c r="K1174" s="11"/>
      <c r="L1174" s="11"/>
    </row>
    <row r="1175" spans="1:12" x14ac:dyDescent="0.3">
      <c r="A1175" s="31"/>
      <c r="B1175" s="32">
        <f>IF(A1175="","",DATE(YEAR(A1175),MONTH(A1175),1))</f>
      </c>
      <c r="C1175" s="11"/>
      <c r="D1175" s="11"/>
      <c r="E1175" s="16">
        <f>IF(OR(D1175="",C1175&lt;&gt;"Chi"),"",IFERROR(INDEX('Danh mục'!$B$39:$B$78,MATCH(D1175,'Danh mục'!$A$39:$A$78,0))&amp;"","?"))</f>
      </c>
      <c r="F1175" s="16">
        <f>IF(D1175="","",IF(C1175="Thu",IFERROR(INDEX('Danh mục'!$B$26:$B$35,MATCH(D1175,'Danh mục'!$A$26:$A$35,0))&amp;"","?"),IFERROR(INDEX('Danh mục'!$D$39:$D$78,MATCH(D1175,'Danh mục'!$A$39:$A$78,0))&amp;"","?")))</f>
      </c>
      <c r="G1175" s="16">
        <f>IF(OR(D1175="",C1175&lt;&gt;"Chi"),"",IFERROR(INDEX('Danh mục'!$C$39:$C$78,MATCH(D1175,'Danh mục'!$A$39:$A$78,0))&amp;"",""))</f>
      </c>
      <c r="H1175" s="11"/>
      <c r="I1175" s="20"/>
      <c r="J1175" s="11"/>
      <c r="K1175" s="11"/>
      <c r="L1175" s="11"/>
    </row>
    <row r="1176" spans="1:12" x14ac:dyDescent="0.3">
      <c r="A1176" s="31"/>
      <c r="B1176" s="32">
        <f>IF(A1176="","",DATE(YEAR(A1176),MONTH(A1176),1))</f>
      </c>
      <c r="C1176" s="11"/>
      <c r="D1176" s="11"/>
      <c r="E1176" s="16">
        <f>IF(OR(D1176="",C1176&lt;&gt;"Chi"),"",IFERROR(INDEX('Danh mục'!$B$39:$B$78,MATCH(D1176,'Danh mục'!$A$39:$A$78,0))&amp;"","?"))</f>
      </c>
      <c r="F1176" s="16">
        <f>IF(D1176="","",IF(C1176="Thu",IFERROR(INDEX('Danh mục'!$B$26:$B$35,MATCH(D1176,'Danh mục'!$A$26:$A$35,0))&amp;"","?"),IFERROR(INDEX('Danh mục'!$D$39:$D$78,MATCH(D1176,'Danh mục'!$A$39:$A$78,0))&amp;"","?")))</f>
      </c>
      <c r="G1176" s="16">
        <f>IF(OR(D1176="",C1176&lt;&gt;"Chi"),"",IFERROR(INDEX('Danh mục'!$C$39:$C$78,MATCH(D1176,'Danh mục'!$A$39:$A$78,0))&amp;"",""))</f>
      </c>
      <c r="H1176" s="11"/>
      <c r="I1176" s="20"/>
      <c r="J1176" s="11"/>
      <c r="K1176" s="11"/>
      <c r="L1176" s="11"/>
    </row>
    <row r="1177" spans="1:12" x14ac:dyDescent="0.3">
      <c r="A1177" s="31"/>
      <c r="B1177" s="32">
        <f>IF(A1177="","",DATE(YEAR(A1177),MONTH(A1177),1))</f>
      </c>
      <c r="C1177" s="11"/>
      <c r="D1177" s="11"/>
      <c r="E1177" s="16">
        <f>IF(OR(D1177="",C1177&lt;&gt;"Chi"),"",IFERROR(INDEX('Danh mục'!$B$39:$B$78,MATCH(D1177,'Danh mục'!$A$39:$A$78,0))&amp;"","?"))</f>
      </c>
      <c r="F1177" s="16">
        <f>IF(D1177="","",IF(C1177="Thu",IFERROR(INDEX('Danh mục'!$B$26:$B$35,MATCH(D1177,'Danh mục'!$A$26:$A$35,0))&amp;"","?"),IFERROR(INDEX('Danh mục'!$D$39:$D$78,MATCH(D1177,'Danh mục'!$A$39:$A$78,0))&amp;"","?")))</f>
      </c>
      <c r="G1177" s="16">
        <f>IF(OR(D1177="",C1177&lt;&gt;"Chi"),"",IFERROR(INDEX('Danh mục'!$C$39:$C$78,MATCH(D1177,'Danh mục'!$A$39:$A$78,0))&amp;"",""))</f>
      </c>
      <c r="H1177" s="11"/>
      <c r="I1177" s="20"/>
      <c r="J1177" s="11"/>
      <c r="K1177" s="11"/>
      <c r="L1177" s="11"/>
    </row>
    <row r="1178" spans="1:12" x14ac:dyDescent="0.3">
      <c r="A1178" s="31"/>
      <c r="B1178" s="32">
        <f>IF(A1178="","",DATE(YEAR(A1178),MONTH(A1178),1))</f>
      </c>
      <c r="C1178" s="11"/>
      <c r="D1178" s="11"/>
      <c r="E1178" s="16">
        <f>IF(OR(D1178="",C1178&lt;&gt;"Chi"),"",IFERROR(INDEX('Danh mục'!$B$39:$B$78,MATCH(D1178,'Danh mục'!$A$39:$A$78,0))&amp;"","?"))</f>
      </c>
      <c r="F1178" s="16">
        <f>IF(D1178="","",IF(C1178="Thu",IFERROR(INDEX('Danh mục'!$B$26:$B$35,MATCH(D1178,'Danh mục'!$A$26:$A$35,0))&amp;"","?"),IFERROR(INDEX('Danh mục'!$D$39:$D$78,MATCH(D1178,'Danh mục'!$A$39:$A$78,0))&amp;"","?")))</f>
      </c>
      <c r="G1178" s="16">
        <f>IF(OR(D1178="",C1178&lt;&gt;"Chi"),"",IFERROR(INDEX('Danh mục'!$C$39:$C$78,MATCH(D1178,'Danh mục'!$A$39:$A$78,0))&amp;"",""))</f>
      </c>
      <c r="H1178" s="11"/>
      <c r="I1178" s="20"/>
      <c r="J1178" s="11"/>
      <c r="K1178" s="11"/>
      <c r="L1178" s="11"/>
    </row>
    <row r="1179" spans="1:12" x14ac:dyDescent="0.3">
      <c r="A1179" s="31"/>
      <c r="B1179" s="32">
        <f>IF(A1179="","",DATE(YEAR(A1179),MONTH(A1179),1))</f>
      </c>
      <c r="C1179" s="11"/>
      <c r="D1179" s="11"/>
      <c r="E1179" s="16">
        <f>IF(OR(D1179="",C1179&lt;&gt;"Chi"),"",IFERROR(INDEX('Danh mục'!$B$39:$B$78,MATCH(D1179,'Danh mục'!$A$39:$A$78,0))&amp;"","?"))</f>
      </c>
      <c r="F1179" s="16">
        <f>IF(D1179="","",IF(C1179="Thu",IFERROR(INDEX('Danh mục'!$B$26:$B$35,MATCH(D1179,'Danh mục'!$A$26:$A$35,0))&amp;"","?"),IFERROR(INDEX('Danh mục'!$D$39:$D$78,MATCH(D1179,'Danh mục'!$A$39:$A$78,0))&amp;"","?")))</f>
      </c>
      <c r="G1179" s="16">
        <f>IF(OR(D1179="",C1179&lt;&gt;"Chi"),"",IFERROR(INDEX('Danh mục'!$C$39:$C$78,MATCH(D1179,'Danh mục'!$A$39:$A$78,0))&amp;"",""))</f>
      </c>
      <c r="H1179" s="11"/>
      <c r="I1179" s="20"/>
      <c r="J1179" s="11"/>
      <c r="K1179" s="11"/>
      <c r="L1179" s="11"/>
    </row>
    <row r="1180" spans="1:12" x14ac:dyDescent="0.3">
      <c r="A1180" s="31"/>
      <c r="B1180" s="32">
        <f>IF(A1180="","",DATE(YEAR(A1180),MONTH(A1180),1))</f>
      </c>
      <c r="C1180" s="11"/>
      <c r="D1180" s="11"/>
      <c r="E1180" s="16">
        <f>IF(OR(D1180="",C1180&lt;&gt;"Chi"),"",IFERROR(INDEX('Danh mục'!$B$39:$B$78,MATCH(D1180,'Danh mục'!$A$39:$A$78,0))&amp;"","?"))</f>
      </c>
      <c r="F1180" s="16">
        <f>IF(D1180="","",IF(C1180="Thu",IFERROR(INDEX('Danh mục'!$B$26:$B$35,MATCH(D1180,'Danh mục'!$A$26:$A$35,0))&amp;"","?"),IFERROR(INDEX('Danh mục'!$D$39:$D$78,MATCH(D1180,'Danh mục'!$A$39:$A$78,0))&amp;"","?")))</f>
      </c>
      <c r="G1180" s="16">
        <f>IF(OR(D1180="",C1180&lt;&gt;"Chi"),"",IFERROR(INDEX('Danh mục'!$C$39:$C$78,MATCH(D1180,'Danh mục'!$A$39:$A$78,0))&amp;"",""))</f>
      </c>
      <c r="H1180" s="11"/>
      <c r="I1180" s="20"/>
      <c r="J1180" s="11"/>
      <c r="K1180" s="11"/>
      <c r="L1180" s="11"/>
    </row>
    <row r="1181" spans="1:12" x14ac:dyDescent="0.3">
      <c r="A1181" s="31"/>
      <c r="B1181" s="32">
        <f>IF(A1181="","",DATE(YEAR(A1181),MONTH(A1181),1))</f>
      </c>
      <c r="C1181" s="11"/>
      <c r="D1181" s="11"/>
      <c r="E1181" s="16">
        <f>IF(OR(D1181="",C1181&lt;&gt;"Chi"),"",IFERROR(INDEX('Danh mục'!$B$39:$B$78,MATCH(D1181,'Danh mục'!$A$39:$A$78,0))&amp;"","?"))</f>
      </c>
      <c r="F1181" s="16">
        <f>IF(D1181="","",IF(C1181="Thu",IFERROR(INDEX('Danh mục'!$B$26:$B$35,MATCH(D1181,'Danh mục'!$A$26:$A$35,0))&amp;"","?"),IFERROR(INDEX('Danh mục'!$D$39:$D$78,MATCH(D1181,'Danh mục'!$A$39:$A$78,0))&amp;"","?")))</f>
      </c>
      <c r="G1181" s="16">
        <f>IF(OR(D1181="",C1181&lt;&gt;"Chi"),"",IFERROR(INDEX('Danh mục'!$C$39:$C$78,MATCH(D1181,'Danh mục'!$A$39:$A$78,0))&amp;"",""))</f>
      </c>
      <c r="H1181" s="11"/>
      <c r="I1181" s="20"/>
      <c r="J1181" s="11"/>
      <c r="K1181" s="11"/>
      <c r="L1181" s="11"/>
    </row>
    <row r="1182" spans="1:12" x14ac:dyDescent="0.3">
      <c r="A1182" s="31"/>
      <c r="B1182" s="32">
        <f>IF(A1182="","",DATE(YEAR(A1182),MONTH(A1182),1))</f>
      </c>
      <c r="C1182" s="11"/>
      <c r="D1182" s="11"/>
      <c r="E1182" s="16">
        <f>IF(OR(D1182="",C1182&lt;&gt;"Chi"),"",IFERROR(INDEX('Danh mục'!$B$39:$B$78,MATCH(D1182,'Danh mục'!$A$39:$A$78,0))&amp;"","?"))</f>
      </c>
      <c r="F1182" s="16">
        <f>IF(D1182="","",IF(C1182="Thu",IFERROR(INDEX('Danh mục'!$B$26:$B$35,MATCH(D1182,'Danh mục'!$A$26:$A$35,0))&amp;"","?"),IFERROR(INDEX('Danh mục'!$D$39:$D$78,MATCH(D1182,'Danh mục'!$A$39:$A$78,0))&amp;"","?")))</f>
      </c>
      <c r="G1182" s="16">
        <f>IF(OR(D1182="",C1182&lt;&gt;"Chi"),"",IFERROR(INDEX('Danh mục'!$C$39:$C$78,MATCH(D1182,'Danh mục'!$A$39:$A$78,0))&amp;"",""))</f>
      </c>
      <c r="H1182" s="11"/>
      <c r="I1182" s="20"/>
      <c r="J1182" s="11"/>
      <c r="K1182" s="11"/>
      <c r="L1182" s="11"/>
    </row>
    <row r="1183" spans="1:12" x14ac:dyDescent="0.3">
      <c r="A1183" s="31"/>
      <c r="B1183" s="32">
        <f>IF(A1183="","",DATE(YEAR(A1183),MONTH(A1183),1))</f>
      </c>
      <c r="C1183" s="11"/>
      <c r="D1183" s="11"/>
      <c r="E1183" s="16">
        <f>IF(OR(D1183="",C1183&lt;&gt;"Chi"),"",IFERROR(INDEX('Danh mục'!$B$39:$B$78,MATCH(D1183,'Danh mục'!$A$39:$A$78,0))&amp;"","?"))</f>
      </c>
      <c r="F1183" s="16">
        <f>IF(D1183="","",IF(C1183="Thu",IFERROR(INDEX('Danh mục'!$B$26:$B$35,MATCH(D1183,'Danh mục'!$A$26:$A$35,0))&amp;"","?"),IFERROR(INDEX('Danh mục'!$D$39:$D$78,MATCH(D1183,'Danh mục'!$A$39:$A$78,0))&amp;"","?")))</f>
      </c>
      <c r="G1183" s="16">
        <f>IF(OR(D1183="",C1183&lt;&gt;"Chi"),"",IFERROR(INDEX('Danh mục'!$C$39:$C$78,MATCH(D1183,'Danh mục'!$A$39:$A$78,0))&amp;"",""))</f>
      </c>
      <c r="H1183" s="11"/>
      <c r="I1183" s="20"/>
      <c r="J1183" s="11"/>
      <c r="K1183" s="11"/>
      <c r="L1183" s="11"/>
    </row>
    <row r="1184" spans="1:12" x14ac:dyDescent="0.3">
      <c r="A1184" s="31"/>
      <c r="B1184" s="32">
        <f>IF(A1184="","",DATE(YEAR(A1184),MONTH(A1184),1))</f>
      </c>
      <c r="C1184" s="11"/>
      <c r="D1184" s="11"/>
      <c r="E1184" s="16">
        <f>IF(OR(D1184="",C1184&lt;&gt;"Chi"),"",IFERROR(INDEX('Danh mục'!$B$39:$B$78,MATCH(D1184,'Danh mục'!$A$39:$A$78,0))&amp;"","?"))</f>
      </c>
      <c r="F1184" s="16">
        <f>IF(D1184="","",IF(C1184="Thu",IFERROR(INDEX('Danh mục'!$B$26:$B$35,MATCH(D1184,'Danh mục'!$A$26:$A$35,0))&amp;"","?"),IFERROR(INDEX('Danh mục'!$D$39:$D$78,MATCH(D1184,'Danh mục'!$A$39:$A$78,0))&amp;"","?")))</f>
      </c>
      <c r="G1184" s="16">
        <f>IF(OR(D1184="",C1184&lt;&gt;"Chi"),"",IFERROR(INDEX('Danh mục'!$C$39:$C$78,MATCH(D1184,'Danh mục'!$A$39:$A$78,0))&amp;"",""))</f>
      </c>
      <c r="H1184" s="11"/>
      <c r="I1184" s="20"/>
      <c r="J1184" s="11"/>
      <c r="K1184" s="11"/>
      <c r="L1184" s="11"/>
    </row>
    <row r="1185" spans="1:12" x14ac:dyDescent="0.3">
      <c r="A1185" s="31"/>
      <c r="B1185" s="32">
        <f>IF(A1185="","",DATE(YEAR(A1185),MONTH(A1185),1))</f>
      </c>
      <c r="C1185" s="11"/>
      <c r="D1185" s="11"/>
      <c r="E1185" s="16">
        <f>IF(OR(D1185="",C1185&lt;&gt;"Chi"),"",IFERROR(INDEX('Danh mục'!$B$39:$B$78,MATCH(D1185,'Danh mục'!$A$39:$A$78,0))&amp;"","?"))</f>
      </c>
      <c r="F1185" s="16">
        <f>IF(D1185="","",IF(C1185="Thu",IFERROR(INDEX('Danh mục'!$B$26:$B$35,MATCH(D1185,'Danh mục'!$A$26:$A$35,0))&amp;"","?"),IFERROR(INDEX('Danh mục'!$D$39:$D$78,MATCH(D1185,'Danh mục'!$A$39:$A$78,0))&amp;"","?")))</f>
      </c>
      <c r="G1185" s="16">
        <f>IF(OR(D1185="",C1185&lt;&gt;"Chi"),"",IFERROR(INDEX('Danh mục'!$C$39:$C$78,MATCH(D1185,'Danh mục'!$A$39:$A$78,0))&amp;"",""))</f>
      </c>
      <c r="H1185" s="11"/>
      <c r="I1185" s="20"/>
      <c r="J1185" s="11"/>
      <c r="K1185" s="11"/>
      <c r="L1185" s="11"/>
    </row>
    <row r="1186" spans="1:12" x14ac:dyDescent="0.3">
      <c r="A1186" s="31"/>
      <c r="B1186" s="32">
        <f>IF(A1186="","",DATE(YEAR(A1186),MONTH(A1186),1))</f>
      </c>
      <c r="C1186" s="11"/>
      <c r="D1186" s="11"/>
      <c r="E1186" s="16">
        <f>IF(OR(D1186="",C1186&lt;&gt;"Chi"),"",IFERROR(INDEX('Danh mục'!$B$39:$B$78,MATCH(D1186,'Danh mục'!$A$39:$A$78,0))&amp;"","?"))</f>
      </c>
      <c r="F1186" s="16">
        <f>IF(D1186="","",IF(C1186="Thu",IFERROR(INDEX('Danh mục'!$B$26:$B$35,MATCH(D1186,'Danh mục'!$A$26:$A$35,0))&amp;"","?"),IFERROR(INDEX('Danh mục'!$D$39:$D$78,MATCH(D1186,'Danh mục'!$A$39:$A$78,0))&amp;"","?")))</f>
      </c>
      <c r="G1186" s="16">
        <f>IF(OR(D1186="",C1186&lt;&gt;"Chi"),"",IFERROR(INDEX('Danh mục'!$C$39:$C$78,MATCH(D1186,'Danh mục'!$A$39:$A$78,0))&amp;"",""))</f>
      </c>
      <c r="H1186" s="11"/>
      <c r="I1186" s="20"/>
      <c r="J1186" s="11"/>
      <c r="K1186" s="11"/>
      <c r="L1186" s="11"/>
    </row>
    <row r="1187" spans="1:12" x14ac:dyDescent="0.3">
      <c r="A1187" s="31"/>
      <c r="B1187" s="32">
        <f>IF(A1187="","",DATE(YEAR(A1187),MONTH(A1187),1))</f>
      </c>
      <c r="C1187" s="11"/>
      <c r="D1187" s="11"/>
      <c r="E1187" s="16">
        <f>IF(OR(D1187="",C1187&lt;&gt;"Chi"),"",IFERROR(INDEX('Danh mục'!$B$39:$B$78,MATCH(D1187,'Danh mục'!$A$39:$A$78,0))&amp;"","?"))</f>
      </c>
      <c r="F1187" s="16">
        <f>IF(D1187="","",IF(C1187="Thu",IFERROR(INDEX('Danh mục'!$B$26:$B$35,MATCH(D1187,'Danh mục'!$A$26:$A$35,0))&amp;"","?"),IFERROR(INDEX('Danh mục'!$D$39:$D$78,MATCH(D1187,'Danh mục'!$A$39:$A$78,0))&amp;"","?")))</f>
      </c>
      <c r="G1187" s="16">
        <f>IF(OR(D1187="",C1187&lt;&gt;"Chi"),"",IFERROR(INDEX('Danh mục'!$C$39:$C$78,MATCH(D1187,'Danh mục'!$A$39:$A$78,0))&amp;"",""))</f>
      </c>
      <c r="H1187" s="11"/>
      <c r="I1187" s="20"/>
      <c r="J1187" s="11"/>
      <c r="K1187" s="11"/>
      <c r="L1187" s="11"/>
    </row>
    <row r="1188" spans="1:12" x14ac:dyDescent="0.3">
      <c r="A1188" s="31"/>
      <c r="B1188" s="32">
        <f>IF(A1188="","",DATE(YEAR(A1188),MONTH(A1188),1))</f>
      </c>
      <c r="C1188" s="11"/>
      <c r="D1188" s="11"/>
      <c r="E1188" s="16">
        <f>IF(OR(D1188="",C1188&lt;&gt;"Chi"),"",IFERROR(INDEX('Danh mục'!$B$39:$B$78,MATCH(D1188,'Danh mục'!$A$39:$A$78,0))&amp;"","?"))</f>
      </c>
      <c r="F1188" s="16">
        <f>IF(D1188="","",IF(C1188="Thu",IFERROR(INDEX('Danh mục'!$B$26:$B$35,MATCH(D1188,'Danh mục'!$A$26:$A$35,0))&amp;"","?"),IFERROR(INDEX('Danh mục'!$D$39:$D$78,MATCH(D1188,'Danh mục'!$A$39:$A$78,0))&amp;"","?")))</f>
      </c>
      <c r="G1188" s="16">
        <f>IF(OR(D1188="",C1188&lt;&gt;"Chi"),"",IFERROR(INDEX('Danh mục'!$C$39:$C$78,MATCH(D1188,'Danh mục'!$A$39:$A$78,0))&amp;"",""))</f>
      </c>
      <c r="H1188" s="11"/>
      <c r="I1188" s="20"/>
      <c r="J1188" s="11"/>
      <c r="K1188" s="11"/>
      <c r="L1188" s="11"/>
    </row>
    <row r="1189" spans="1:12" x14ac:dyDescent="0.3">
      <c r="A1189" s="31"/>
      <c r="B1189" s="32">
        <f>IF(A1189="","",DATE(YEAR(A1189),MONTH(A1189),1))</f>
      </c>
      <c r="C1189" s="11"/>
      <c r="D1189" s="11"/>
      <c r="E1189" s="16">
        <f>IF(OR(D1189="",C1189&lt;&gt;"Chi"),"",IFERROR(INDEX('Danh mục'!$B$39:$B$78,MATCH(D1189,'Danh mục'!$A$39:$A$78,0))&amp;"","?"))</f>
      </c>
      <c r="F1189" s="16">
        <f>IF(D1189="","",IF(C1189="Thu",IFERROR(INDEX('Danh mục'!$B$26:$B$35,MATCH(D1189,'Danh mục'!$A$26:$A$35,0))&amp;"","?"),IFERROR(INDEX('Danh mục'!$D$39:$D$78,MATCH(D1189,'Danh mục'!$A$39:$A$78,0))&amp;"","?")))</f>
      </c>
      <c r="G1189" s="16">
        <f>IF(OR(D1189="",C1189&lt;&gt;"Chi"),"",IFERROR(INDEX('Danh mục'!$C$39:$C$78,MATCH(D1189,'Danh mục'!$A$39:$A$78,0))&amp;"",""))</f>
      </c>
      <c r="H1189" s="11"/>
      <c r="I1189" s="20"/>
      <c r="J1189" s="11"/>
      <c r="K1189" s="11"/>
      <c r="L1189" s="11"/>
    </row>
    <row r="1190" spans="1:12" x14ac:dyDescent="0.3">
      <c r="A1190" s="31"/>
      <c r="B1190" s="32">
        <f>IF(A1190="","",DATE(YEAR(A1190),MONTH(A1190),1))</f>
      </c>
      <c r="C1190" s="11"/>
      <c r="D1190" s="11"/>
      <c r="E1190" s="16">
        <f>IF(OR(D1190="",C1190&lt;&gt;"Chi"),"",IFERROR(INDEX('Danh mục'!$B$39:$B$78,MATCH(D1190,'Danh mục'!$A$39:$A$78,0))&amp;"","?"))</f>
      </c>
      <c r="F1190" s="16">
        <f>IF(D1190="","",IF(C1190="Thu",IFERROR(INDEX('Danh mục'!$B$26:$B$35,MATCH(D1190,'Danh mục'!$A$26:$A$35,0))&amp;"","?"),IFERROR(INDEX('Danh mục'!$D$39:$D$78,MATCH(D1190,'Danh mục'!$A$39:$A$78,0))&amp;"","?")))</f>
      </c>
      <c r="G1190" s="16">
        <f>IF(OR(D1190="",C1190&lt;&gt;"Chi"),"",IFERROR(INDEX('Danh mục'!$C$39:$C$78,MATCH(D1190,'Danh mục'!$A$39:$A$78,0))&amp;"",""))</f>
      </c>
      <c r="H1190" s="11"/>
      <c r="I1190" s="20"/>
      <c r="J1190" s="11"/>
      <c r="K1190" s="11"/>
      <c r="L1190" s="11"/>
    </row>
    <row r="1191" spans="1:12" x14ac:dyDescent="0.3">
      <c r="A1191" s="31"/>
      <c r="B1191" s="32">
        <f>IF(A1191="","",DATE(YEAR(A1191),MONTH(A1191),1))</f>
      </c>
      <c r="C1191" s="11"/>
      <c r="D1191" s="11"/>
      <c r="E1191" s="16">
        <f>IF(OR(D1191="",C1191&lt;&gt;"Chi"),"",IFERROR(INDEX('Danh mục'!$B$39:$B$78,MATCH(D1191,'Danh mục'!$A$39:$A$78,0))&amp;"","?"))</f>
      </c>
      <c r="F1191" s="16">
        <f>IF(D1191="","",IF(C1191="Thu",IFERROR(INDEX('Danh mục'!$B$26:$B$35,MATCH(D1191,'Danh mục'!$A$26:$A$35,0))&amp;"","?"),IFERROR(INDEX('Danh mục'!$D$39:$D$78,MATCH(D1191,'Danh mục'!$A$39:$A$78,0))&amp;"","?")))</f>
      </c>
      <c r="G1191" s="16">
        <f>IF(OR(D1191="",C1191&lt;&gt;"Chi"),"",IFERROR(INDEX('Danh mục'!$C$39:$C$78,MATCH(D1191,'Danh mục'!$A$39:$A$78,0))&amp;"",""))</f>
      </c>
      <c r="H1191" s="11"/>
      <c r="I1191" s="20"/>
      <c r="J1191" s="11"/>
      <c r="K1191" s="11"/>
      <c r="L1191" s="11"/>
    </row>
    <row r="1192" spans="1:12" x14ac:dyDescent="0.3">
      <c r="A1192" s="31"/>
      <c r="B1192" s="32">
        <f>IF(A1192="","",DATE(YEAR(A1192),MONTH(A1192),1))</f>
      </c>
      <c r="C1192" s="11"/>
      <c r="D1192" s="11"/>
      <c r="E1192" s="16">
        <f>IF(OR(D1192="",C1192&lt;&gt;"Chi"),"",IFERROR(INDEX('Danh mục'!$B$39:$B$78,MATCH(D1192,'Danh mục'!$A$39:$A$78,0))&amp;"","?"))</f>
      </c>
      <c r="F1192" s="16">
        <f>IF(D1192="","",IF(C1192="Thu",IFERROR(INDEX('Danh mục'!$B$26:$B$35,MATCH(D1192,'Danh mục'!$A$26:$A$35,0))&amp;"","?"),IFERROR(INDEX('Danh mục'!$D$39:$D$78,MATCH(D1192,'Danh mục'!$A$39:$A$78,0))&amp;"","?")))</f>
      </c>
      <c r="G1192" s="16">
        <f>IF(OR(D1192="",C1192&lt;&gt;"Chi"),"",IFERROR(INDEX('Danh mục'!$C$39:$C$78,MATCH(D1192,'Danh mục'!$A$39:$A$78,0))&amp;"",""))</f>
      </c>
      <c r="H1192" s="11"/>
      <c r="I1192" s="20"/>
      <c r="J1192" s="11"/>
      <c r="K1192" s="11"/>
      <c r="L1192" s="11"/>
    </row>
    <row r="1193" spans="1:12" x14ac:dyDescent="0.3">
      <c r="A1193" s="31"/>
      <c r="B1193" s="32">
        <f>IF(A1193="","",DATE(YEAR(A1193),MONTH(A1193),1))</f>
      </c>
      <c r="C1193" s="11"/>
      <c r="D1193" s="11"/>
      <c r="E1193" s="16">
        <f>IF(OR(D1193="",C1193&lt;&gt;"Chi"),"",IFERROR(INDEX('Danh mục'!$B$39:$B$78,MATCH(D1193,'Danh mục'!$A$39:$A$78,0))&amp;"","?"))</f>
      </c>
      <c r="F1193" s="16">
        <f>IF(D1193="","",IF(C1193="Thu",IFERROR(INDEX('Danh mục'!$B$26:$B$35,MATCH(D1193,'Danh mục'!$A$26:$A$35,0))&amp;"","?"),IFERROR(INDEX('Danh mục'!$D$39:$D$78,MATCH(D1193,'Danh mục'!$A$39:$A$78,0))&amp;"","?")))</f>
      </c>
      <c r="G1193" s="16">
        <f>IF(OR(D1193="",C1193&lt;&gt;"Chi"),"",IFERROR(INDEX('Danh mục'!$C$39:$C$78,MATCH(D1193,'Danh mục'!$A$39:$A$78,0))&amp;"",""))</f>
      </c>
      <c r="H1193" s="11"/>
      <c r="I1193" s="20"/>
      <c r="J1193" s="11"/>
      <c r="K1193" s="11"/>
      <c r="L1193" s="11"/>
    </row>
    <row r="1194" spans="1:12" x14ac:dyDescent="0.3">
      <c r="A1194" s="31"/>
      <c r="B1194" s="32">
        <f>IF(A1194="","",DATE(YEAR(A1194),MONTH(A1194),1))</f>
      </c>
      <c r="C1194" s="11"/>
      <c r="D1194" s="11"/>
      <c r="E1194" s="16">
        <f>IF(OR(D1194="",C1194&lt;&gt;"Chi"),"",IFERROR(INDEX('Danh mục'!$B$39:$B$78,MATCH(D1194,'Danh mục'!$A$39:$A$78,0))&amp;"","?"))</f>
      </c>
      <c r="F1194" s="16">
        <f>IF(D1194="","",IF(C1194="Thu",IFERROR(INDEX('Danh mục'!$B$26:$B$35,MATCH(D1194,'Danh mục'!$A$26:$A$35,0))&amp;"","?"),IFERROR(INDEX('Danh mục'!$D$39:$D$78,MATCH(D1194,'Danh mục'!$A$39:$A$78,0))&amp;"","?")))</f>
      </c>
      <c r="G1194" s="16">
        <f>IF(OR(D1194="",C1194&lt;&gt;"Chi"),"",IFERROR(INDEX('Danh mục'!$C$39:$C$78,MATCH(D1194,'Danh mục'!$A$39:$A$78,0))&amp;"",""))</f>
      </c>
      <c r="H1194" s="11"/>
      <c r="I1194" s="20"/>
      <c r="J1194" s="11"/>
      <c r="K1194" s="11"/>
      <c r="L1194" s="11"/>
    </row>
    <row r="1195" spans="1:12" x14ac:dyDescent="0.3">
      <c r="A1195" s="31"/>
      <c r="B1195" s="32">
        <f>IF(A1195="","",DATE(YEAR(A1195),MONTH(A1195),1))</f>
      </c>
      <c r="C1195" s="11"/>
      <c r="D1195" s="11"/>
      <c r="E1195" s="16">
        <f>IF(OR(D1195="",C1195&lt;&gt;"Chi"),"",IFERROR(INDEX('Danh mục'!$B$39:$B$78,MATCH(D1195,'Danh mục'!$A$39:$A$78,0))&amp;"","?"))</f>
      </c>
      <c r="F1195" s="16">
        <f>IF(D1195="","",IF(C1195="Thu",IFERROR(INDEX('Danh mục'!$B$26:$B$35,MATCH(D1195,'Danh mục'!$A$26:$A$35,0))&amp;"","?"),IFERROR(INDEX('Danh mục'!$D$39:$D$78,MATCH(D1195,'Danh mục'!$A$39:$A$78,0))&amp;"","?")))</f>
      </c>
      <c r="G1195" s="16">
        <f>IF(OR(D1195="",C1195&lt;&gt;"Chi"),"",IFERROR(INDEX('Danh mục'!$C$39:$C$78,MATCH(D1195,'Danh mục'!$A$39:$A$78,0))&amp;"",""))</f>
      </c>
      <c r="H1195" s="11"/>
      <c r="I1195" s="20"/>
      <c r="J1195" s="11"/>
      <c r="K1195" s="11"/>
      <c r="L1195" s="11"/>
    </row>
    <row r="1196" spans="1:12" x14ac:dyDescent="0.3">
      <c r="A1196" s="31"/>
      <c r="B1196" s="32">
        <f>IF(A1196="","",DATE(YEAR(A1196),MONTH(A1196),1))</f>
      </c>
      <c r="C1196" s="11"/>
      <c r="D1196" s="11"/>
      <c r="E1196" s="16">
        <f>IF(OR(D1196="",C1196&lt;&gt;"Chi"),"",IFERROR(INDEX('Danh mục'!$B$39:$B$78,MATCH(D1196,'Danh mục'!$A$39:$A$78,0))&amp;"","?"))</f>
      </c>
      <c r="F1196" s="16">
        <f>IF(D1196="","",IF(C1196="Thu",IFERROR(INDEX('Danh mục'!$B$26:$B$35,MATCH(D1196,'Danh mục'!$A$26:$A$35,0))&amp;"","?"),IFERROR(INDEX('Danh mục'!$D$39:$D$78,MATCH(D1196,'Danh mục'!$A$39:$A$78,0))&amp;"","?")))</f>
      </c>
      <c r="G1196" s="16">
        <f>IF(OR(D1196="",C1196&lt;&gt;"Chi"),"",IFERROR(INDEX('Danh mục'!$C$39:$C$78,MATCH(D1196,'Danh mục'!$A$39:$A$78,0))&amp;"",""))</f>
      </c>
      <c r="H1196" s="11"/>
      <c r="I1196" s="20"/>
      <c r="J1196" s="11"/>
      <c r="K1196" s="11"/>
      <c r="L1196" s="11"/>
    </row>
    <row r="1197" spans="1:12" x14ac:dyDescent="0.3">
      <c r="A1197" s="31"/>
      <c r="B1197" s="32">
        <f>IF(A1197="","",DATE(YEAR(A1197),MONTH(A1197),1))</f>
      </c>
      <c r="C1197" s="11"/>
      <c r="D1197" s="11"/>
      <c r="E1197" s="16">
        <f>IF(OR(D1197="",C1197&lt;&gt;"Chi"),"",IFERROR(INDEX('Danh mục'!$B$39:$B$78,MATCH(D1197,'Danh mục'!$A$39:$A$78,0))&amp;"","?"))</f>
      </c>
      <c r="F1197" s="16">
        <f>IF(D1197="","",IF(C1197="Thu",IFERROR(INDEX('Danh mục'!$B$26:$B$35,MATCH(D1197,'Danh mục'!$A$26:$A$35,0))&amp;"","?"),IFERROR(INDEX('Danh mục'!$D$39:$D$78,MATCH(D1197,'Danh mục'!$A$39:$A$78,0))&amp;"","?")))</f>
      </c>
      <c r="G1197" s="16">
        <f>IF(OR(D1197="",C1197&lt;&gt;"Chi"),"",IFERROR(INDEX('Danh mục'!$C$39:$C$78,MATCH(D1197,'Danh mục'!$A$39:$A$78,0))&amp;"",""))</f>
      </c>
      <c r="H1197" s="11"/>
      <c r="I1197" s="20"/>
      <c r="J1197" s="11"/>
      <c r="K1197" s="11"/>
      <c r="L1197" s="11"/>
    </row>
    <row r="1198" spans="1:12" x14ac:dyDescent="0.3">
      <c r="A1198" s="31"/>
      <c r="B1198" s="32">
        <f>IF(A1198="","",DATE(YEAR(A1198),MONTH(A1198),1))</f>
      </c>
      <c r="C1198" s="11"/>
      <c r="D1198" s="11"/>
      <c r="E1198" s="16">
        <f>IF(OR(D1198="",C1198&lt;&gt;"Chi"),"",IFERROR(INDEX('Danh mục'!$B$39:$B$78,MATCH(D1198,'Danh mục'!$A$39:$A$78,0))&amp;"","?"))</f>
      </c>
      <c r="F1198" s="16">
        <f>IF(D1198="","",IF(C1198="Thu",IFERROR(INDEX('Danh mục'!$B$26:$B$35,MATCH(D1198,'Danh mục'!$A$26:$A$35,0))&amp;"","?"),IFERROR(INDEX('Danh mục'!$D$39:$D$78,MATCH(D1198,'Danh mục'!$A$39:$A$78,0))&amp;"","?")))</f>
      </c>
      <c r="G1198" s="16">
        <f>IF(OR(D1198="",C1198&lt;&gt;"Chi"),"",IFERROR(INDEX('Danh mục'!$C$39:$C$78,MATCH(D1198,'Danh mục'!$A$39:$A$78,0))&amp;"",""))</f>
      </c>
      <c r="H1198" s="11"/>
      <c r="I1198" s="20"/>
      <c r="J1198" s="11"/>
      <c r="K1198" s="11"/>
      <c r="L1198" s="11"/>
    </row>
    <row r="1199" spans="1:12" x14ac:dyDescent="0.3">
      <c r="A1199" s="31"/>
      <c r="B1199" s="32">
        <f>IF(A1199="","",DATE(YEAR(A1199),MONTH(A1199),1))</f>
      </c>
      <c r="C1199" s="11"/>
      <c r="D1199" s="11"/>
      <c r="E1199" s="16">
        <f>IF(OR(D1199="",C1199&lt;&gt;"Chi"),"",IFERROR(INDEX('Danh mục'!$B$39:$B$78,MATCH(D1199,'Danh mục'!$A$39:$A$78,0))&amp;"","?"))</f>
      </c>
      <c r="F1199" s="16">
        <f>IF(D1199="","",IF(C1199="Thu",IFERROR(INDEX('Danh mục'!$B$26:$B$35,MATCH(D1199,'Danh mục'!$A$26:$A$35,0))&amp;"","?"),IFERROR(INDEX('Danh mục'!$D$39:$D$78,MATCH(D1199,'Danh mục'!$A$39:$A$78,0))&amp;"","?")))</f>
      </c>
      <c r="G1199" s="16">
        <f>IF(OR(D1199="",C1199&lt;&gt;"Chi"),"",IFERROR(INDEX('Danh mục'!$C$39:$C$78,MATCH(D1199,'Danh mục'!$A$39:$A$78,0))&amp;"",""))</f>
      </c>
      <c r="H1199" s="11"/>
      <c r="I1199" s="20"/>
      <c r="J1199" s="11"/>
      <c r="K1199" s="11"/>
      <c r="L1199" s="11"/>
    </row>
    <row r="1200" spans="1:12" x14ac:dyDescent="0.3">
      <c r="A1200" s="31"/>
      <c r="B1200" s="32">
        <f>IF(A1200="","",DATE(YEAR(A1200),MONTH(A1200),1))</f>
      </c>
      <c r="C1200" s="11"/>
      <c r="D1200" s="11"/>
      <c r="E1200" s="16">
        <f>IF(OR(D1200="",C1200&lt;&gt;"Chi"),"",IFERROR(INDEX('Danh mục'!$B$39:$B$78,MATCH(D1200,'Danh mục'!$A$39:$A$78,0))&amp;"","?"))</f>
      </c>
      <c r="F1200" s="16">
        <f>IF(D1200="","",IF(C1200="Thu",IFERROR(INDEX('Danh mục'!$B$26:$B$35,MATCH(D1200,'Danh mục'!$A$26:$A$35,0))&amp;"","?"),IFERROR(INDEX('Danh mục'!$D$39:$D$78,MATCH(D1200,'Danh mục'!$A$39:$A$78,0))&amp;"","?")))</f>
      </c>
      <c r="G1200" s="16">
        <f>IF(OR(D1200="",C1200&lt;&gt;"Chi"),"",IFERROR(INDEX('Danh mục'!$C$39:$C$78,MATCH(D1200,'Danh mục'!$A$39:$A$78,0))&amp;"",""))</f>
      </c>
      <c r="H1200" s="11"/>
      <c r="I1200" s="20"/>
      <c r="J1200" s="11"/>
      <c r="K1200" s="11"/>
      <c r="L1200" s="11"/>
    </row>
    <row r="1201" spans="1:12" x14ac:dyDescent="0.3">
      <c r="A1201" s="31"/>
      <c r="B1201" s="32">
        <f>IF(A1201="","",DATE(YEAR(A1201),MONTH(A1201),1))</f>
      </c>
      <c r="C1201" s="11"/>
      <c r="D1201" s="11"/>
      <c r="E1201" s="16">
        <f>IF(OR(D1201="",C1201&lt;&gt;"Chi"),"",IFERROR(INDEX('Danh mục'!$B$39:$B$78,MATCH(D1201,'Danh mục'!$A$39:$A$78,0))&amp;"","?"))</f>
      </c>
      <c r="F1201" s="16">
        <f>IF(D1201="","",IF(C1201="Thu",IFERROR(INDEX('Danh mục'!$B$26:$B$35,MATCH(D1201,'Danh mục'!$A$26:$A$35,0))&amp;"","?"),IFERROR(INDEX('Danh mục'!$D$39:$D$78,MATCH(D1201,'Danh mục'!$A$39:$A$78,0))&amp;"","?")))</f>
      </c>
      <c r="G1201" s="16">
        <f>IF(OR(D1201="",C1201&lt;&gt;"Chi"),"",IFERROR(INDEX('Danh mục'!$C$39:$C$78,MATCH(D1201,'Danh mục'!$A$39:$A$78,0))&amp;"",""))</f>
      </c>
      <c r="H1201" s="11"/>
      <c r="I1201" s="20"/>
      <c r="J1201" s="11"/>
      <c r="K1201" s="11"/>
      <c r="L1201" s="11"/>
    </row>
    <row r="1202" spans="1:12" x14ac:dyDescent="0.3">
      <c r="A1202" s="31"/>
      <c r="B1202" s="32">
        <f>IF(A1202="","",DATE(YEAR(A1202),MONTH(A1202),1))</f>
      </c>
      <c r="C1202" s="11"/>
      <c r="D1202" s="11"/>
      <c r="E1202" s="16">
        <f>IF(OR(D1202="",C1202&lt;&gt;"Chi"),"",IFERROR(INDEX('Danh mục'!$B$39:$B$78,MATCH(D1202,'Danh mục'!$A$39:$A$78,0))&amp;"","?"))</f>
      </c>
      <c r="F1202" s="16">
        <f>IF(D1202="","",IF(C1202="Thu",IFERROR(INDEX('Danh mục'!$B$26:$B$35,MATCH(D1202,'Danh mục'!$A$26:$A$35,0))&amp;"","?"),IFERROR(INDEX('Danh mục'!$D$39:$D$78,MATCH(D1202,'Danh mục'!$A$39:$A$78,0))&amp;"","?")))</f>
      </c>
      <c r="G1202" s="16">
        <f>IF(OR(D1202="",C1202&lt;&gt;"Chi"),"",IFERROR(INDEX('Danh mục'!$C$39:$C$78,MATCH(D1202,'Danh mục'!$A$39:$A$78,0))&amp;"",""))</f>
      </c>
      <c r="H1202" s="11"/>
      <c r="I1202" s="20"/>
      <c r="J1202" s="11"/>
      <c r="K1202" s="11"/>
      <c r="L1202" s="11"/>
    </row>
    <row r="1203" spans="1:12" x14ac:dyDescent="0.3">
      <c r="A1203" s="31"/>
      <c r="B1203" s="32">
        <f>IF(A1203="","",DATE(YEAR(A1203),MONTH(A1203),1))</f>
      </c>
      <c r="C1203" s="11"/>
      <c r="D1203" s="11"/>
      <c r="E1203" s="16">
        <f>IF(OR(D1203="",C1203&lt;&gt;"Chi"),"",IFERROR(INDEX('Danh mục'!$B$39:$B$78,MATCH(D1203,'Danh mục'!$A$39:$A$78,0))&amp;"","?"))</f>
      </c>
      <c r="F1203" s="16">
        <f>IF(D1203="","",IF(C1203="Thu",IFERROR(INDEX('Danh mục'!$B$26:$B$35,MATCH(D1203,'Danh mục'!$A$26:$A$35,0))&amp;"","?"),IFERROR(INDEX('Danh mục'!$D$39:$D$78,MATCH(D1203,'Danh mục'!$A$39:$A$78,0))&amp;"","?")))</f>
      </c>
      <c r="G1203" s="16">
        <f>IF(OR(D1203="",C1203&lt;&gt;"Chi"),"",IFERROR(INDEX('Danh mục'!$C$39:$C$78,MATCH(D1203,'Danh mục'!$A$39:$A$78,0))&amp;"",""))</f>
      </c>
      <c r="H1203" s="11"/>
      <c r="I1203" s="20"/>
      <c r="J1203" s="11"/>
      <c r="K1203" s="11"/>
      <c r="L1203" s="11"/>
    </row>
    <row r="1204" spans="1:12" x14ac:dyDescent="0.3">
      <c r="A1204" s="31"/>
      <c r="B1204" s="32">
        <f>IF(A1204="","",DATE(YEAR(A1204),MONTH(A1204),1))</f>
      </c>
      <c r="C1204" s="11"/>
      <c r="D1204" s="11"/>
      <c r="E1204" s="16">
        <f>IF(OR(D1204="",C1204&lt;&gt;"Chi"),"",IFERROR(INDEX('Danh mục'!$B$39:$B$78,MATCH(D1204,'Danh mục'!$A$39:$A$78,0))&amp;"","?"))</f>
      </c>
      <c r="F1204" s="16">
        <f>IF(D1204="","",IF(C1204="Thu",IFERROR(INDEX('Danh mục'!$B$26:$B$35,MATCH(D1204,'Danh mục'!$A$26:$A$35,0))&amp;"","?"),IFERROR(INDEX('Danh mục'!$D$39:$D$78,MATCH(D1204,'Danh mục'!$A$39:$A$78,0))&amp;"","?")))</f>
      </c>
      <c r="G1204" s="16">
        <f>IF(OR(D1204="",C1204&lt;&gt;"Chi"),"",IFERROR(INDEX('Danh mục'!$C$39:$C$78,MATCH(D1204,'Danh mục'!$A$39:$A$78,0))&amp;"",""))</f>
      </c>
      <c r="H1204" s="11"/>
      <c r="I1204" s="20"/>
      <c r="J1204" s="11"/>
      <c r="K1204" s="11"/>
      <c r="L1204" s="11"/>
    </row>
    <row r="1205" spans="1:12" x14ac:dyDescent="0.3">
      <c r="A1205" s="31"/>
      <c r="B1205" s="32">
        <f>IF(A1205="","",DATE(YEAR(A1205),MONTH(A1205),1))</f>
      </c>
      <c r="C1205" s="11"/>
      <c r="D1205" s="11"/>
      <c r="E1205" s="16">
        <f>IF(OR(D1205="",C1205&lt;&gt;"Chi"),"",IFERROR(INDEX('Danh mục'!$B$39:$B$78,MATCH(D1205,'Danh mục'!$A$39:$A$78,0))&amp;"","?"))</f>
      </c>
      <c r="F1205" s="16">
        <f>IF(D1205="","",IF(C1205="Thu",IFERROR(INDEX('Danh mục'!$B$26:$B$35,MATCH(D1205,'Danh mục'!$A$26:$A$35,0))&amp;"","?"),IFERROR(INDEX('Danh mục'!$D$39:$D$78,MATCH(D1205,'Danh mục'!$A$39:$A$78,0))&amp;"","?")))</f>
      </c>
      <c r="G1205" s="16">
        <f>IF(OR(D1205="",C1205&lt;&gt;"Chi"),"",IFERROR(INDEX('Danh mục'!$C$39:$C$78,MATCH(D1205,'Danh mục'!$A$39:$A$78,0))&amp;"",""))</f>
      </c>
      <c r="H1205" s="11"/>
      <c r="I1205" s="20"/>
      <c r="J1205" s="11"/>
      <c r="K1205" s="11"/>
      <c r="L1205" s="11"/>
    </row>
    <row r="1206" spans="1:12" x14ac:dyDescent="0.3">
      <c r="A1206" s="31"/>
      <c r="B1206" s="32">
        <f>IF(A1206="","",DATE(YEAR(A1206),MONTH(A1206),1))</f>
      </c>
      <c r="C1206" s="11"/>
      <c r="D1206" s="11"/>
      <c r="E1206" s="16">
        <f>IF(OR(D1206="",C1206&lt;&gt;"Chi"),"",IFERROR(INDEX('Danh mục'!$B$39:$B$78,MATCH(D1206,'Danh mục'!$A$39:$A$78,0))&amp;"","?"))</f>
      </c>
      <c r="F1206" s="16">
        <f>IF(D1206="","",IF(C1206="Thu",IFERROR(INDEX('Danh mục'!$B$26:$B$35,MATCH(D1206,'Danh mục'!$A$26:$A$35,0))&amp;"","?"),IFERROR(INDEX('Danh mục'!$D$39:$D$78,MATCH(D1206,'Danh mục'!$A$39:$A$78,0))&amp;"","?")))</f>
      </c>
      <c r="G1206" s="16">
        <f>IF(OR(D1206="",C1206&lt;&gt;"Chi"),"",IFERROR(INDEX('Danh mục'!$C$39:$C$78,MATCH(D1206,'Danh mục'!$A$39:$A$78,0))&amp;"",""))</f>
      </c>
      <c r="H1206" s="11"/>
      <c r="I1206" s="20"/>
      <c r="J1206" s="11"/>
      <c r="K1206" s="11"/>
      <c r="L1206" s="11"/>
    </row>
    <row r="1207" spans="1:12" x14ac:dyDescent="0.3">
      <c r="A1207" s="31"/>
      <c r="B1207" s="32">
        <f>IF(A1207="","",DATE(YEAR(A1207),MONTH(A1207),1))</f>
      </c>
      <c r="C1207" s="11"/>
      <c r="D1207" s="11"/>
      <c r="E1207" s="16">
        <f>IF(OR(D1207="",C1207&lt;&gt;"Chi"),"",IFERROR(INDEX('Danh mục'!$B$39:$B$78,MATCH(D1207,'Danh mục'!$A$39:$A$78,0))&amp;"","?"))</f>
      </c>
      <c r="F1207" s="16">
        <f>IF(D1207="","",IF(C1207="Thu",IFERROR(INDEX('Danh mục'!$B$26:$B$35,MATCH(D1207,'Danh mục'!$A$26:$A$35,0))&amp;"","?"),IFERROR(INDEX('Danh mục'!$D$39:$D$78,MATCH(D1207,'Danh mục'!$A$39:$A$78,0))&amp;"","?")))</f>
      </c>
      <c r="G1207" s="16">
        <f>IF(OR(D1207="",C1207&lt;&gt;"Chi"),"",IFERROR(INDEX('Danh mục'!$C$39:$C$78,MATCH(D1207,'Danh mục'!$A$39:$A$78,0))&amp;"",""))</f>
      </c>
      <c r="H1207" s="11"/>
      <c r="I1207" s="20"/>
      <c r="J1207" s="11"/>
      <c r="K1207" s="11"/>
      <c r="L1207" s="11"/>
    </row>
    <row r="1208" spans="1:12" x14ac:dyDescent="0.3">
      <c r="A1208" s="31"/>
      <c r="B1208" s="32">
        <f>IF(A1208="","",DATE(YEAR(A1208),MONTH(A1208),1))</f>
      </c>
      <c r="C1208" s="11"/>
      <c r="D1208" s="11"/>
      <c r="E1208" s="16">
        <f>IF(OR(D1208="",C1208&lt;&gt;"Chi"),"",IFERROR(INDEX('Danh mục'!$B$39:$B$78,MATCH(D1208,'Danh mục'!$A$39:$A$78,0))&amp;"","?"))</f>
      </c>
      <c r="F1208" s="16">
        <f>IF(D1208="","",IF(C1208="Thu",IFERROR(INDEX('Danh mục'!$B$26:$B$35,MATCH(D1208,'Danh mục'!$A$26:$A$35,0))&amp;"","?"),IFERROR(INDEX('Danh mục'!$D$39:$D$78,MATCH(D1208,'Danh mục'!$A$39:$A$78,0))&amp;"","?")))</f>
      </c>
      <c r="G1208" s="16">
        <f>IF(OR(D1208="",C1208&lt;&gt;"Chi"),"",IFERROR(INDEX('Danh mục'!$C$39:$C$78,MATCH(D1208,'Danh mục'!$A$39:$A$78,0))&amp;"",""))</f>
      </c>
      <c r="H1208" s="11"/>
      <c r="I1208" s="20"/>
      <c r="J1208" s="11"/>
      <c r="K1208" s="11"/>
      <c r="L1208" s="11"/>
    </row>
    <row r="1209" spans="1:12" x14ac:dyDescent="0.3">
      <c r="A1209" s="31"/>
      <c r="B1209" s="32">
        <f>IF(A1209="","",DATE(YEAR(A1209),MONTH(A1209),1))</f>
      </c>
      <c r="C1209" s="11"/>
      <c r="D1209" s="11"/>
      <c r="E1209" s="16">
        <f>IF(OR(D1209="",C1209&lt;&gt;"Chi"),"",IFERROR(INDEX('Danh mục'!$B$39:$B$78,MATCH(D1209,'Danh mục'!$A$39:$A$78,0))&amp;"","?"))</f>
      </c>
      <c r="F1209" s="16">
        <f>IF(D1209="","",IF(C1209="Thu",IFERROR(INDEX('Danh mục'!$B$26:$B$35,MATCH(D1209,'Danh mục'!$A$26:$A$35,0))&amp;"","?"),IFERROR(INDEX('Danh mục'!$D$39:$D$78,MATCH(D1209,'Danh mục'!$A$39:$A$78,0))&amp;"","?")))</f>
      </c>
      <c r="G1209" s="16">
        <f>IF(OR(D1209="",C1209&lt;&gt;"Chi"),"",IFERROR(INDEX('Danh mục'!$C$39:$C$78,MATCH(D1209,'Danh mục'!$A$39:$A$78,0))&amp;"",""))</f>
      </c>
      <c r="H1209" s="11"/>
      <c r="I1209" s="20"/>
      <c r="J1209" s="11"/>
      <c r="K1209" s="11"/>
      <c r="L1209" s="11"/>
    </row>
    <row r="1210" spans="1:12" x14ac:dyDescent="0.3">
      <c r="A1210" s="31"/>
      <c r="B1210" s="32">
        <f>IF(A1210="","",DATE(YEAR(A1210),MONTH(A1210),1))</f>
      </c>
      <c r="C1210" s="11"/>
      <c r="D1210" s="11"/>
      <c r="E1210" s="16">
        <f>IF(OR(D1210="",C1210&lt;&gt;"Chi"),"",IFERROR(INDEX('Danh mục'!$B$39:$B$78,MATCH(D1210,'Danh mục'!$A$39:$A$78,0))&amp;"","?"))</f>
      </c>
      <c r="F1210" s="16">
        <f>IF(D1210="","",IF(C1210="Thu",IFERROR(INDEX('Danh mục'!$B$26:$B$35,MATCH(D1210,'Danh mục'!$A$26:$A$35,0))&amp;"","?"),IFERROR(INDEX('Danh mục'!$D$39:$D$78,MATCH(D1210,'Danh mục'!$A$39:$A$78,0))&amp;"","?")))</f>
      </c>
      <c r="G1210" s="16">
        <f>IF(OR(D1210="",C1210&lt;&gt;"Chi"),"",IFERROR(INDEX('Danh mục'!$C$39:$C$78,MATCH(D1210,'Danh mục'!$A$39:$A$78,0))&amp;"",""))</f>
      </c>
      <c r="H1210" s="11"/>
      <c r="I1210" s="20"/>
      <c r="J1210" s="11"/>
      <c r="K1210" s="11"/>
      <c r="L1210" s="11"/>
    </row>
    <row r="1211" spans="1:12" x14ac:dyDescent="0.3">
      <c r="A1211" s="31"/>
      <c r="B1211" s="32">
        <f>IF(A1211="","",DATE(YEAR(A1211),MONTH(A1211),1))</f>
      </c>
      <c r="C1211" s="11"/>
      <c r="D1211" s="11"/>
      <c r="E1211" s="16">
        <f>IF(OR(D1211="",C1211&lt;&gt;"Chi"),"",IFERROR(INDEX('Danh mục'!$B$39:$B$78,MATCH(D1211,'Danh mục'!$A$39:$A$78,0))&amp;"","?"))</f>
      </c>
      <c r="F1211" s="16">
        <f>IF(D1211="","",IF(C1211="Thu",IFERROR(INDEX('Danh mục'!$B$26:$B$35,MATCH(D1211,'Danh mục'!$A$26:$A$35,0))&amp;"","?"),IFERROR(INDEX('Danh mục'!$D$39:$D$78,MATCH(D1211,'Danh mục'!$A$39:$A$78,0))&amp;"","?")))</f>
      </c>
      <c r="G1211" s="16">
        <f>IF(OR(D1211="",C1211&lt;&gt;"Chi"),"",IFERROR(INDEX('Danh mục'!$C$39:$C$78,MATCH(D1211,'Danh mục'!$A$39:$A$78,0))&amp;"",""))</f>
      </c>
      <c r="H1211" s="11"/>
      <c r="I1211" s="20"/>
      <c r="J1211" s="11"/>
      <c r="K1211" s="11"/>
      <c r="L1211" s="11"/>
    </row>
    <row r="1212" spans="1:12" x14ac:dyDescent="0.3">
      <c r="A1212" s="31"/>
      <c r="B1212" s="32">
        <f>IF(A1212="","",DATE(YEAR(A1212),MONTH(A1212),1))</f>
      </c>
      <c r="C1212" s="11"/>
      <c r="D1212" s="11"/>
      <c r="E1212" s="16">
        <f>IF(OR(D1212="",C1212&lt;&gt;"Chi"),"",IFERROR(INDEX('Danh mục'!$B$39:$B$78,MATCH(D1212,'Danh mục'!$A$39:$A$78,0))&amp;"","?"))</f>
      </c>
      <c r="F1212" s="16">
        <f>IF(D1212="","",IF(C1212="Thu",IFERROR(INDEX('Danh mục'!$B$26:$B$35,MATCH(D1212,'Danh mục'!$A$26:$A$35,0))&amp;"","?"),IFERROR(INDEX('Danh mục'!$D$39:$D$78,MATCH(D1212,'Danh mục'!$A$39:$A$78,0))&amp;"","?")))</f>
      </c>
      <c r="G1212" s="16">
        <f>IF(OR(D1212="",C1212&lt;&gt;"Chi"),"",IFERROR(INDEX('Danh mục'!$C$39:$C$78,MATCH(D1212,'Danh mục'!$A$39:$A$78,0))&amp;"",""))</f>
      </c>
      <c r="H1212" s="11"/>
      <c r="I1212" s="20"/>
      <c r="J1212" s="11"/>
      <c r="K1212" s="11"/>
      <c r="L1212" s="11"/>
    </row>
    <row r="1213" spans="1:12" x14ac:dyDescent="0.3">
      <c r="A1213" s="31"/>
      <c r="B1213" s="32">
        <f>IF(A1213="","",DATE(YEAR(A1213),MONTH(A1213),1))</f>
      </c>
      <c r="C1213" s="11"/>
      <c r="D1213" s="11"/>
      <c r="E1213" s="16">
        <f>IF(OR(D1213="",C1213&lt;&gt;"Chi"),"",IFERROR(INDEX('Danh mục'!$B$39:$B$78,MATCH(D1213,'Danh mục'!$A$39:$A$78,0))&amp;"","?"))</f>
      </c>
      <c r="F1213" s="16">
        <f>IF(D1213="","",IF(C1213="Thu",IFERROR(INDEX('Danh mục'!$B$26:$B$35,MATCH(D1213,'Danh mục'!$A$26:$A$35,0))&amp;"","?"),IFERROR(INDEX('Danh mục'!$D$39:$D$78,MATCH(D1213,'Danh mục'!$A$39:$A$78,0))&amp;"","?")))</f>
      </c>
      <c r="G1213" s="16">
        <f>IF(OR(D1213="",C1213&lt;&gt;"Chi"),"",IFERROR(INDEX('Danh mục'!$C$39:$C$78,MATCH(D1213,'Danh mục'!$A$39:$A$78,0))&amp;"",""))</f>
      </c>
      <c r="H1213" s="11"/>
      <c r="I1213" s="20"/>
      <c r="J1213" s="11"/>
      <c r="K1213" s="11"/>
      <c r="L1213" s="11"/>
    </row>
    <row r="1214" spans="1:12" x14ac:dyDescent="0.3">
      <c r="A1214" s="31"/>
      <c r="B1214" s="32">
        <f>IF(A1214="","",DATE(YEAR(A1214),MONTH(A1214),1))</f>
      </c>
      <c r="C1214" s="11"/>
      <c r="D1214" s="11"/>
      <c r="E1214" s="16">
        <f>IF(OR(D1214="",C1214&lt;&gt;"Chi"),"",IFERROR(INDEX('Danh mục'!$B$39:$B$78,MATCH(D1214,'Danh mục'!$A$39:$A$78,0))&amp;"","?"))</f>
      </c>
      <c r="F1214" s="16">
        <f>IF(D1214="","",IF(C1214="Thu",IFERROR(INDEX('Danh mục'!$B$26:$B$35,MATCH(D1214,'Danh mục'!$A$26:$A$35,0))&amp;"","?"),IFERROR(INDEX('Danh mục'!$D$39:$D$78,MATCH(D1214,'Danh mục'!$A$39:$A$78,0))&amp;"","?")))</f>
      </c>
      <c r="G1214" s="16">
        <f>IF(OR(D1214="",C1214&lt;&gt;"Chi"),"",IFERROR(INDEX('Danh mục'!$C$39:$C$78,MATCH(D1214,'Danh mục'!$A$39:$A$78,0))&amp;"",""))</f>
      </c>
      <c r="H1214" s="11"/>
      <c r="I1214" s="20"/>
      <c r="J1214" s="11"/>
      <c r="K1214" s="11"/>
      <c r="L1214" s="11"/>
    </row>
    <row r="1215" spans="1:12" x14ac:dyDescent="0.3">
      <c r="A1215" s="31"/>
      <c r="B1215" s="32">
        <f>IF(A1215="","",DATE(YEAR(A1215),MONTH(A1215),1))</f>
      </c>
      <c r="C1215" s="11"/>
      <c r="D1215" s="11"/>
      <c r="E1215" s="16">
        <f>IF(OR(D1215="",C1215&lt;&gt;"Chi"),"",IFERROR(INDEX('Danh mục'!$B$39:$B$78,MATCH(D1215,'Danh mục'!$A$39:$A$78,0))&amp;"","?"))</f>
      </c>
      <c r="F1215" s="16">
        <f>IF(D1215="","",IF(C1215="Thu",IFERROR(INDEX('Danh mục'!$B$26:$B$35,MATCH(D1215,'Danh mục'!$A$26:$A$35,0))&amp;"","?"),IFERROR(INDEX('Danh mục'!$D$39:$D$78,MATCH(D1215,'Danh mục'!$A$39:$A$78,0))&amp;"","?")))</f>
      </c>
      <c r="G1215" s="16">
        <f>IF(OR(D1215="",C1215&lt;&gt;"Chi"),"",IFERROR(INDEX('Danh mục'!$C$39:$C$78,MATCH(D1215,'Danh mục'!$A$39:$A$78,0))&amp;"",""))</f>
      </c>
      <c r="H1215" s="11"/>
      <c r="I1215" s="20"/>
      <c r="J1215" s="11"/>
      <c r="K1215" s="11"/>
      <c r="L1215" s="11"/>
    </row>
    <row r="1216" spans="1:12" x14ac:dyDescent="0.3">
      <c r="A1216" s="31"/>
      <c r="B1216" s="32">
        <f>IF(A1216="","",DATE(YEAR(A1216),MONTH(A1216),1))</f>
      </c>
      <c r="C1216" s="11"/>
      <c r="D1216" s="11"/>
      <c r="E1216" s="16">
        <f>IF(OR(D1216="",C1216&lt;&gt;"Chi"),"",IFERROR(INDEX('Danh mục'!$B$39:$B$78,MATCH(D1216,'Danh mục'!$A$39:$A$78,0))&amp;"","?"))</f>
      </c>
      <c r="F1216" s="16">
        <f>IF(D1216="","",IF(C1216="Thu",IFERROR(INDEX('Danh mục'!$B$26:$B$35,MATCH(D1216,'Danh mục'!$A$26:$A$35,0))&amp;"","?"),IFERROR(INDEX('Danh mục'!$D$39:$D$78,MATCH(D1216,'Danh mục'!$A$39:$A$78,0))&amp;"","?")))</f>
      </c>
      <c r="G1216" s="16">
        <f>IF(OR(D1216="",C1216&lt;&gt;"Chi"),"",IFERROR(INDEX('Danh mục'!$C$39:$C$78,MATCH(D1216,'Danh mục'!$A$39:$A$78,0))&amp;"",""))</f>
      </c>
      <c r="H1216" s="11"/>
      <c r="I1216" s="20"/>
      <c r="J1216" s="11"/>
      <c r="K1216" s="11"/>
      <c r="L1216" s="11"/>
    </row>
    <row r="1217" spans="1:12" x14ac:dyDescent="0.3">
      <c r="A1217" s="31"/>
      <c r="B1217" s="32">
        <f>IF(A1217="","",DATE(YEAR(A1217),MONTH(A1217),1))</f>
      </c>
      <c r="C1217" s="11"/>
      <c r="D1217" s="11"/>
      <c r="E1217" s="16">
        <f>IF(OR(D1217="",C1217&lt;&gt;"Chi"),"",IFERROR(INDEX('Danh mục'!$B$39:$B$78,MATCH(D1217,'Danh mục'!$A$39:$A$78,0))&amp;"","?"))</f>
      </c>
      <c r="F1217" s="16">
        <f>IF(D1217="","",IF(C1217="Thu",IFERROR(INDEX('Danh mục'!$B$26:$B$35,MATCH(D1217,'Danh mục'!$A$26:$A$35,0))&amp;"","?"),IFERROR(INDEX('Danh mục'!$D$39:$D$78,MATCH(D1217,'Danh mục'!$A$39:$A$78,0))&amp;"","?")))</f>
      </c>
      <c r="G1217" s="16">
        <f>IF(OR(D1217="",C1217&lt;&gt;"Chi"),"",IFERROR(INDEX('Danh mục'!$C$39:$C$78,MATCH(D1217,'Danh mục'!$A$39:$A$78,0))&amp;"",""))</f>
      </c>
      <c r="H1217" s="11"/>
      <c r="I1217" s="20"/>
      <c r="J1217" s="11"/>
      <c r="K1217" s="11"/>
      <c r="L1217" s="11"/>
    </row>
    <row r="1218" spans="1:12" x14ac:dyDescent="0.3">
      <c r="A1218" s="31"/>
      <c r="B1218" s="32">
        <f>IF(A1218="","",DATE(YEAR(A1218),MONTH(A1218),1))</f>
      </c>
      <c r="C1218" s="11"/>
      <c r="D1218" s="11"/>
      <c r="E1218" s="16">
        <f>IF(OR(D1218="",C1218&lt;&gt;"Chi"),"",IFERROR(INDEX('Danh mục'!$B$39:$B$78,MATCH(D1218,'Danh mục'!$A$39:$A$78,0))&amp;"","?"))</f>
      </c>
      <c r="F1218" s="16">
        <f>IF(D1218="","",IF(C1218="Thu",IFERROR(INDEX('Danh mục'!$B$26:$B$35,MATCH(D1218,'Danh mục'!$A$26:$A$35,0))&amp;"","?"),IFERROR(INDEX('Danh mục'!$D$39:$D$78,MATCH(D1218,'Danh mục'!$A$39:$A$78,0))&amp;"","?")))</f>
      </c>
      <c r="G1218" s="16">
        <f>IF(OR(D1218="",C1218&lt;&gt;"Chi"),"",IFERROR(INDEX('Danh mục'!$C$39:$C$78,MATCH(D1218,'Danh mục'!$A$39:$A$78,0))&amp;"",""))</f>
      </c>
      <c r="H1218" s="11"/>
      <c r="I1218" s="20"/>
      <c r="J1218" s="11"/>
      <c r="K1218" s="11"/>
      <c r="L1218" s="11"/>
    </row>
    <row r="1219" spans="1:12" x14ac:dyDescent="0.3">
      <c r="A1219" s="31"/>
      <c r="B1219" s="32">
        <f>IF(A1219="","",DATE(YEAR(A1219),MONTH(A1219),1))</f>
      </c>
      <c r="C1219" s="11"/>
      <c r="D1219" s="11"/>
      <c r="E1219" s="16">
        <f>IF(OR(D1219="",C1219&lt;&gt;"Chi"),"",IFERROR(INDEX('Danh mục'!$B$39:$B$78,MATCH(D1219,'Danh mục'!$A$39:$A$78,0))&amp;"","?"))</f>
      </c>
      <c r="F1219" s="16">
        <f>IF(D1219="","",IF(C1219="Thu",IFERROR(INDEX('Danh mục'!$B$26:$B$35,MATCH(D1219,'Danh mục'!$A$26:$A$35,0))&amp;"","?"),IFERROR(INDEX('Danh mục'!$D$39:$D$78,MATCH(D1219,'Danh mục'!$A$39:$A$78,0))&amp;"","?")))</f>
      </c>
      <c r="G1219" s="16">
        <f>IF(OR(D1219="",C1219&lt;&gt;"Chi"),"",IFERROR(INDEX('Danh mục'!$C$39:$C$78,MATCH(D1219,'Danh mục'!$A$39:$A$78,0))&amp;"",""))</f>
      </c>
      <c r="H1219" s="11"/>
      <c r="I1219" s="20"/>
      <c r="J1219" s="11"/>
      <c r="K1219" s="11"/>
      <c r="L1219" s="11"/>
    </row>
    <row r="1220" spans="1:12" x14ac:dyDescent="0.3">
      <c r="A1220" s="31"/>
      <c r="B1220" s="32">
        <f>IF(A1220="","",DATE(YEAR(A1220),MONTH(A1220),1))</f>
      </c>
      <c r="C1220" s="11"/>
      <c r="D1220" s="11"/>
      <c r="E1220" s="16">
        <f>IF(OR(D1220="",C1220&lt;&gt;"Chi"),"",IFERROR(INDEX('Danh mục'!$B$39:$B$78,MATCH(D1220,'Danh mục'!$A$39:$A$78,0))&amp;"","?"))</f>
      </c>
      <c r="F1220" s="16">
        <f>IF(D1220="","",IF(C1220="Thu",IFERROR(INDEX('Danh mục'!$B$26:$B$35,MATCH(D1220,'Danh mục'!$A$26:$A$35,0))&amp;"","?"),IFERROR(INDEX('Danh mục'!$D$39:$D$78,MATCH(D1220,'Danh mục'!$A$39:$A$78,0))&amp;"","?")))</f>
      </c>
      <c r="G1220" s="16">
        <f>IF(OR(D1220="",C1220&lt;&gt;"Chi"),"",IFERROR(INDEX('Danh mục'!$C$39:$C$78,MATCH(D1220,'Danh mục'!$A$39:$A$78,0))&amp;"",""))</f>
      </c>
      <c r="H1220" s="11"/>
      <c r="I1220" s="20"/>
      <c r="J1220" s="11"/>
      <c r="K1220" s="11"/>
      <c r="L1220" s="11"/>
    </row>
    <row r="1221" spans="1:12" x14ac:dyDescent="0.3">
      <c r="A1221" s="31"/>
      <c r="B1221" s="32">
        <f>IF(A1221="","",DATE(YEAR(A1221),MONTH(A1221),1))</f>
      </c>
      <c r="C1221" s="11"/>
      <c r="D1221" s="11"/>
      <c r="E1221" s="16">
        <f>IF(OR(D1221="",C1221&lt;&gt;"Chi"),"",IFERROR(INDEX('Danh mục'!$B$39:$B$78,MATCH(D1221,'Danh mục'!$A$39:$A$78,0))&amp;"","?"))</f>
      </c>
      <c r="F1221" s="16">
        <f>IF(D1221="","",IF(C1221="Thu",IFERROR(INDEX('Danh mục'!$B$26:$B$35,MATCH(D1221,'Danh mục'!$A$26:$A$35,0))&amp;"","?"),IFERROR(INDEX('Danh mục'!$D$39:$D$78,MATCH(D1221,'Danh mục'!$A$39:$A$78,0))&amp;"","?")))</f>
      </c>
      <c r="G1221" s="16">
        <f>IF(OR(D1221="",C1221&lt;&gt;"Chi"),"",IFERROR(INDEX('Danh mục'!$C$39:$C$78,MATCH(D1221,'Danh mục'!$A$39:$A$78,0))&amp;"",""))</f>
      </c>
      <c r="H1221" s="11"/>
      <c r="I1221" s="20"/>
      <c r="J1221" s="11"/>
      <c r="K1221" s="11"/>
      <c r="L1221" s="11"/>
    </row>
    <row r="1222" spans="1:12" x14ac:dyDescent="0.3">
      <c r="A1222" s="31"/>
      <c r="B1222" s="32">
        <f>IF(A1222="","",DATE(YEAR(A1222),MONTH(A1222),1))</f>
      </c>
      <c r="C1222" s="11"/>
      <c r="D1222" s="11"/>
      <c r="E1222" s="16">
        <f>IF(OR(D1222="",C1222&lt;&gt;"Chi"),"",IFERROR(INDEX('Danh mục'!$B$39:$B$78,MATCH(D1222,'Danh mục'!$A$39:$A$78,0))&amp;"","?"))</f>
      </c>
      <c r="F1222" s="16">
        <f>IF(D1222="","",IF(C1222="Thu",IFERROR(INDEX('Danh mục'!$B$26:$B$35,MATCH(D1222,'Danh mục'!$A$26:$A$35,0))&amp;"","?"),IFERROR(INDEX('Danh mục'!$D$39:$D$78,MATCH(D1222,'Danh mục'!$A$39:$A$78,0))&amp;"","?")))</f>
      </c>
      <c r="G1222" s="16">
        <f>IF(OR(D1222="",C1222&lt;&gt;"Chi"),"",IFERROR(INDEX('Danh mục'!$C$39:$C$78,MATCH(D1222,'Danh mục'!$A$39:$A$78,0))&amp;"",""))</f>
      </c>
      <c r="H1222" s="11"/>
      <c r="I1222" s="20"/>
      <c r="J1222" s="11"/>
      <c r="K1222" s="11"/>
      <c r="L1222" s="11"/>
    </row>
    <row r="1223" spans="1:12" x14ac:dyDescent="0.3">
      <c r="A1223" s="31"/>
      <c r="B1223" s="32">
        <f>IF(A1223="","",DATE(YEAR(A1223),MONTH(A1223),1))</f>
      </c>
      <c r="C1223" s="11"/>
      <c r="D1223" s="11"/>
      <c r="E1223" s="16">
        <f>IF(OR(D1223="",C1223&lt;&gt;"Chi"),"",IFERROR(INDEX('Danh mục'!$B$39:$B$78,MATCH(D1223,'Danh mục'!$A$39:$A$78,0))&amp;"","?"))</f>
      </c>
      <c r="F1223" s="16">
        <f>IF(D1223="","",IF(C1223="Thu",IFERROR(INDEX('Danh mục'!$B$26:$B$35,MATCH(D1223,'Danh mục'!$A$26:$A$35,0))&amp;"","?"),IFERROR(INDEX('Danh mục'!$D$39:$D$78,MATCH(D1223,'Danh mục'!$A$39:$A$78,0))&amp;"","?")))</f>
      </c>
      <c r="G1223" s="16">
        <f>IF(OR(D1223="",C1223&lt;&gt;"Chi"),"",IFERROR(INDEX('Danh mục'!$C$39:$C$78,MATCH(D1223,'Danh mục'!$A$39:$A$78,0))&amp;"",""))</f>
      </c>
      <c r="H1223" s="11"/>
      <c r="I1223" s="20"/>
      <c r="J1223" s="11"/>
      <c r="K1223" s="11"/>
      <c r="L1223" s="11"/>
    </row>
    <row r="1224" spans="1:12" x14ac:dyDescent="0.3">
      <c r="A1224" s="31"/>
      <c r="B1224" s="32">
        <f>IF(A1224="","",DATE(YEAR(A1224),MONTH(A1224),1))</f>
      </c>
      <c r="C1224" s="11"/>
      <c r="D1224" s="11"/>
      <c r="E1224" s="16">
        <f>IF(OR(D1224="",C1224&lt;&gt;"Chi"),"",IFERROR(INDEX('Danh mục'!$B$39:$B$78,MATCH(D1224,'Danh mục'!$A$39:$A$78,0))&amp;"","?"))</f>
      </c>
      <c r="F1224" s="16">
        <f>IF(D1224="","",IF(C1224="Thu",IFERROR(INDEX('Danh mục'!$B$26:$B$35,MATCH(D1224,'Danh mục'!$A$26:$A$35,0))&amp;"","?"),IFERROR(INDEX('Danh mục'!$D$39:$D$78,MATCH(D1224,'Danh mục'!$A$39:$A$78,0))&amp;"","?")))</f>
      </c>
      <c r="G1224" s="16">
        <f>IF(OR(D1224="",C1224&lt;&gt;"Chi"),"",IFERROR(INDEX('Danh mục'!$C$39:$C$78,MATCH(D1224,'Danh mục'!$A$39:$A$78,0))&amp;"",""))</f>
      </c>
      <c r="H1224" s="11"/>
      <c r="I1224" s="20"/>
      <c r="J1224" s="11"/>
      <c r="K1224" s="11"/>
      <c r="L1224" s="11"/>
    </row>
    <row r="1225" spans="1:12" x14ac:dyDescent="0.3">
      <c r="A1225" s="31"/>
      <c r="B1225" s="32">
        <f>IF(A1225="","",DATE(YEAR(A1225),MONTH(A1225),1))</f>
      </c>
      <c r="C1225" s="11"/>
      <c r="D1225" s="11"/>
      <c r="E1225" s="16">
        <f>IF(OR(D1225="",C1225&lt;&gt;"Chi"),"",IFERROR(INDEX('Danh mục'!$B$39:$B$78,MATCH(D1225,'Danh mục'!$A$39:$A$78,0))&amp;"","?"))</f>
      </c>
      <c r="F1225" s="16">
        <f>IF(D1225="","",IF(C1225="Thu",IFERROR(INDEX('Danh mục'!$B$26:$B$35,MATCH(D1225,'Danh mục'!$A$26:$A$35,0))&amp;"","?"),IFERROR(INDEX('Danh mục'!$D$39:$D$78,MATCH(D1225,'Danh mục'!$A$39:$A$78,0))&amp;"","?")))</f>
      </c>
      <c r="G1225" s="16">
        <f>IF(OR(D1225="",C1225&lt;&gt;"Chi"),"",IFERROR(INDEX('Danh mục'!$C$39:$C$78,MATCH(D1225,'Danh mục'!$A$39:$A$78,0))&amp;"",""))</f>
      </c>
      <c r="H1225" s="11"/>
      <c r="I1225" s="20"/>
      <c r="J1225" s="11"/>
      <c r="K1225" s="11"/>
      <c r="L1225" s="11"/>
    </row>
    <row r="1226" spans="1:12" x14ac:dyDescent="0.3">
      <c r="A1226" s="31"/>
      <c r="B1226" s="32">
        <f>IF(A1226="","",DATE(YEAR(A1226),MONTH(A1226),1))</f>
      </c>
      <c r="C1226" s="11"/>
      <c r="D1226" s="11"/>
      <c r="E1226" s="16">
        <f>IF(OR(D1226="",C1226&lt;&gt;"Chi"),"",IFERROR(INDEX('Danh mục'!$B$39:$B$78,MATCH(D1226,'Danh mục'!$A$39:$A$78,0))&amp;"","?"))</f>
      </c>
      <c r="F1226" s="16">
        <f>IF(D1226="","",IF(C1226="Thu",IFERROR(INDEX('Danh mục'!$B$26:$B$35,MATCH(D1226,'Danh mục'!$A$26:$A$35,0))&amp;"","?"),IFERROR(INDEX('Danh mục'!$D$39:$D$78,MATCH(D1226,'Danh mục'!$A$39:$A$78,0))&amp;"","?")))</f>
      </c>
      <c r="G1226" s="16">
        <f>IF(OR(D1226="",C1226&lt;&gt;"Chi"),"",IFERROR(INDEX('Danh mục'!$C$39:$C$78,MATCH(D1226,'Danh mục'!$A$39:$A$78,0))&amp;"",""))</f>
      </c>
      <c r="H1226" s="11"/>
      <c r="I1226" s="20"/>
      <c r="J1226" s="11"/>
      <c r="K1226" s="11"/>
      <c r="L1226" s="11"/>
    </row>
    <row r="1227" spans="1:12" x14ac:dyDescent="0.3">
      <c r="A1227" s="31"/>
      <c r="B1227" s="32">
        <f>IF(A1227="","",DATE(YEAR(A1227),MONTH(A1227),1))</f>
      </c>
      <c r="C1227" s="11"/>
      <c r="D1227" s="11"/>
      <c r="E1227" s="16">
        <f>IF(OR(D1227="",C1227&lt;&gt;"Chi"),"",IFERROR(INDEX('Danh mục'!$B$39:$B$78,MATCH(D1227,'Danh mục'!$A$39:$A$78,0))&amp;"","?"))</f>
      </c>
      <c r="F1227" s="16">
        <f>IF(D1227="","",IF(C1227="Thu",IFERROR(INDEX('Danh mục'!$B$26:$B$35,MATCH(D1227,'Danh mục'!$A$26:$A$35,0))&amp;"","?"),IFERROR(INDEX('Danh mục'!$D$39:$D$78,MATCH(D1227,'Danh mục'!$A$39:$A$78,0))&amp;"","?")))</f>
      </c>
      <c r="G1227" s="16">
        <f>IF(OR(D1227="",C1227&lt;&gt;"Chi"),"",IFERROR(INDEX('Danh mục'!$C$39:$C$78,MATCH(D1227,'Danh mục'!$A$39:$A$78,0))&amp;"",""))</f>
      </c>
      <c r="H1227" s="11"/>
      <c r="I1227" s="20"/>
      <c r="J1227" s="11"/>
      <c r="K1227" s="11"/>
      <c r="L1227" s="11"/>
    </row>
    <row r="1228" spans="1:12" x14ac:dyDescent="0.3">
      <c r="A1228" s="31"/>
      <c r="B1228" s="32">
        <f>IF(A1228="","",DATE(YEAR(A1228),MONTH(A1228),1))</f>
      </c>
      <c r="C1228" s="11"/>
      <c r="D1228" s="11"/>
      <c r="E1228" s="16">
        <f>IF(OR(D1228="",C1228&lt;&gt;"Chi"),"",IFERROR(INDEX('Danh mục'!$B$39:$B$78,MATCH(D1228,'Danh mục'!$A$39:$A$78,0))&amp;"","?"))</f>
      </c>
      <c r="F1228" s="16">
        <f>IF(D1228="","",IF(C1228="Thu",IFERROR(INDEX('Danh mục'!$B$26:$B$35,MATCH(D1228,'Danh mục'!$A$26:$A$35,0))&amp;"","?"),IFERROR(INDEX('Danh mục'!$D$39:$D$78,MATCH(D1228,'Danh mục'!$A$39:$A$78,0))&amp;"","?")))</f>
      </c>
      <c r="G1228" s="16">
        <f>IF(OR(D1228="",C1228&lt;&gt;"Chi"),"",IFERROR(INDEX('Danh mục'!$C$39:$C$78,MATCH(D1228,'Danh mục'!$A$39:$A$78,0))&amp;"",""))</f>
      </c>
      <c r="H1228" s="11"/>
      <c r="I1228" s="20"/>
      <c r="J1228" s="11"/>
      <c r="K1228" s="11"/>
      <c r="L1228" s="11"/>
    </row>
    <row r="1229" spans="1:12" x14ac:dyDescent="0.3">
      <c r="A1229" s="31"/>
      <c r="B1229" s="32">
        <f>IF(A1229="","",DATE(YEAR(A1229),MONTH(A1229),1))</f>
      </c>
      <c r="C1229" s="11"/>
      <c r="D1229" s="11"/>
      <c r="E1229" s="16">
        <f>IF(OR(D1229="",C1229&lt;&gt;"Chi"),"",IFERROR(INDEX('Danh mục'!$B$39:$B$78,MATCH(D1229,'Danh mục'!$A$39:$A$78,0))&amp;"","?"))</f>
      </c>
      <c r="F1229" s="16">
        <f>IF(D1229="","",IF(C1229="Thu",IFERROR(INDEX('Danh mục'!$B$26:$B$35,MATCH(D1229,'Danh mục'!$A$26:$A$35,0))&amp;"","?"),IFERROR(INDEX('Danh mục'!$D$39:$D$78,MATCH(D1229,'Danh mục'!$A$39:$A$78,0))&amp;"","?")))</f>
      </c>
      <c r="G1229" s="16">
        <f>IF(OR(D1229="",C1229&lt;&gt;"Chi"),"",IFERROR(INDEX('Danh mục'!$C$39:$C$78,MATCH(D1229,'Danh mục'!$A$39:$A$78,0))&amp;"",""))</f>
      </c>
      <c r="H1229" s="11"/>
      <c r="I1229" s="20"/>
      <c r="J1229" s="11"/>
      <c r="K1229" s="11"/>
      <c r="L1229" s="11"/>
    </row>
    <row r="1230" spans="1:12" x14ac:dyDescent="0.3">
      <c r="A1230" s="31"/>
      <c r="B1230" s="32">
        <f>IF(A1230="","",DATE(YEAR(A1230),MONTH(A1230),1))</f>
      </c>
      <c r="C1230" s="11"/>
      <c r="D1230" s="11"/>
      <c r="E1230" s="16">
        <f>IF(OR(D1230="",C1230&lt;&gt;"Chi"),"",IFERROR(INDEX('Danh mục'!$B$39:$B$78,MATCH(D1230,'Danh mục'!$A$39:$A$78,0))&amp;"","?"))</f>
      </c>
      <c r="F1230" s="16">
        <f>IF(D1230="","",IF(C1230="Thu",IFERROR(INDEX('Danh mục'!$B$26:$B$35,MATCH(D1230,'Danh mục'!$A$26:$A$35,0))&amp;"","?"),IFERROR(INDEX('Danh mục'!$D$39:$D$78,MATCH(D1230,'Danh mục'!$A$39:$A$78,0))&amp;"","?")))</f>
      </c>
      <c r="G1230" s="16">
        <f>IF(OR(D1230="",C1230&lt;&gt;"Chi"),"",IFERROR(INDEX('Danh mục'!$C$39:$C$78,MATCH(D1230,'Danh mục'!$A$39:$A$78,0))&amp;"",""))</f>
      </c>
      <c r="H1230" s="11"/>
      <c r="I1230" s="20"/>
      <c r="J1230" s="11"/>
      <c r="K1230" s="11"/>
      <c r="L1230" s="11"/>
    </row>
    <row r="1231" spans="1:12" x14ac:dyDescent="0.3">
      <c r="A1231" s="31"/>
      <c r="B1231" s="32">
        <f>IF(A1231="","",DATE(YEAR(A1231),MONTH(A1231),1))</f>
      </c>
      <c r="C1231" s="11"/>
      <c r="D1231" s="11"/>
      <c r="E1231" s="16">
        <f>IF(OR(D1231="",C1231&lt;&gt;"Chi"),"",IFERROR(INDEX('Danh mục'!$B$39:$B$78,MATCH(D1231,'Danh mục'!$A$39:$A$78,0))&amp;"","?"))</f>
      </c>
      <c r="F1231" s="16">
        <f>IF(D1231="","",IF(C1231="Thu",IFERROR(INDEX('Danh mục'!$B$26:$B$35,MATCH(D1231,'Danh mục'!$A$26:$A$35,0))&amp;"","?"),IFERROR(INDEX('Danh mục'!$D$39:$D$78,MATCH(D1231,'Danh mục'!$A$39:$A$78,0))&amp;"","?")))</f>
      </c>
      <c r="G1231" s="16">
        <f>IF(OR(D1231="",C1231&lt;&gt;"Chi"),"",IFERROR(INDEX('Danh mục'!$C$39:$C$78,MATCH(D1231,'Danh mục'!$A$39:$A$78,0))&amp;"",""))</f>
      </c>
      <c r="H1231" s="11"/>
      <c r="I1231" s="20"/>
      <c r="J1231" s="11"/>
      <c r="K1231" s="11"/>
      <c r="L1231" s="11"/>
    </row>
    <row r="1232" spans="1:12" x14ac:dyDescent="0.3">
      <c r="A1232" s="31"/>
      <c r="B1232" s="32">
        <f>IF(A1232="","",DATE(YEAR(A1232),MONTH(A1232),1))</f>
      </c>
      <c r="C1232" s="11"/>
      <c r="D1232" s="11"/>
      <c r="E1232" s="16">
        <f>IF(OR(D1232="",C1232&lt;&gt;"Chi"),"",IFERROR(INDEX('Danh mục'!$B$39:$B$78,MATCH(D1232,'Danh mục'!$A$39:$A$78,0))&amp;"","?"))</f>
      </c>
      <c r="F1232" s="16">
        <f>IF(D1232="","",IF(C1232="Thu",IFERROR(INDEX('Danh mục'!$B$26:$B$35,MATCH(D1232,'Danh mục'!$A$26:$A$35,0))&amp;"","?"),IFERROR(INDEX('Danh mục'!$D$39:$D$78,MATCH(D1232,'Danh mục'!$A$39:$A$78,0))&amp;"","?")))</f>
      </c>
      <c r="G1232" s="16">
        <f>IF(OR(D1232="",C1232&lt;&gt;"Chi"),"",IFERROR(INDEX('Danh mục'!$C$39:$C$78,MATCH(D1232,'Danh mục'!$A$39:$A$78,0))&amp;"",""))</f>
      </c>
      <c r="H1232" s="11"/>
      <c r="I1232" s="20"/>
      <c r="J1232" s="11"/>
      <c r="K1232" s="11"/>
      <c r="L1232" s="11"/>
    </row>
    <row r="1233" spans="1:12" x14ac:dyDescent="0.3">
      <c r="A1233" s="31"/>
      <c r="B1233" s="32">
        <f>IF(A1233="","",DATE(YEAR(A1233),MONTH(A1233),1))</f>
      </c>
      <c r="C1233" s="11"/>
      <c r="D1233" s="11"/>
      <c r="E1233" s="16">
        <f>IF(OR(D1233="",C1233&lt;&gt;"Chi"),"",IFERROR(INDEX('Danh mục'!$B$39:$B$78,MATCH(D1233,'Danh mục'!$A$39:$A$78,0))&amp;"","?"))</f>
      </c>
      <c r="F1233" s="16">
        <f>IF(D1233="","",IF(C1233="Thu",IFERROR(INDEX('Danh mục'!$B$26:$B$35,MATCH(D1233,'Danh mục'!$A$26:$A$35,0))&amp;"","?"),IFERROR(INDEX('Danh mục'!$D$39:$D$78,MATCH(D1233,'Danh mục'!$A$39:$A$78,0))&amp;"","?")))</f>
      </c>
      <c r="G1233" s="16">
        <f>IF(OR(D1233="",C1233&lt;&gt;"Chi"),"",IFERROR(INDEX('Danh mục'!$C$39:$C$78,MATCH(D1233,'Danh mục'!$A$39:$A$78,0))&amp;"",""))</f>
      </c>
      <c r="H1233" s="11"/>
      <c r="I1233" s="20"/>
      <c r="J1233" s="11"/>
      <c r="K1233" s="11"/>
      <c r="L1233" s="11"/>
    </row>
    <row r="1234" spans="1:12" x14ac:dyDescent="0.3">
      <c r="A1234" s="31"/>
      <c r="B1234" s="32">
        <f>IF(A1234="","",DATE(YEAR(A1234),MONTH(A1234),1))</f>
      </c>
      <c r="C1234" s="11"/>
      <c r="D1234" s="11"/>
      <c r="E1234" s="16">
        <f>IF(OR(D1234="",C1234&lt;&gt;"Chi"),"",IFERROR(INDEX('Danh mục'!$B$39:$B$78,MATCH(D1234,'Danh mục'!$A$39:$A$78,0))&amp;"","?"))</f>
      </c>
      <c r="F1234" s="16">
        <f>IF(D1234="","",IF(C1234="Thu",IFERROR(INDEX('Danh mục'!$B$26:$B$35,MATCH(D1234,'Danh mục'!$A$26:$A$35,0))&amp;"","?"),IFERROR(INDEX('Danh mục'!$D$39:$D$78,MATCH(D1234,'Danh mục'!$A$39:$A$78,0))&amp;"","?")))</f>
      </c>
      <c r="G1234" s="16">
        <f>IF(OR(D1234="",C1234&lt;&gt;"Chi"),"",IFERROR(INDEX('Danh mục'!$C$39:$C$78,MATCH(D1234,'Danh mục'!$A$39:$A$78,0))&amp;"",""))</f>
      </c>
      <c r="H1234" s="11"/>
      <c r="I1234" s="20"/>
      <c r="J1234" s="11"/>
      <c r="K1234" s="11"/>
      <c r="L1234" s="11"/>
    </row>
    <row r="1235" spans="1:12" x14ac:dyDescent="0.3">
      <c r="A1235" s="31"/>
      <c r="B1235" s="32">
        <f>IF(A1235="","",DATE(YEAR(A1235),MONTH(A1235),1))</f>
      </c>
      <c r="C1235" s="11"/>
      <c r="D1235" s="11"/>
      <c r="E1235" s="16">
        <f>IF(OR(D1235="",C1235&lt;&gt;"Chi"),"",IFERROR(INDEX('Danh mục'!$B$39:$B$78,MATCH(D1235,'Danh mục'!$A$39:$A$78,0))&amp;"","?"))</f>
      </c>
      <c r="F1235" s="16">
        <f>IF(D1235="","",IF(C1235="Thu",IFERROR(INDEX('Danh mục'!$B$26:$B$35,MATCH(D1235,'Danh mục'!$A$26:$A$35,0))&amp;"","?"),IFERROR(INDEX('Danh mục'!$D$39:$D$78,MATCH(D1235,'Danh mục'!$A$39:$A$78,0))&amp;"","?")))</f>
      </c>
      <c r="G1235" s="16">
        <f>IF(OR(D1235="",C1235&lt;&gt;"Chi"),"",IFERROR(INDEX('Danh mục'!$C$39:$C$78,MATCH(D1235,'Danh mục'!$A$39:$A$78,0))&amp;"",""))</f>
      </c>
      <c r="H1235" s="11"/>
      <c r="I1235" s="20"/>
      <c r="J1235" s="11"/>
      <c r="K1235" s="11"/>
      <c r="L1235" s="11"/>
    </row>
    <row r="1236" spans="1:12" x14ac:dyDescent="0.3">
      <c r="A1236" s="31"/>
      <c r="B1236" s="32">
        <f>IF(A1236="","",DATE(YEAR(A1236),MONTH(A1236),1))</f>
      </c>
      <c r="C1236" s="11"/>
      <c r="D1236" s="11"/>
      <c r="E1236" s="16">
        <f>IF(OR(D1236="",C1236&lt;&gt;"Chi"),"",IFERROR(INDEX('Danh mục'!$B$39:$B$78,MATCH(D1236,'Danh mục'!$A$39:$A$78,0))&amp;"","?"))</f>
      </c>
      <c r="F1236" s="16">
        <f>IF(D1236="","",IF(C1236="Thu",IFERROR(INDEX('Danh mục'!$B$26:$B$35,MATCH(D1236,'Danh mục'!$A$26:$A$35,0))&amp;"","?"),IFERROR(INDEX('Danh mục'!$D$39:$D$78,MATCH(D1236,'Danh mục'!$A$39:$A$78,0))&amp;"","?")))</f>
      </c>
      <c r="G1236" s="16">
        <f>IF(OR(D1236="",C1236&lt;&gt;"Chi"),"",IFERROR(INDEX('Danh mục'!$C$39:$C$78,MATCH(D1236,'Danh mục'!$A$39:$A$78,0))&amp;"",""))</f>
      </c>
      <c r="H1236" s="11"/>
      <c r="I1236" s="20"/>
      <c r="J1236" s="11"/>
      <c r="K1236" s="11"/>
      <c r="L1236" s="11"/>
    </row>
    <row r="1237" spans="1:12" x14ac:dyDescent="0.3">
      <c r="A1237" s="31"/>
      <c r="B1237" s="32">
        <f>IF(A1237="","",DATE(YEAR(A1237),MONTH(A1237),1))</f>
      </c>
      <c r="C1237" s="11"/>
      <c r="D1237" s="11"/>
      <c r="E1237" s="16">
        <f>IF(OR(D1237="",C1237&lt;&gt;"Chi"),"",IFERROR(INDEX('Danh mục'!$B$39:$B$78,MATCH(D1237,'Danh mục'!$A$39:$A$78,0))&amp;"","?"))</f>
      </c>
      <c r="F1237" s="16">
        <f>IF(D1237="","",IF(C1237="Thu",IFERROR(INDEX('Danh mục'!$B$26:$B$35,MATCH(D1237,'Danh mục'!$A$26:$A$35,0))&amp;"","?"),IFERROR(INDEX('Danh mục'!$D$39:$D$78,MATCH(D1237,'Danh mục'!$A$39:$A$78,0))&amp;"","?")))</f>
      </c>
      <c r="G1237" s="16">
        <f>IF(OR(D1237="",C1237&lt;&gt;"Chi"),"",IFERROR(INDEX('Danh mục'!$C$39:$C$78,MATCH(D1237,'Danh mục'!$A$39:$A$78,0))&amp;"",""))</f>
      </c>
      <c r="H1237" s="11"/>
      <c r="I1237" s="20"/>
      <c r="J1237" s="11"/>
      <c r="K1237" s="11"/>
      <c r="L1237" s="11"/>
    </row>
    <row r="1238" spans="1:12" x14ac:dyDescent="0.3">
      <c r="A1238" s="31"/>
      <c r="B1238" s="32">
        <f>IF(A1238="","",DATE(YEAR(A1238),MONTH(A1238),1))</f>
      </c>
      <c r="C1238" s="11"/>
      <c r="D1238" s="11"/>
      <c r="E1238" s="16">
        <f>IF(OR(D1238="",C1238&lt;&gt;"Chi"),"",IFERROR(INDEX('Danh mục'!$B$39:$B$78,MATCH(D1238,'Danh mục'!$A$39:$A$78,0))&amp;"","?"))</f>
      </c>
      <c r="F1238" s="16">
        <f>IF(D1238="","",IF(C1238="Thu",IFERROR(INDEX('Danh mục'!$B$26:$B$35,MATCH(D1238,'Danh mục'!$A$26:$A$35,0))&amp;"","?"),IFERROR(INDEX('Danh mục'!$D$39:$D$78,MATCH(D1238,'Danh mục'!$A$39:$A$78,0))&amp;"","?")))</f>
      </c>
      <c r="G1238" s="16">
        <f>IF(OR(D1238="",C1238&lt;&gt;"Chi"),"",IFERROR(INDEX('Danh mục'!$C$39:$C$78,MATCH(D1238,'Danh mục'!$A$39:$A$78,0))&amp;"",""))</f>
      </c>
      <c r="H1238" s="11"/>
      <c r="I1238" s="20"/>
      <c r="J1238" s="11"/>
      <c r="K1238" s="11"/>
      <c r="L1238" s="11"/>
    </row>
    <row r="1239" spans="1:12" x14ac:dyDescent="0.3">
      <c r="A1239" s="31"/>
      <c r="B1239" s="32">
        <f>IF(A1239="","",DATE(YEAR(A1239),MONTH(A1239),1))</f>
      </c>
      <c r="C1239" s="11"/>
      <c r="D1239" s="11"/>
      <c r="E1239" s="16">
        <f>IF(OR(D1239="",C1239&lt;&gt;"Chi"),"",IFERROR(INDEX('Danh mục'!$B$39:$B$78,MATCH(D1239,'Danh mục'!$A$39:$A$78,0))&amp;"","?"))</f>
      </c>
      <c r="F1239" s="16">
        <f>IF(D1239="","",IF(C1239="Thu",IFERROR(INDEX('Danh mục'!$B$26:$B$35,MATCH(D1239,'Danh mục'!$A$26:$A$35,0))&amp;"","?"),IFERROR(INDEX('Danh mục'!$D$39:$D$78,MATCH(D1239,'Danh mục'!$A$39:$A$78,0))&amp;"","?")))</f>
      </c>
      <c r="G1239" s="16">
        <f>IF(OR(D1239="",C1239&lt;&gt;"Chi"),"",IFERROR(INDEX('Danh mục'!$C$39:$C$78,MATCH(D1239,'Danh mục'!$A$39:$A$78,0))&amp;"",""))</f>
      </c>
      <c r="H1239" s="11"/>
      <c r="I1239" s="20"/>
      <c r="J1239" s="11"/>
      <c r="K1239" s="11"/>
      <c r="L1239" s="11"/>
    </row>
    <row r="1240" spans="1:12" x14ac:dyDescent="0.3">
      <c r="A1240" s="31"/>
      <c r="B1240" s="32">
        <f>IF(A1240="","",DATE(YEAR(A1240),MONTH(A1240),1))</f>
      </c>
      <c r="C1240" s="11"/>
      <c r="D1240" s="11"/>
      <c r="E1240" s="16">
        <f>IF(OR(D1240="",C1240&lt;&gt;"Chi"),"",IFERROR(INDEX('Danh mục'!$B$39:$B$78,MATCH(D1240,'Danh mục'!$A$39:$A$78,0))&amp;"","?"))</f>
      </c>
      <c r="F1240" s="16">
        <f>IF(D1240="","",IF(C1240="Thu",IFERROR(INDEX('Danh mục'!$B$26:$B$35,MATCH(D1240,'Danh mục'!$A$26:$A$35,0))&amp;"","?"),IFERROR(INDEX('Danh mục'!$D$39:$D$78,MATCH(D1240,'Danh mục'!$A$39:$A$78,0))&amp;"","?")))</f>
      </c>
      <c r="G1240" s="16">
        <f>IF(OR(D1240="",C1240&lt;&gt;"Chi"),"",IFERROR(INDEX('Danh mục'!$C$39:$C$78,MATCH(D1240,'Danh mục'!$A$39:$A$78,0))&amp;"",""))</f>
      </c>
      <c r="H1240" s="11"/>
      <c r="I1240" s="20"/>
      <c r="J1240" s="11"/>
      <c r="K1240" s="11"/>
      <c r="L1240" s="11"/>
    </row>
    <row r="1241" spans="1:12" x14ac:dyDescent="0.3">
      <c r="A1241" s="31"/>
      <c r="B1241" s="32">
        <f>IF(A1241="","",DATE(YEAR(A1241),MONTH(A1241),1))</f>
      </c>
      <c r="C1241" s="11"/>
      <c r="D1241" s="11"/>
      <c r="E1241" s="16">
        <f>IF(OR(D1241="",C1241&lt;&gt;"Chi"),"",IFERROR(INDEX('Danh mục'!$B$39:$B$78,MATCH(D1241,'Danh mục'!$A$39:$A$78,0))&amp;"","?"))</f>
      </c>
      <c r="F1241" s="16">
        <f>IF(D1241="","",IF(C1241="Thu",IFERROR(INDEX('Danh mục'!$B$26:$B$35,MATCH(D1241,'Danh mục'!$A$26:$A$35,0))&amp;"","?"),IFERROR(INDEX('Danh mục'!$D$39:$D$78,MATCH(D1241,'Danh mục'!$A$39:$A$78,0))&amp;"","?")))</f>
      </c>
      <c r="G1241" s="16">
        <f>IF(OR(D1241="",C1241&lt;&gt;"Chi"),"",IFERROR(INDEX('Danh mục'!$C$39:$C$78,MATCH(D1241,'Danh mục'!$A$39:$A$78,0))&amp;"",""))</f>
      </c>
      <c r="H1241" s="11"/>
      <c r="I1241" s="20"/>
      <c r="J1241" s="11"/>
      <c r="K1241" s="11"/>
      <c r="L1241" s="11"/>
    </row>
    <row r="1242" spans="1:12" x14ac:dyDescent="0.3">
      <c r="A1242" s="31"/>
      <c r="B1242" s="32">
        <f>IF(A1242="","",DATE(YEAR(A1242),MONTH(A1242),1))</f>
      </c>
      <c r="C1242" s="11"/>
      <c r="D1242" s="11"/>
      <c r="E1242" s="16">
        <f>IF(OR(D1242="",C1242&lt;&gt;"Chi"),"",IFERROR(INDEX('Danh mục'!$B$39:$B$78,MATCH(D1242,'Danh mục'!$A$39:$A$78,0))&amp;"","?"))</f>
      </c>
      <c r="F1242" s="16">
        <f>IF(D1242="","",IF(C1242="Thu",IFERROR(INDEX('Danh mục'!$B$26:$B$35,MATCH(D1242,'Danh mục'!$A$26:$A$35,0))&amp;"","?"),IFERROR(INDEX('Danh mục'!$D$39:$D$78,MATCH(D1242,'Danh mục'!$A$39:$A$78,0))&amp;"","?")))</f>
      </c>
      <c r="G1242" s="16">
        <f>IF(OR(D1242="",C1242&lt;&gt;"Chi"),"",IFERROR(INDEX('Danh mục'!$C$39:$C$78,MATCH(D1242,'Danh mục'!$A$39:$A$78,0))&amp;"",""))</f>
      </c>
      <c r="H1242" s="11"/>
      <c r="I1242" s="20"/>
      <c r="J1242" s="11"/>
      <c r="K1242" s="11"/>
      <c r="L1242" s="11"/>
    </row>
    <row r="1243" spans="1:12" x14ac:dyDescent="0.3">
      <c r="A1243" s="31"/>
      <c r="B1243" s="32">
        <f>IF(A1243="","",DATE(YEAR(A1243),MONTH(A1243),1))</f>
      </c>
      <c r="C1243" s="11"/>
      <c r="D1243" s="11"/>
      <c r="E1243" s="16">
        <f>IF(OR(D1243="",C1243&lt;&gt;"Chi"),"",IFERROR(INDEX('Danh mục'!$B$39:$B$78,MATCH(D1243,'Danh mục'!$A$39:$A$78,0))&amp;"","?"))</f>
      </c>
      <c r="F1243" s="16">
        <f>IF(D1243="","",IF(C1243="Thu",IFERROR(INDEX('Danh mục'!$B$26:$B$35,MATCH(D1243,'Danh mục'!$A$26:$A$35,0))&amp;"","?"),IFERROR(INDEX('Danh mục'!$D$39:$D$78,MATCH(D1243,'Danh mục'!$A$39:$A$78,0))&amp;"","?")))</f>
      </c>
      <c r="G1243" s="16">
        <f>IF(OR(D1243="",C1243&lt;&gt;"Chi"),"",IFERROR(INDEX('Danh mục'!$C$39:$C$78,MATCH(D1243,'Danh mục'!$A$39:$A$78,0))&amp;"",""))</f>
      </c>
      <c r="H1243" s="11"/>
      <c r="I1243" s="20"/>
      <c r="J1243" s="11"/>
      <c r="K1243" s="11"/>
      <c r="L1243" s="11"/>
    </row>
    <row r="1244" spans="1:12" x14ac:dyDescent="0.3">
      <c r="A1244" s="31"/>
      <c r="B1244" s="32">
        <f>IF(A1244="","",DATE(YEAR(A1244),MONTH(A1244),1))</f>
      </c>
      <c r="C1244" s="11"/>
      <c r="D1244" s="11"/>
      <c r="E1244" s="16">
        <f>IF(OR(D1244="",C1244&lt;&gt;"Chi"),"",IFERROR(INDEX('Danh mục'!$B$39:$B$78,MATCH(D1244,'Danh mục'!$A$39:$A$78,0))&amp;"","?"))</f>
      </c>
      <c r="F1244" s="16">
        <f>IF(D1244="","",IF(C1244="Thu",IFERROR(INDEX('Danh mục'!$B$26:$B$35,MATCH(D1244,'Danh mục'!$A$26:$A$35,0))&amp;"","?"),IFERROR(INDEX('Danh mục'!$D$39:$D$78,MATCH(D1244,'Danh mục'!$A$39:$A$78,0))&amp;"","?")))</f>
      </c>
      <c r="G1244" s="16">
        <f>IF(OR(D1244="",C1244&lt;&gt;"Chi"),"",IFERROR(INDEX('Danh mục'!$C$39:$C$78,MATCH(D1244,'Danh mục'!$A$39:$A$78,0))&amp;"",""))</f>
      </c>
      <c r="H1244" s="11"/>
      <c r="I1244" s="20"/>
      <c r="J1244" s="11"/>
      <c r="K1244" s="11"/>
      <c r="L1244" s="11"/>
    </row>
    <row r="1245" spans="1:12" x14ac:dyDescent="0.3">
      <c r="A1245" s="31"/>
      <c r="B1245" s="32">
        <f>IF(A1245="","",DATE(YEAR(A1245),MONTH(A1245),1))</f>
      </c>
      <c r="C1245" s="11"/>
      <c r="D1245" s="11"/>
      <c r="E1245" s="16">
        <f>IF(OR(D1245="",C1245&lt;&gt;"Chi"),"",IFERROR(INDEX('Danh mục'!$B$39:$B$78,MATCH(D1245,'Danh mục'!$A$39:$A$78,0))&amp;"","?"))</f>
      </c>
      <c r="F1245" s="16">
        <f>IF(D1245="","",IF(C1245="Thu",IFERROR(INDEX('Danh mục'!$B$26:$B$35,MATCH(D1245,'Danh mục'!$A$26:$A$35,0))&amp;"","?"),IFERROR(INDEX('Danh mục'!$D$39:$D$78,MATCH(D1245,'Danh mục'!$A$39:$A$78,0))&amp;"","?")))</f>
      </c>
      <c r="G1245" s="16">
        <f>IF(OR(D1245="",C1245&lt;&gt;"Chi"),"",IFERROR(INDEX('Danh mục'!$C$39:$C$78,MATCH(D1245,'Danh mục'!$A$39:$A$78,0))&amp;"",""))</f>
      </c>
      <c r="H1245" s="11"/>
      <c r="I1245" s="20"/>
      <c r="J1245" s="11"/>
      <c r="K1245" s="11"/>
      <c r="L1245" s="11"/>
    </row>
    <row r="1246" spans="1:12" x14ac:dyDescent="0.3">
      <c r="A1246" s="31"/>
      <c r="B1246" s="32">
        <f>IF(A1246="","",DATE(YEAR(A1246),MONTH(A1246),1))</f>
      </c>
      <c r="C1246" s="11"/>
      <c r="D1246" s="11"/>
      <c r="E1246" s="16">
        <f>IF(OR(D1246="",C1246&lt;&gt;"Chi"),"",IFERROR(INDEX('Danh mục'!$B$39:$B$78,MATCH(D1246,'Danh mục'!$A$39:$A$78,0))&amp;"","?"))</f>
      </c>
      <c r="F1246" s="16">
        <f>IF(D1246="","",IF(C1246="Thu",IFERROR(INDEX('Danh mục'!$B$26:$B$35,MATCH(D1246,'Danh mục'!$A$26:$A$35,0))&amp;"","?"),IFERROR(INDEX('Danh mục'!$D$39:$D$78,MATCH(D1246,'Danh mục'!$A$39:$A$78,0))&amp;"","?")))</f>
      </c>
      <c r="G1246" s="16">
        <f>IF(OR(D1246="",C1246&lt;&gt;"Chi"),"",IFERROR(INDEX('Danh mục'!$C$39:$C$78,MATCH(D1246,'Danh mục'!$A$39:$A$78,0))&amp;"",""))</f>
      </c>
      <c r="H1246" s="11"/>
      <c r="I1246" s="20"/>
      <c r="J1246" s="11"/>
      <c r="K1246" s="11"/>
      <c r="L1246" s="11"/>
    </row>
    <row r="1247" spans="1:12" x14ac:dyDescent="0.3">
      <c r="A1247" s="31"/>
      <c r="B1247" s="32">
        <f>IF(A1247="","",DATE(YEAR(A1247),MONTH(A1247),1))</f>
      </c>
      <c r="C1247" s="11"/>
      <c r="D1247" s="11"/>
      <c r="E1247" s="16">
        <f>IF(OR(D1247="",C1247&lt;&gt;"Chi"),"",IFERROR(INDEX('Danh mục'!$B$39:$B$78,MATCH(D1247,'Danh mục'!$A$39:$A$78,0))&amp;"","?"))</f>
      </c>
      <c r="F1247" s="16">
        <f>IF(D1247="","",IF(C1247="Thu",IFERROR(INDEX('Danh mục'!$B$26:$B$35,MATCH(D1247,'Danh mục'!$A$26:$A$35,0))&amp;"","?"),IFERROR(INDEX('Danh mục'!$D$39:$D$78,MATCH(D1247,'Danh mục'!$A$39:$A$78,0))&amp;"","?")))</f>
      </c>
      <c r="G1247" s="16">
        <f>IF(OR(D1247="",C1247&lt;&gt;"Chi"),"",IFERROR(INDEX('Danh mục'!$C$39:$C$78,MATCH(D1247,'Danh mục'!$A$39:$A$78,0))&amp;"",""))</f>
      </c>
      <c r="H1247" s="11"/>
      <c r="I1247" s="20"/>
      <c r="J1247" s="11"/>
      <c r="K1247" s="11"/>
      <c r="L1247" s="11"/>
    </row>
    <row r="1248" spans="1:12" x14ac:dyDescent="0.3">
      <c r="A1248" s="31"/>
      <c r="B1248" s="32">
        <f>IF(A1248="","",DATE(YEAR(A1248),MONTH(A1248),1))</f>
      </c>
      <c r="C1248" s="11"/>
      <c r="D1248" s="11"/>
      <c r="E1248" s="16">
        <f>IF(OR(D1248="",C1248&lt;&gt;"Chi"),"",IFERROR(INDEX('Danh mục'!$B$39:$B$78,MATCH(D1248,'Danh mục'!$A$39:$A$78,0))&amp;"","?"))</f>
      </c>
      <c r="F1248" s="16">
        <f>IF(D1248="","",IF(C1248="Thu",IFERROR(INDEX('Danh mục'!$B$26:$B$35,MATCH(D1248,'Danh mục'!$A$26:$A$35,0))&amp;"","?"),IFERROR(INDEX('Danh mục'!$D$39:$D$78,MATCH(D1248,'Danh mục'!$A$39:$A$78,0))&amp;"","?")))</f>
      </c>
      <c r="G1248" s="16">
        <f>IF(OR(D1248="",C1248&lt;&gt;"Chi"),"",IFERROR(INDEX('Danh mục'!$C$39:$C$78,MATCH(D1248,'Danh mục'!$A$39:$A$78,0))&amp;"",""))</f>
      </c>
      <c r="H1248" s="11"/>
      <c r="I1248" s="20"/>
      <c r="J1248" s="11"/>
      <c r="K1248" s="11"/>
      <c r="L1248" s="11"/>
    </row>
    <row r="1249" spans="1:12" x14ac:dyDescent="0.3">
      <c r="A1249" s="31"/>
      <c r="B1249" s="32">
        <f>IF(A1249="","",DATE(YEAR(A1249),MONTH(A1249),1))</f>
      </c>
      <c r="C1249" s="11"/>
      <c r="D1249" s="11"/>
      <c r="E1249" s="16">
        <f>IF(OR(D1249="",C1249&lt;&gt;"Chi"),"",IFERROR(INDEX('Danh mục'!$B$39:$B$78,MATCH(D1249,'Danh mục'!$A$39:$A$78,0))&amp;"","?"))</f>
      </c>
      <c r="F1249" s="16">
        <f>IF(D1249="","",IF(C1249="Thu",IFERROR(INDEX('Danh mục'!$B$26:$B$35,MATCH(D1249,'Danh mục'!$A$26:$A$35,0))&amp;"","?"),IFERROR(INDEX('Danh mục'!$D$39:$D$78,MATCH(D1249,'Danh mục'!$A$39:$A$78,0))&amp;"","?")))</f>
      </c>
      <c r="G1249" s="16">
        <f>IF(OR(D1249="",C1249&lt;&gt;"Chi"),"",IFERROR(INDEX('Danh mục'!$C$39:$C$78,MATCH(D1249,'Danh mục'!$A$39:$A$78,0))&amp;"",""))</f>
      </c>
      <c r="H1249" s="11"/>
      <c r="I1249" s="20"/>
      <c r="J1249" s="11"/>
      <c r="K1249" s="11"/>
      <c r="L1249" s="11"/>
    </row>
    <row r="1250" spans="1:12" x14ac:dyDescent="0.3">
      <c r="A1250" s="31"/>
      <c r="B1250" s="32">
        <f>IF(A1250="","",DATE(YEAR(A1250),MONTH(A1250),1))</f>
      </c>
      <c r="C1250" s="11"/>
      <c r="D1250" s="11"/>
      <c r="E1250" s="16">
        <f>IF(OR(D1250="",C1250&lt;&gt;"Chi"),"",IFERROR(INDEX('Danh mục'!$B$39:$B$78,MATCH(D1250,'Danh mục'!$A$39:$A$78,0))&amp;"","?"))</f>
      </c>
      <c r="F1250" s="16">
        <f>IF(D1250="","",IF(C1250="Thu",IFERROR(INDEX('Danh mục'!$B$26:$B$35,MATCH(D1250,'Danh mục'!$A$26:$A$35,0))&amp;"","?"),IFERROR(INDEX('Danh mục'!$D$39:$D$78,MATCH(D1250,'Danh mục'!$A$39:$A$78,0))&amp;"","?")))</f>
      </c>
      <c r="G1250" s="16">
        <f>IF(OR(D1250="",C1250&lt;&gt;"Chi"),"",IFERROR(INDEX('Danh mục'!$C$39:$C$78,MATCH(D1250,'Danh mục'!$A$39:$A$78,0))&amp;"",""))</f>
      </c>
      <c r="H1250" s="11"/>
      <c r="I1250" s="20"/>
      <c r="J1250" s="11"/>
      <c r="K1250" s="11"/>
      <c r="L1250" s="11"/>
    </row>
    <row r="1251" spans="1:12" x14ac:dyDescent="0.3">
      <c r="A1251" s="31"/>
      <c r="B1251" s="32">
        <f>IF(A1251="","",DATE(YEAR(A1251),MONTH(A1251),1))</f>
      </c>
      <c r="C1251" s="11"/>
      <c r="D1251" s="11"/>
      <c r="E1251" s="16">
        <f>IF(OR(D1251="",C1251&lt;&gt;"Chi"),"",IFERROR(INDEX('Danh mục'!$B$39:$B$78,MATCH(D1251,'Danh mục'!$A$39:$A$78,0))&amp;"","?"))</f>
      </c>
      <c r="F1251" s="16">
        <f>IF(D1251="","",IF(C1251="Thu",IFERROR(INDEX('Danh mục'!$B$26:$B$35,MATCH(D1251,'Danh mục'!$A$26:$A$35,0))&amp;"","?"),IFERROR(INDEX('Danh mục'!$D$39:$D$78,MATCH(D1251,'Danh mục'!$A$39:$A$78,0))&amp;"","?")))</f>
      </c>
      <c r="G1251" s="16">
        <f>IF(OR(D1251="",C1251&lt;&gt;"Chi"),"",IFERROR(INDEX('Danh mục'!$C$39:$C$78,MATCH(D1251,'Danh mục'!$A$39:$A$78,0))&amp;"",""))</f>
      </c>
      <c r="H1251" s="11"/>
      <c r="I1251" s="20"/>
      <c r="J1251" s="11"/>
      <c r="K1251" s="11"/>
      <c r="L1251" s="11"/>
    </row>
    <row r="1252" spans="1:12" x14ac:dyDescent="0.3">
      <c r="A1252" s="31"/>
      <c r="B1252" s="32">
        <f>IF(A1252="","",DATE(YEAR(A1252),MONTH(A1252),1))</f>
      </c>
      <c r="C1252" s="11"/>
      <c r="D1252" s="11"/>
      <c r="E1252" s="16">
        <f>IF(OR(D1252="",C1252&lt;&gt;"Chi"),"",IFERROR(INDEX('Danh mục'!$B$39:$B$78,MATCH(D1252,'Danh mục'!$A$39:$A$78,0))&amp;"","?"))</f>
      </c>
      <c r="F1252" s="16">
        <f>IF(D1252="","",IF(C1252="Thu",IFERROR(INDEX('Danh mục'!$B$26:$B$35,MATCH(D1252,'Danh mục'!$A$26:$A$35,0))&amp;"","?"),IFERROR(INDEX('Danh mục'!$D$39:$D$78,MATCH(D1252,'Danh mục'!$A$39:$A$78,0))&amp;"","?")))</f>
      </c>
      <c r="G1252" s="16">
        <f>IF(OR(D1252="",C1252&lt;&gt;"Chi"),"",IFERROR(INDEX('Danh mục'!$C$39:$C$78,MATCH(D1252,'Danh mục'!$A$39:$A$78,0))&amp;"",""))</f>
      </c>
      <c r="H1252" s="11"/>
      <c r="I1252" s="20"/>
      <c r="J1252" s="11"/>
      <c r="K1252" s="11"/>
      <c r="L1252" s="11"/>
    </row>
    <row r="1253" spans="1:12" x14ac:dyDescent="0.3">
      <c r="A1253" s="31"/>
      <c r="B1253" s="32">
        <f>IF(A1253="","",DATE(YEAR(A1253),MONTH(A1253),1))</f>
      </c>
      <c r="C1253" s="11"/>
      <c r="D1253" s="11"/>
      <c r="E1253" s="16">
        <f>IF(OR(D1253="",C1253&lt;&gt;"Chi"),"",IFERROR(INDEX('Danh mục'!$B$39:$B$78,MATCH(D1253,'Danh mục'!$A$39:$A$78,0))&amp;"","?"))</f>
      </c>
      <c r="F1253" s="16">
        <f>IF(D1253="","",IF(C1253="Thu",IFERROR(INDEX('Danh mục'!$B$26:$B$35,MATCH(D1253,'Danh mục'!$A$26:$A$35,0))&amp;"","?"),IFERROR(INDEX('Danh mục'!$D$39:$D$78,MATCH(D1253,'Danh mục'!$A$39:$A$78,0))&amp;"","?")))</f>
      </c>
      <c r="G1253" s="16">
        <f>IF(OR(D1253="",C1253&lt;&gt;"Chi"),"",IFERROR(INDEX('Danh mục'!$C$39:$C$78,MATCH(D1253,'Danh mục'!$A$39:$A$78,0))&amp;"",""))</f>
      </c>
      <c r="H1253" s="11"/>
      <c r="I1253" s="20"/>
      <c r="J1253" s="11"/>
      <c r="K1253" s="11"/>
      <c r="L1253" s="11"/>
    </row>
    <row r="1254" spans="1:12" x14ac:dyDescent="0.3">
      <c r="A1254" s="31"/>
      <c r="B1254" s="32">
        <f>IF(A1254="","",DATE(YEAR(A1254),MONTH(A1254),1))</f>
      </c>
      <c r="C1254" s="11"/>
      <c r="D1254" s="11"/>
      <c r="E1254" s="16">
        <f>IF(OR(D1254="",C1254&lt;&gt;"Chi"),"",IFERROR(INDEX('Danh mục'!$B$39:$B$78,MATCH(D1254,'Danh mục'!$A$39:$A$78,0))&amp;"","?"))</f>
      </c>
      <c r="F1254" s="16">
        <f>IF(D1254="","",IF(C1254="Thu",IFERROR(INDEX('Danh mục'!$B$26:$B$35,MATCH(D1254,'Danh mục'!$A$26:$A$35,0))&amp;"","?"),IFERROR(INDEX('Danh mục'!$D$39:$D$78,MATCH(D1254,'Danh mục'!$A$39:$A$78,0))&amp;"","?")))</f>
      </c>
      <c r="G1254" s="16">
        <f>IF(OR(D1254="",C1254&lt;&gt;"Chi"),"",IFERROR(INDEX('Danh mục'!$C$39:$C$78,MATCH(D1254,'Danh mục'!$A$39:$A$78,0))&amp;"",""))</f>
      </c>
      <c r="H1254" s="11"/>
      <c r="I1254" s="20"/>
      <c r="J1254" s="11"/>
      <c r="K1254" s="11"/>
      <c r="L1254" s="11"/>
    </row>
    <row r="1255" spans="1:12" x14ac:dyDescent="0.3">
      <c r="A1255" s="31"/>
      <c r="B1255" s="32">
        <f>IF(A1255="","",DATE(YEAR(A1255),MONTH(A1255),1))</f>
      </c>
      <c r="C1255" s="11"/>
      <c r="D1255" s="11"/>
      <c r="E1255" s="16">
        <f>IF(OR(D1255="",C1255&lt;&gt;"Chi"),"",IFERROR(INDEX('Danh mục'!$B$39:$B$78,MATCH(D1255,'Danh mục'!$A$39:$A$78,0))&amp;"","?"))</f>
      </c>
      <c r="F1255" s="16">
        <f>IF(D1255="","",IF(C1255="Thu",IFERROR(INDEX('Danh mục'!$B$26:$B$35,MATCH(D1255,'Danh mục'!$A$26:$A$35,0))&amp;"","?"),IFERROR(INDEX('Danh mục'!$D$39:$D$78,MATCH(D1255,'Danh mục'!$A$39:$A$78,0))&amp;"","?")))</f>
      </c>
      <c r="G1255" s="16">
        <f>IF(OR(D1255="",C1255&lt;&gt;"Chi"),"",IFERROR(INDEX('Danh mục'!$C$39:$C$78,MATCH(D1255,'Danh mục'!$A$39:$A$78,0))&amp;"",""))</f>
      </c>
      <c r="H1255" s="11"/>
      <c r="I1255" s="20"/>
      <c r="J1255" s="11"/>
      <c r="K1255" s="11"/>
      <c r="L1255" s="11"/>
    </row>
    <row r="1256" spans="1:12" x14ac:dyDescent="0.3">
      <c r="A1256" s="31"/>
      <c r="B1256" s="32">
        <f>IF(A1256="","",DATE(YEAR(A1256),MONTH(A1256),1))</f>
      </c>
      <c r="C1256" s="11"/>
      <c r="D1256" s="11"/>
      <c r="E1256" s="16">
        <f>IF(OR(D1256="",C1256&lt;&gt;"Chi"),"",IFERROR(INDEX('Danh mục'!$B$39:$B$78,MATCH(D1256,'Danh mục'!$A$39:$A$78,0))&amp;"","?"))</f>
      </c>
      <c r="F1256" s="16">
        <f>IF(D1256="","",IF(C1256="Thu",IFERROR(INDEX('Danh mục'!$B$26:$B$35,MATCH(D1256,'Danh mục'!$A$26:$A$35,0))&amp;"","?"),IFERROR(INDEX('Danh mục'!$D$39:$D$78,MATCH(D1256,'Danh mục'!$A$39:$A$78,0))&amp;"","?")))</f>
      </c>
      <c r="G1256" s="16">
        <f>IF(OR(D1256="",C1256&lt;&gt;"Chi"),"",IFERROR(INDEX('Danh mục'!$C$39:$C$78,MATCH(D1256,'Danh mục'!$A$39:$A$78,0))&amp;"",""))</f>
      </c>
      <c r="H1256" s="11"/>
      <c r="I1256" s="20"/>
      <c r="J1256" s="11"/>
      <c r="K1256" s="11"/>
      <c r="L1256" s="11"/>
    </row>
    <row r="1257" spans="1:12" x14ac:dyDescent="0.3">
      <c r="A1257" s="31"/>
      <c r="B1257" s="32">
        <f>IF(A1257="","",DATE(YEAR(A1257),MONTH(A1257),1))</f>
      </c>
      <c r="C1257" s="11"/>
      <c r="D1257" s="11"/>
      <c r="E1257" s="16">
        <f>IF(OR(D1257="",C1257&lt;&gt;"Chi"),"",IFERROR(INDEX('Danh mục'!$B$39:$B$78,MATCH(D1257,'Danh mục'!$A$39:$A$78,0))&amp;"","?"))</f>
      </c>
      <c r="F1257" s="16">
        <f>IF(D1257="","",IF(C1257="Thu",IFERROR(INDEX('Danh mục'!$B$26:$B$35,MATCH(D1257,'Danh mục'!$A$26:$A$35,0))&amp;"","?"),IFERROR(INDEX('Danh mục'!$D$39:$D$78,MATCH(D1257,'Danh mục'!$A$39:$A$78,0))&amp;"","?")))</f>
      </c>
      <c r="G1257" s="16">
        <f>IF(OR(D1257="",C1257&lt;&gt;"Chi"),"",IFERROR(INDEX('Danh mục'!$C$39:$C$78,MATCH(D1257,'Danh mục'!$A$39:$A$78,0))&amp;"",""))</f>
      </c>
      <c r="H1257" s="11"/>
      <c r="I1257" s="20"/>
      <c r="J1257" s="11"/>
      <c r="K1257" s="11"/>
      <c r="L1257" s="11"/>
    </row>
    <row r="1258" spans="1:12" x14ac:dyDescent="0.3">
      <c r="A1258" s="31"/>
      <c r="B1258" s="32">
        <f>IF(A1258="","",DATE(YEAR(A1258),MONTH(A1258),1))</f>
      </c>
      <c r="C1258" s="11"/>
      <c r="D1258" s="11"/>
      <c r="E1258" s="16">
        <f>IF(OR(D1258="",C1258&lt;&gt;"Chi"),"",IFERROR(INDEX('Danh mục'!$B$39:$B$78,MATCH(D1258,'Danh mục'!$A$39:$A$78,0))&amp;"","?"))</f>
      </c>
      <c r="F1258" s="16">
        <f>IF(D1258="","",IF(C1258="Thu",IFERROR(INDEX('Danh mục'!$B$26:$B$35,MATCH(D1258,'Danh mục'!$A$26:$A$35,0))&amp;"","?"),IFERROR(INDEX('Danh mục'!$D$39:$D$78,MATCH(D1258,'Danh mục'!$A$39:$A$78,0))&amp;"","?")))</f>
      </c>
      <c r="G1258" s="16">
        <f>IF(OR(D1258="",C1258&lt;&gt;"Chi"),"",IFERROR(INDEX('Danh mục'!$C$39:$C$78,MATCH(D1258,'Danh mục'!$A$39:$A$78,0))&amp;"",""))</f>
      </c>
      <c r="H1258" s="11"/>
      <c r="I1258" s="20"/>
      <c r="J1258" s="11"/>
      <c r="K1258" s="11"/>
      <c r="L1258" s="11"/>
    </row>
    <row r="1259" spans="1:12" x14ac:dyDescent="0.3">
      <c r="A1259" s="31"/>
      <c r="B1259" s="32">
        <f>IF(A1259="","",DATE(YEAR(A1259),MONTH(A1259),1))</f>
      </c>
      <c r="C1259" s="11"/>
      <c r="D1259" s="11"/>
      <c r="E1259" s="16">
        <f>IF(OR(D1259="",C1259&lt;&gt;"Chi"),"",IFERROR(INDEX('Danh mục'!$B$39:$B$78,MATCH(D1259,'Danh mục'!$A$39:$A$78,0))&amp;"","?"))</f>
      </c>
      <c r="F1259" s="16">
        <f>IF(D1259="","",IF(C1259="Thu",IFERROR(INDEX('Danh mục'!$B$26:$B$35,MATCH(D1259,'Danh mục'!$A$26:$A$35,0))&amp;"","?"),IFERROR(INDEX('Danh mục'!$D$39:$D$78,MATCH(D1259,'Danh mục'!$A$39:$A$78,0))&amp;"","?")))</f>
      </c>
      <c r="G1259" s="16">
        <f>IF(OR(D1259="",C1259&lt;&gt;"Chi"),"",IFERROR(INDEX('Danh mục'!$C$39:$C$78,MATCH(D1259,'Danh mục'!$A$39:$A$78,0))&amp;"",""))</f>
      </c>
      <c r="H1259" s="11"/>
      <c r="I1259" s="20"/>
      <c r="J1259" s="11"/>
      <c r="K1259" s="11"/>
      <c r="L1259" s="11"/>
    </row>
    <row r="1260" spans="1:12" x14ac:dyDescent="0.3">
      <c r="A1260" s="31"/>
      <c r="B1260" s="32">
        <f>IF(A1260="","",DATE(YEAR(A1260),MONTH(A1260),1))</f>
      </c>
      <c r="C1260" s="11"/>
      <c r="D1260" s="11"/>
      <c r="E1260" s="16">
        <f>IF(OR(D1260="",C1260&lt;&gt;"Chi"),"",IFERROR(INDEX('Danh mục'!$B$39:$B$78,MATCH(D1260,'Danh mục'!$A$39:$A$78,0))&amp;"","?"))</f>
      </c>
      <c r="F1260" s="16">
        <f>IF(D1260="","",IF(C1260="Thu",IFERROR(INDEX('Danh mục'!$B$26:$B$35,MATCH(D1260,'Danh mục'!$A$26:$A$35,0))&amp;"","?"),IFERROR(INDEX('Danh mục'!$D$39:$D$78,MATCH(D1260,'Danh mục'!$A$39:$A$78,0))&amp;"","?")))</f>
      </c>
      <c r="G1260" s="16">
        <f>IF(OR(D1260="",C1260&lt;&gt;"Chi"),"",IFERROR(INDEX('Danh mục'!$C$39:$C$78,MATCH(D1260,'Danh mục'!$A$39:$A$78,0))&amp;"",""))</f>
      </c>
      <c r="H1260" s="11"/>
      <c r="I1260" s="20"/>
      <c r="J1260" s="11"/>
      <c r="K1260" s="11"/>
      <c r="L1260" s="11"/>
    </row>
    <row r="1261" spans="1:12" x14ac:dyDescent="0.3">
      <c r="A1261" s="31"/>
      <c r="B1261" s="32">
        <f>IF(A1261="","",DATE(YEAR(A1261),MONTH(A1261),1))</f>
      </c>
      <c r="C1261" s="11"/>
      <c r="D1261" s="11"/>
      <c r="E1261" s="16">
        <f>IF(OR(D1261="",C1261&lt;&gt;"Chi"),"",IFERROR(INDEX('Danh mục'!$B$39:$B$78,MATCH(D1261,'Danh mục'!$A$39:$A$78,0))&amp;"","?"))</f>
      </c>
      <c r="F1261" s="16">
        <f>IF(D1261="","",IF(C1261="Thu",IFERROR(INDEX('Danh mục'!$B$26:$B$35,MATCH(D1261,'Danh mục'!$A$26:$A$35,0))&amp;"","?"),IFERROR(INDEX('Danh mục'!$D$39:$D$78,MATCH(D1261,'Danh mục'!$A$39:$A$78,0))&amp;"","?")))</f>
      </c>
      <c r="G1261" s="16">
        <f>IF(OR(D1261="",C1261&lt;&gt;"Chi"),"",IFERROR(INDEX('Danh mục'!$C$39:$C$78,MATCH(D1261,'Danh mục'!$A$39:$A$78,0))&amp;"",""))</f>
      </c>
      <c r="H1261" s="11"/>
      <c r="I1261" s="20"/>
      <c r="J1261" s="11"/>
      <c r="K1261" s="11"/>
      <c r="L1261" s="11"/>
    </row>
    <row r="1262" spans="1:12" x14ac:dyDescent="0.3">
      <c r="A1262" s="31"/>
      <c r="B1262" s="32">
        <f>IF(A1262="","",DATE(YEAR(A1262),MONTH(A1262),1))</f>
      </c>
      <c r="C1262" s="11"/>
      <c r="D1262" s="11"/>
      <c r="E1262" s="16">
        <f>IF(OR(D1262="",C1262&lt;&gt;"Chi"),"",IFERROR(INDEX('Danh mục'!$B$39:$B$78,MATCH(D1262,'Danh mục'!$A$39:$A$78,0))&amp;"","?"))</f>
      </c>
      <c r="F1262" s="16">
        <f>IF(D1262="","",IF(C1262="Thu",IFERROR(INDEX('Danh mục'!$B$26:$B$35,MATCH(D1262,'Danh mục'!$A$26:$A$35,0))&amp;"","?"),IFERROR(INDEX('Danh mục'!$D$39:$D$78,MATCH(D1262,'Danh mục'!$A$39:$A$78,0))&amp;"","?")))</f>
      </c>
      <c r="G1262" s="16">
        <f>IF(OR(D1262="",C1262&lt;&gt;"Chi"),"",IFERROR(INDEX('Danh mục'!$C$39:$C$78,MATCH(D1262,'Danh mục'!$A$39:$A$78,0))&amp;"",""))</f>
      </c>
      <c r="H1262" s="11"/>
      <c r="I1262" s="20"/>
      <c r="J1262" s="11"/>
      <c r="K1262" s="11"/>
      <c r="L1262" s="11"/>
    </row>
    <row r="1263" spans="1:12" x14ac:dyDescent="0.3">
      <c r="A1263" s="31"/>
      <c r="B1263" s="32">
        <f>IF(A1263="","",DATE(YEAR(A1263),MONTH(A1263),1))</f>
      </c>
      <c r="C1263" s="11"/>
      <c r="D1263" s="11"/>
      <c r="E1263" s="16">
        <f>IF(OR(D1263="",C1263&lt;&gt;"Chi"),"",IFERROR(INDEX('Danh mục'!$B$39:$B$78,MATCH(D1263,'Danh mục'!$A$39:$A$78,0))&amp;"","?"))</f>
      </c>
      <c r="F1263" s="16">
        <f>IF(D1263="","",IF(C1263="Thu",IFERROR(INDEX('Danh mục'!$B$26:$B$35,MATCH(D1263,'Danh mục'!$A$26:$A$35,0))&amp;"","?"),IFERROR(INDEX('Danh mục'!$D$39:$D$78,MATCH(D1263,'Danh mục'!$A$39:$A$78,0))&amp;"","?")))</f>
      </c>
      <c r="G1263" s="16">
        <f>IF(OR(D1263="",C1263&lt;&gt;"Chi"),"",IFERROR(INDEX('Danh mục'!$C$39:$C$78,MATCH(D1263,'Danh mục'!$A$39:$A$78,0))&amp;"",""))</f>
      </c>
      <c r="H1263" s="11"/>
      <c r="I1263" s="20"/>
      <c r="J1263" s="11"/>
      <c r="K1263" s="11"/>
      <c r="L1263" s="11"/>
    </row>
    <row r="1264" spans="1:12" x14ac:dyDescent="0.3">
      <c r="A1264" s="31"/>
      <c r="B1264" s="32">
        <f>IF(A1264="","",DATE(YEAR(A1264),MONTH(A1264),1))</f>
      </c>
      <c r="C1264" s="11"/>
      <c r="D1264" s="11"/>
      <c r="E1264" s="16">
        <f>IF(OR(D1264="",C1264&lt;&gt;"Chi"),"",IFERROR(INDEX('Danh mục'!$B$39:$B$78,MATCH(D1264,'Danh mục'!$A$39:$A$78,0))&amp;"","?"))</f>
      </c>
      <c r="F1264" s="16">
        <f>IF(D1264="","",IF(C1264="Thu",IFERROR(INDEX('Danh mục'!$B$26:$B$35,MATCH(D1264,'Danh mục'!$A$26:$A$35,0))&amp;"","?"),IFERROR(INDEX('Danh mục'!$D$39:$D$78,MATCH(D1264,'Danh mục'!$A$39:$A$78,0))&amp;"","?")))</f>
      </c>
      <c r="G1264" s="16">
        <f>IF(OR(D1264="",C1264&lt;&gt;"Chi"),"",IFERROR(INDEX('Danh mục'!$C$39:$C$78,MATCH(D1264,'Danh mục'!$A$39:$A$78,0))&amp;"",""))</f>
      </c>
      <c r="H1264" s="11"/>
      <c r="I1264" s="20"/>
      <c r="J1264" s="11"/>
      <c r="K1264" s="11"/>
      <c r="L1264" s="11"/>
    </row>
    <row r="1265" spans="1:12" x14ac:dyDescent="0.3">
      <c r="A1265" s="31"/>
      <c r="B1265" s="32">
        <f>IF(A1265="","",DATE(YEAR(A1265),MONTH(A1265),1))</f>
      </c>
      <c r="C1265" s="11"/>
      <c r="D1265" s="11"/>
      <c r="E1265" s="16">
        <f>IF(OR(D1265="",C1265&lt;&gt;"Chi"),"",IFERROR(INDEX('Danh mục'!$B$39:$B$78,MATCH(D1265,'Danh mục'!$A$39:$A$78,0))&amp;"","?"))</f>
      </c>
      <c r="F1265" s="16">
        <f>IF(D1265="","",IF(C1265="Thu",IFERROR(INDEX('Danh mục'!$B$26:$B$35,MATCH(D1265,'Danh mục'!$A$26:$A$35,0))&amp;"","?"),IFERROR(INDEX('Danh mục'!$D$39:$D$78,MATCH(D1265,'Danh mục'!$A$39:$A$78,0))&amp;"","?")))</f>
      </c>
      <c r="G1265" s="16">
        <f>IF(OR(D1265="",C1265&lt;&gt;"Chi"),"",IFERROR(INDEX('Danh mục'!$C$39:$C$78,MATCH(D1265,'Danh mục'!$A$39:$A$78,0))&amp;"",""))</f>
      </c>
      <c r="H1265" s="11"/>
      <c r="I1265" s="20"/>
      <c r="J1265" s="11"/>
      <c r="K1265" s="11"/>
      <c r="L1265" s="11"/>
    </row>
    <row r="1266" spans="1:12" x14ac:dyDescent="0.3">
      <c r="A1266" s="31"/>
      <c r="B1266" s="32">
        <f>IF(A1266="","",DATE(YEAR(A1266),MONTH(A1266),1))</f>
      </c>
      <c r="C1266" s="11"/>
      <c r="D1266" s="11"/>
      <c r="E1266" s="16">
        <f>IF(OR(D1266="",C1266&lt;&gt;"Chi"),"",IFERROR(INDEX('Danh mục'!$B$39:$B$78,MATCH(D1266,'Danh mục'!$A$39:$A$78,0))&amp;"","?"))</f>
      </c>
      <c r="F1266" s="16">
        <f>IF(D1266="","",IF(C1266="Thu",IFERROR(INDEX('Danh mục'!$B$26:$B$35,MATCH(D1266,'Danh mục'!$A$26:$A$35,0))&amp;"","?"),IFERROR(INDEX('Danh mục'!$D$39:$D$78,MATCH(D1266,'Danh mục'!$A$39:$A$78,0))&amp;"","?")))</f>
      </c>
      <c r="G1266" s="16">
        <f>IF(OR(D1266="",C1266&lt;&gt;"Chi"),"",IFERROR(INDEX('Danh mục'!$C$39:$C$78,MATCH(D1266,'Danh mục'!$A$39:$A$78,0))&amp;"",""))</f>
      </c>
      <c r="H1266" s="11"/>
      <c r="I1266" s="20"/>
      <c r="J1266" s="11"/>
      <c r="K1266" s="11"/>
      <c r="L1266" s="11"/>
    </row>
    <row r="1267" spans="1:12" x14ac:dyDescent="0.3">
      <c r="A1267" s="31"/>
      <c r="B1267" s="32">
        <f>IF(A1267="","",DATE(YEAR(A1267),MONTH(A1267),1))</f>
      </c>
      <c r="C1267" s="11"/>
      <c r="D1267" s="11"/>
      <c r="E1267" s="16">
        <f>IF(OR(D1267="",C1267&lt;&gt;"Chi"),"",IFERROR(INDEX('Danh mục'!$B$39:$B$78,MATCH(D1267,'Danh mục'!$A$39:$A$78,0))&amp;"","?"))</f>
      </c>
      <c r="F1267" s="16">
        <f>IF(D1267="","",IF(C1267="Thu",IFERROR(INDEX('Danh mục'!$B$26:$B$35,MATCH(D1267,'Danh mục'!$A$26:$A$35,0))&amp;"","?"),IFERROR(INDEX('Danh mục'!$D$39:$D$78,MATCH(D1267,'Danh mục'!$A$39:$A$78,0))&amp;"","?")))</f>
      </c>
      <c r="G1267" s="16">
        <f>IF(OR(D1267="",C1267&lt;&gt;"Chi"),"",IFERROR(INDEX('Danh mục'!$C$39:$C$78,MATCH(D1267,'Danh mục'!$A$39:$A$78,0))&amp;"",""))</f>
      </c>
      <c r="H1267" s="11"/>
      <c r="I1267" s="20"/>
      <c r="J1267" s="11"/>
      <c r="K1267" s="11"/>
      <c r="L1267" s="11"/>
    </row>
    <row r="1268" spans="1:12" x14ac:dyDescent="0.3">
      <c r="A1268" s="31"/>
      <c r="B1268" s="32">
        <f>IF(A1268="","",DATE(YEAR(A1268),MONTH(A1268),1))</f>
      </c>
      <c r="C1268" s="11"/>
      <c r="D1268" s="11"/>
      <c r="E1268" s="16">
        <f>IF(OR(D1268="",C1268&lt;&gt;"Chi"),"",IFERROR(INDEX('Danh mục'!$B$39:$B$78,MATCH(D1268,'Danh mục'!$A$39:$A$78,0))&amp;"","?"))</f>
      </c>
      <c r="F1268" s="16">
        <f>IF(D1268="","",IF(C1268="Thu",IFERROR(INDEX('Danh mục'!$B$26:$B$35,MATCH(D1268,'Danh mục'!$A$26:$A$35,0))&amp;"","?"),IFERROR(INDEX('Danh mục'!$D$39:$D$78,MATCH(D1268,'Danh mục'!$A$39:$A$78,0))&amp;"","?")))</f>
      </c>
      <c r="G1268" s="16">
        <f>IF(OR(D1268="",C1268&lt;&gt;"Chi"),"",IFERROR(INDEX('Danh mục'!$C$39:$C$78,MATCH(D1268,'Danh mục'!$A$39:$A$78,0))&amp;"",""))</f>
      </c>
      <c r="H1268" s="11"/>
      <c r="I1268" s="20"/>
      <c r="J1268" s="11"/>
      <c r="K1268" s="11"/>
      <c r="L1268" s="11"/>
    </row>
    <row r="1269" spans="1:12" x14ac:dyDescent="0.3">
      <c r="A1269" s="31"/>
      <c r="B1269" s="32">
        <f>IF(A1269="","",DATE(YEAR(A1269),MONTH(A1269),1))</f>
      </c>
      <c r="C1269" s="11"/>
      <c r="D1269" s="11"/>
      <c r="E1269" s="16">
        <f>IF(OR(D1269="",C1269&lt;&gt;"Chi"),"",IFERROR(INDEX('Danh mục'!$B$39:$B$78,MATCH(D1269,'Danh mục'!$A$39:$A$78,0))&amp;"","?"))</f>
      </c>
      <c r="F1269" s="16">
        <f>IF(D1269="","",IF(C1269="Thu",IFERROR(INDEX('Danh mục'!$B$26:$B$35,MATCH(D1269,'Danh mục'!$A$26:$A$35,0))&amp;"","?"),IFERROR(INDEX('Danh mục'!$D$39:$D$78,MATCH(D1269,'Danh mục'!$A$39:$A$78,0))&amp;"","?")))</f>
      </c>
      <c r="G1269" s="16">
        <f>IF(OR(D1269="",C1269&lt;&gt;"Chi"),"",IFERROR(INDEX('Danh mục'!$C$39:$C$78,MATCH(D1269,'Danh mục'!$A$39:$A$78,0))&amp;"",""))</f>
      </c>
      <c r="H1269" s="11"/>
      <c r="I1269" s="20"/>
      <c r="J1269" s="11"/>
      <c r="K1269" s="11"/>
      <c r="L1269" s="11"/>
    </row>
    <row r="1270" spans="1:12" x14ac:dyDescent="0.3">
      <c r="A1270" s="31"/>
      <c r="B1270" s="32">
        <f>IF(A1270="","",DATE(YEAR(A1270),MONTH(A1270),1))</f>
      </c>
      <c r="C1270" s="11"/>
      <c r="D1270" s="11"/>
      <c r="E1270" s="16">
        <f>IF(OR(D1270="",C1270&lt;&gt;"Chi"),"",IFERROR(INDEX('Danh mục'!$B$39:$B$78,MATCH(D1270,'Danh mục'!$A$39:$A$78,0))&amp;"","?"))</f>
      </c>
      <c r="F1270" s="16">
        <f>IF(D1270="","",IF(C1270="Thu",IFERROR(INDEX('Danh mục'!$B$26:$B$35,MATCH(D1270,'Danh mục'!$A$26:$A$35,0))&amp;"","?"),IFERROR(INDEX('Danh mục'!$D$39:$D$78,MATCH(D1270,'Danh mục'!$A$39:$A$78,0))&amp;"","?")))</f>
      </c>
      <c r="G1270" s="16">
        <f>IF(OR(D1270="",C1270&lt;&gt;"Chi"),"",IFERROR(INDEX('Danh mục'!$C$39:$C$78,MATCH(D1270,'Danh mục'!$A$39:$A$78,0))&amp;"",""))</f>
      </c>
      <c r="H1270" s="11"/>
      <c r="I1270" s="20"/>
      <c r="J1270" s="11"/>
      <c r="K1270" s="11"/>
      <c r="L1270" s="11"/>
    </row>
    <row r="1271" spans="1:12" x14ac:dyDescent="0.3">
      <c r="A1271" s="31"/>
      <c r="B1271" s="32">
        <f>IF(A1271="","",DATE(YEAR(A1271),MONTH(A1271),1))</f>
      </c>
      <c r="C1271" s="11"/>
      <c r="D1271" s="11"/>
      <c r="E1271" s="16">
        <f>IF(OR(D1271="",C1271&lt;&gt;"Chi"),"",IFERROR(INDEX('Danh mục'!$B$39:$B$78,MATCH(D1271,'Danh mục'!$A$39:$A$78,0))&amp;"","?"))</f>
      </c>
      <c r="F1271" s="16">
        <f>IF(D1271="","",IF(C1271="Thu",IFERROR(INDEX('Danh mục'!$B$26:$B$35,MATCH(D1271,'Danh mục'!$A$26:$A$35,0))&amp;"","?"),IFERROR(INDEX('Danh mục'!$D$39:$D$78,MATCH(D1271,'Danh mục'!$A$39:$A$78,0))&amp;"","?")))</f>
      </c>
      <c r="G1271" s="16">
        <f>IF(OR(D1271="",C1271&lt;&gt;"Chi"),"",IFERROR(INDEX('Danh mục'!$C$39:$C$78,MATCH(D1271,'Danh mục'!$A$39:$A$78,0))&amp;"",""))</f>
      </c>
      <c r="H1271" s="11"/>
      <c r="I1271" s="20"/>
      <c r="J1271" s="11"/>
      <c r="K1271" s="11"/>
      <c r="L1271" s="11"/>
    </row>
    <row r="1272" spans="1:12" x14ac:dyDescent="0.3">
      <c r="A1272" s="31"/>
      <c r="B1272" s="32">
        <f>IF(A1272="","",DATE(YEAR(A1272),MONTH(A1272),1))</f>
      </c>
      <c r="C1272" s="11"/>
      <c r="D1272" s="11"/>
      <c r="E1272" s="16">
        <f>IF(OR(D1272="",C1272&lt;&gt;"Chi"),"",IFERROR(INDEX('Danh mục'!$B$39:$B$78,MATCH(D1272,'Danh mục'!$A$39:$A$78,0))&amp;"","?"))</f>
      </c>
      <c r="F1272" s="16">
        <f>IF(D1272="","",IF(C1272="Thu",IFERROR(INDEX('Danh mục'!$B$26:$B$35,MATCH(D1272,'Danh mục'!$A$26:$A$35,0))&amp;"","?"),IFERROR(INDEX('Danh mục'!$D$39:$D$78,MATCH(D1272,'Danh mục'!$A$39:$A$78,0))&amp;"","?")))</f>
      </c>
      <c r="G1272" s="16">
        <f>IF(OR(D1272="",C1272&lt;&gt;"Chi"),"",IFERROR(INDEX('Danh mục'!$C$39:$C$78,MATCH(D1272,'Danh mục'!$A$39:$A$78,0))&amp;"",""))</f>
      </c>
      <c r="H1272" s="11"/>
      <c r="I1272" s="20"/>
      <c r="J1272" s="11"/>
      <c r="K1272" s="11"/>
      <c r="L1272" s="11"/>
    </row>
    <row r="1273" spans="1:12" x14ac:dyDescent="0.3">
      <c r="A1273" s="31"/>
      <c r="B1273" s="32">
        <f>IF(A1273="","",DATE(YEAR(A1273),MONTH(A1273),1))</f>
      </c>
      <c r="C1273" s="11"/>
      <c r="D1273" s="11"/>
      <c r="E1273" s="16">
        <f>IF(OR(D1273="",C1273&lt;&gt;"Chi"),"",IFERROR(INDEX('Danh mục'!$B$39:$B$78,MATCH(D1273,'Danh mục'!$A$39:$A$78,0))&amp;"","?"))</f>
      </c>
      <c r="F1273" s="16">
        <f>IF(D1273="","",IF(C1273="Thu",IFERROR(INDEX('Danh mục'!$B$26:$B$35,MATCH(D1273,'Danh mục'!$A$26:$A$35,0))&amp;"","?"),IFERROR(INDEX('Danh mục'!$D$39:$D$78,MATCH(D1273,'Danh mục'!$A$39:$A$78,0))&amp;"","?")))</f>
      </c>
      <c r="G1273" s="16">
        <f>IF(OR(D1273="",C1273&lt;&gt;"Chi"),"",IFERROR(INDEX('Danh mục'!$C$39:$C$78,MATCH(D1273,'Danh mục'!$A$39:$A$78,0))&amp;"",""))</f>
      </c>
      <c r="H1273" s="11"/>
      <c r="I1273" s="20"/>
      <c r="J1273" s="11"/>
      <c r="K1273" s="11"/>
      <c r="L1273" s="11"/>
    </row>
    <row r="1274" spans="1:12" x14ac:dyDescent="0.3">
      <c r="A1274" s="31"/>
      <c r="B1274" s="32">
        <f>IF(A1274="","",DATE(YEAR(A1274),MONTH(A1274),1))</f>
      </c>
      <c r="C1274" s="11"/>
      <c r="D1274" s="11"/>
      <c r="E1274" s="16">
        <f>IF(OR(D1274="",C1274&lt;&gt;"Chi"),"",IFERROR(INDEX('Danh mục'!$B$39:$B$78,MATCH(D1274,'Danh mục'!$A$39:$A$78,0))&amp;"","?"))</f>
      </c>
      <c r="F1274" s="16">
        <f>IF(D1274="","",IF(C1274="Thu",IFERROR(INDEX('Danh mục'!$B$26:$B$35,MATCH(D1274,'Danh mục'!$A$26:$A$35,0))&amp;"","?"),IFERROR(INDEX('Danh mục'!$D$39:$D$78,MATCH(D1274,'Danh mục'!$A$39:$A$78,0))&amp;"","?")))</f>
      </c>
      <c r="G1274" s="16">
        <f>IF(OR(D1274="",C1274&lt;&gt;"Chi"),"",IFERROR(INDEX('Danh mục'!$C$39:$C$78,MATCH(D1274,'Danh mục'!$A$39:$A$78,0))&amp;"",""))</f>
      </c>
      <c r="H1274" s="11"/>
      <c r="I1274" s="20"/>
      <c r="J1274" s="11"/>
      <c r="K1274" s="11"/>
      <c r="L1274" s="11"/>
    </row>
    <row r="1275" spans="1:12" x14ac:dyDescent="0.3">
      <c r="A1275" s="31"/>
      <c r="B1275" s="32">
        <f>IF(A1275="","",DATE(YEAR(A1275),MONTH(A1275),1))</f>
      </c>
      <c r="C1275" s="11"/>
      <c r="D1275" s="11"/>
      <c r="E1275" s="16">
        <f>IF(OR(D1275="",C1275&lt;&gt;"Chi"),"",IFERROR(INDEX('Danh mục'!$B$39:$B$78,MATCH(D1275,'Danh mục'!$A$39:$A$78,0))&amp;"","?"))</f>
      </c>
      <c r="F1275" s="16">
        <f>IF(D1275="","",IF(C1275="Thu",IFERROR(INDEX('Danh mục'!$B$26:$B$35,MATCH(D1275,'Danh mục'!$A$26:$A$35,0))&amp;"","?"),IFERROR(INDEX('Danh mục'!$D$39:$D$78,MATCH(D1275,'Danh mục'!$A$39:$A$78,0))&amp;"","?")))</f>
      </c>
      <c r="G1275" s="16">
        <f>IF(OR(D1275="",C1275&lt;&gt;"Chi"),"",IFERROR(INDEX('Danh mục'!$C$39:$C$78,MATCH(D1275,'Danh mục'!$A$39:$A$78,0))&amp;"",""))</f>
      </c>
      <c r="H1275" s="11"/>
      <c r="I1275" s="20"/>
      <c r="J1275" s="11"/>
      <c r="K1275" s="11"/>
      <c r="L1275" s="11"/>
    </row>
    <row r="1276" spans="1:12" x14ac:dyDescent="0.3">
      <c r="A1276" s="31"/>
      <c r="B1276" s="32">
        <f>IF(A1276="","",DATE(YEAR(A1276),MONTH(A1276),1))</f>
      </c>
      <c r="C1276" s="11"/>
      <c r="D1276" s="11"/>
      <c r="E1276" s="16">
        <f>IF(OR(D1276="",C1276&lt;&gt;"Chi"),"",IFERROR(INDEX('Danh mục'!$B$39:$B$78,MATCH(D1276,'Danh mục'!$A$39:$A$78,0))&amp;"","?"))</f>
      </c>
      <c r="F1276" s="16">
        <f>IF(D1276="","",IF(C1276="Thu",IFERROR(INDEX('Danh mục'!$B$26:$B$35,MATCH(D1276,'Danh mục'!$A$26:$A$35,0))&amp;"","?"),IFERROR(INDEX('Danh mục'!$D$39:$D$78,MATCH(D1276,'Danh mục'!$A$39:$A$78,0))&amp;"","?")))</f>
      </c>
      <c r="G1276" s="16">
        <f>IF(OR(D1276="",C1276&lt;&gt;"Chi"),"",IFERROR(INDEX('Danh mục'!$C$39:$C$78,MATCH(D1276,'Danh mục'!$A$39:$A$78,0))&amp;"",""))</f>
      </c>
      <c r="H1276" s="11"/>
      <c r="I1276" s="20"/>
      <c r="J1276" s="11"/>
      <c r="K1276" s="11"/>
      <c r="L1276" s="11"/>
    </row>
    <row r="1277" spans="1:12" x14ac:dyDescent="0.3">
      <c r="A1277" s="31"/>
      <c r="B1277" s="32">
        <f>IF(A1277="","",DATE(YEAR(A1277),MONTH(A1277),1))</f>
      </c>
      <c r="C1277" s="11"/>
      <c r="D1277" s="11"/>
      <c r="E1277" s="16">
        <f>IF(OR(D1277="",C1277&lt;&gt;"Chi"),"",IFERROR(INDEX('Danh mục'!$B$39:$B$78,MATCH(D1277,'Danh mục'!$A$39:$A$78,0))&amp;"","?"))</f>
      </c>
      <c r="F1277" s="16">
        <f>IF(D1277="","",IF(C1277="Thu",IFERROR(INDEX('Danh mục'!$B$26:$B$35,MATCH(D1277,'Danh mục'!$A$26:$A$35,0))&amp;"","?"),IFERROR(INDEX('Danh mục'!$D$39:$D$78,MATCH(D1277,'Danh mục'!$A$39:$A$78,0))&amp;"","?")))</f>
      </c>
      <c r="G1277" s="16">
        <f>IF(OR(D1277="",C1277&lt;&gt;"Chi"),"",IFERROR(INDEX('Danh mục'!$C$39:$C$78,MATCH(D1277,'Danh mục'!$A$39:$A$78,0))&amp;"",""))</f>
      </c>
      <c r="H1277" s="11"/>
      <c r="I1277" s="20"/>
      <c r="J1277" s="11"/>
      <c r="K1277" s="11"/>
      <c r="L1277" s="11"/>
    </row>
    <row r="1278" spans="1:12" x14ac:dyDescent="0.3">
      <c r="A1278" s="31"/>
      <c r="B1278" s="32">
        <f>IF(A1278="","",DATE(YEAR(A1278),MONTH(A1278),1))</f>
      </c>
      <c r="C1278" s="11"/>
      <c r="D1278" s="11"/>
      <c r="E1278" s="16">
        <f>IF(OR(D1278="",C1278&lt;&gt;"Chi"),"",IFERROR(INDEX('Danh mục'!$B$39:$B$78,MATCH(D1278,'Danh mục'!$A$39:$A$78,0))&amp;"","?"))</f>
      </c>
      <c r="F1278" s="16">
        <f>IF(D1278="","",IF(C1278="Thu",IFERROR(INDEX('Danh mục'!$B$26:$B$35,MATCH(D1278,'Danh mục'!$A$26:$A$35,0))&amp;"","?"),IFERROR(INDEX('Danh mục'!$D$39:$D$78,MATCH(D1278,'Danh mục'!$A$39:$A$78,0))&amp;"","?")))</f>
      </c>
      <c r="G1278" s="16">
        <f>IF(OR(D1278="",C1278&lt;&gt;"Chi"),"",IFERROR(INDEX('Danh mục'!$C$39:$C$78,MATCH(D1278,'Danh mục'!$A$39:$A$78,0))&amp;"",""))</f>
      </c>
      <c r="H1278" s="11"/>
      <c r="I1278" s="20"/>
      <c r="J1278" s="11"/>
      <c r="K1278" s="11"/>
      <c r="L1278" s="11"/>
    </row>
    <row r="1279" spans="1:12" x14ac:dyDescent="0.3">
      <c r="A1279" s="31"/>
      <c r="B1279" s="32">
        <f>IF(A1279="","",DATE(YEAR(A1279),MONTH(A1279),1))</f>
      </c>
      <c r="C1279" s="11"/>
      <c r="D1279" s="11"/>
      <c r="E1279" s="16">
        <f>IF(OR(D1279="",C1279&lt;&gt;"Chi"),"",IFERROR(INDEX('Danh mục'!$B$39:$B$78,MATCH(D1279,'Danh mục'!$A$39:$A$78,0))&amp;"","?"))</f>
      </c>
      <c r="F1279" s="16">
        <f>IF(D1279="","",IF(C1279="Thu",IFERROR(INDEX('Danh mục'!$B$26:$B$35,MATCH(D1279,'Danh mục'!$A$26:$A$35,0))&amp;"","?"),IFERROR(INDEX('Danh mục'!$D$39:$D$78,MATCH(D1279,'Danh mục'!$A$39:$A$78,0))&amp;"","?")))</f>
      </c>
      <c r="G1279" s="16">
        <f>IF(OR(D1279="",C1279&lt;&gt;"Chi"),"",IFERROR(INDEX('Danh mục'!$C$39:$C$78,MATCH(D1279,'Danh mục'!$A$39:$A$78,0))&amp;"",""))</f>
      </c>
      <c r="H1279" s="11"/>
      <c r="I1279" s="20"/>
      <c r="J1279" s="11"/>
      <c r="K1279" s="11"/>
      <c r="L1279" s="11"/>
    </row>
    <row r="1280" spans="1:12" x14ac:dyDescent="0.3">
      <c r="A1280" s="31"/>
      <c r="B1280" s="32">
        <f>IF(A1280="","",DATE(YEAR(A1280),MONTH(A1280),1))</f>
      </c>
      <c r="C1280" s="11"/>
      <c r="D1280" s="11"/>
      <c r="E1280" s="16">
        <f>IF(OR(D1280="",C1280&lt;&gt;"Chi"),"",IFERROR(INDEX('Danh mục'!$B$39:$B$78,MATCH(D1280,'Danh mục'!$A$39:$A$78,0))&amp;"","?"))</f>
      </c>
      <c r="F1280" s="16">
        <f>IF(D1280="","",IF(C1280="Thu",IFERROR(INDEX('Danh mục'!$B$26:$B$35,MATCH(D1280,'Danh mục'!$A$26:$A$35,0))&amp;"","?"),IFERROR(INDEX('Danh mục'!$D$39:$D$78,MATCH(D1280,'Danh mục'!$A$39:$A$78,0))&amp;"","?")))</f>
      </c>
      <c r="G1280" s="16">
        <f>IF(OR(D1280="",C1280&lt;&gt;"Chi"),"",IFERROR(INDEX('Danh mục'!$C$39:$C$78,MATCH(D1280,'Danh mục'!$A$39:$A$78,0))&amp;"",""))</f>
      </c>
      <c r="H1280" s="11"/>
      <c r="I1280" s="20"/>
      <c r="J1280" s="11"/>
      <c r="K1280" s="11"/>
      <c r="L1280" s="11"/>
    </row>
    <row r="1281" spans="1:12" x14ac:dyDescent="0.3">
      <c r="A1281" s="31"/>
      <c r="B1281" s="32">
        <f>IF(A1281="","",DATE(YEAR(A1281),MONTH(A1281),1))</f>
      </c>
      <c r="C1281" s="11"/>
      <c r="D1281" s="11"/>
      <c r="E1281" s="16">
        <f>IF(OR(D1281="",C1281&lt;&gt;"Chi"),"",IFERROR(INDEX('Danh mục'!$B$39:$B$78,MATCH(D1281,'Danh mục'!$A$39:$A$78,0))&amp;"","?"))</f>
      </c>
      <c r="F1281" s="16">
        <f>IF(D1281="","",IF(C1281="Thu",IFERROR(INDEX('Danh mục'!$B$26:$B$35,MATCH(D1281,'Danh mục'!$A$26:$A$35,0))&amp;"","?"),IFERROR(INDEX('Danh mục'!$D$39:$D$78,MATCH(D1281,'Danh mục'!$A$39:$A$78,0))&amp;"","?")))</f>
      </c>
      <c r="G1281" s="16">
        <f>IF(OR(D1281="",C1281&lt;&gt;"Chi"),"",IFERROR(INDEX('Danh mục'!$C$39:$C$78,MATCH(D1281,'Danh mục'!$A$39:$A$78,0))&amp;"",""))</f>
      </c>
      <c r="H1281" s="11"/>
      <c r="I1281" s="20"/>
      <c r="J1281" s="11"/>
      <c r="K1281" s="11"/>
      <c r="L1281" s="11"/>
    </row>
    <row r="1282" spans="1:12" x14ac:dyDescent="0.3">
      <c r="A1282" s="31"/>
      <c r="B1282" s="32">
        <f>IF(A1282="","",DATE(YEAR(A1282),MONTH(A1282),1))</f>
      </c>
      <c r="C1282" s="11"/>
      <c r="D1282" s="11"/>
      <c r="E1282" s="16">
        <f>IF(OR(D1282="",C1282&lt;&gt;"Chi"),"",IFERROR(INDEX('Danh mục'!$B$39:$B$78,MATCH(D1282,'Danh mục'!$A$39:$A$78,0))&amp;"","?"))</f>
      </c>
      <c r="F1282" s="16">
        <f>IF(D1282="","",IF(C1282="Thu",IFERROR(INDEX('Danh mục'!$B$26:$B$35,MATCH(D1282,'Danh mục'!$A$26:$A$35,0))&amp;"","?"),IFERROR(INDEX('Danh mục'!$D$39:$D$78,MATCH(D1282,'Danh mục'!$A$39:$A$78,0))&amp;"","?")))</f>
      </c>
      <c r="G1282" s="16">
        <f>IF(OR(D1282="",C1282&lt;&gt;"Chi"),"",IFERROR(INDEX('Danh mục'!$C$39:$C$78,MATCH(D1282,'Danh mục'!$A$39:$A$78,0))&amp;"",""))</f>
      </c>
      <c r="H1282" s="11"/>
      <c r="I1282" s="20"/>
      <c r="J1282" s="11"/>
      <c r="K1282" s="11"/>
      <c r="L1282" s="11"/>
    </row>
    <row r="1283" spans="1:12" x14ac:dyDescent="0.3">
      <c r="A1283" s="31"/>
      <c r="B1283" s="32">
        <f>IF(A1283="","",DATE(YEAR(A1283),MONTH(A1283),1))</f>
      </c>
      <c r="C1283" s="11"/>
      <c r="D1283" s="11"/>
      <c r="E1283" s="16">
        <f>IF(OR(D1283="",C1283&lt;&gt;"Chi"),"",IFERROR(INDEX('Danh mục'!$B$39:$B$78,MATCH(D1283,'Danh mục'!$A$39:$A$78,0))&amp;"","?"))</f>
      </c>
      <c r="F1283" s="16">
        <f>IF(D1283="","",IF(C1283="Thu",IFERROR(INDEX('Danh mục'!$B$26:$B$35,MATCH(D1283,'Danh mục'!$A$26:$A$35,0))&amp;"","?"),IFERROR(INDEX('Danh mục'!$D$39:$D$78,MATCH(D1283,'Danh mục'!$A$39:$A$78,0))&amp;"","?")))</f>
      </c>
      <c r="G1283" s="16">
        <f>IF(OR(D1283="",C1283&lt;&gt;"Chi"),"",IFERROR(INDEX('Danh mục'!$C$39:$C$78,MATCH(D1283,'Danh mục'!$A$39:$A$78,0))&amp;"",""))</f>
      </c>
      <c r="H1283" s="11"/>
      <c r="I1283" s="20"/>
      <c r="J1283" s="11"/>
      <c r="K1283" s="11"/>
      <c r="L1283" s="11"/>
    </row>
    <row r="1284" spans="1:12" x14ac:dyDescent="0.3">
      <c r="A1284" s="31"/>
      <c r="B1284" s="32">
        <f>IF(A1284="","",DATE(YEAR(A1284),MONTH(A1284),1))</f>
      </c>
      <c r="C1284" s="11"/>
      <c r="D1284" s="11"/>
      <c r="E1284" s="16">
        <f>IF(OR(D1284="",C1284&lt;&gt;"Chi"),"",IFERROR(INDEX('Danh mục'!$B$39:$B$78,MATCH(D1284,'Danh mục'!$A$39:$A$78,0))&amp;"","?"))</f>
      </c>
      <c r="F1284" s="16">
        <f>IF(D1284="","",IF(C1284="Thu",IFERROR(INDEX('Danh mục'!$B$26:$B$35,MATCH(D1284,'Danh mục'!$A$26:$A$35,0))&amp;"","?"),IFERROR(INDEX('Danh mục'!$D$39:$D$78,MATCH(D1284,'Danh mục'!$A$39:$A$78,0))&amp;"","?")))</f>
      </c>
      <c r="G1284" s="16">
        <f>IF(OR(D1284="",C1284&lt;&gt;"Chi"),"",IFERROR(INDEX('Danh mục'!$C$39:$C$78,MATCH(D1284,'Danh mục'!$A$39:$A$78,0))&amp;"",""))</f>
      </c>
      <c r="H1284" s="11"/>
      <c r="I1284" s="20"/>
      <c r="J1284" s="11"/>
      <c r="K1284" s="11"/>
      <c r="L1284" s="11"/>
    </row>
    <row r="1285" spans="1:12" x14ac:dyDescent="0.3">
      <c r="A1285" s="31"/>
      <c r="B1285" s="32">
        <f>IF(A1285="","",DATE(YEAR(A1285),MONTH(A1285),1))</f>
      </c>
      <c r="C1285" s="11"/>
      <c r="D1285" s="11"/>
      <c r="E1285" s="16">
        <f>IF(OR(D1285="",C1285&lt;&gt;"Chi"),"",IFERROR(INDEX('Danh mục'!$B$39:$B$78,MATCH(D1285,'Danh mục'!$A$39:$A$78,0))&amp;"","?"))</f>
      </c>
      <c r="F1285" s="16">
        <f>IF(D1285="","",IF(C1285="Thu",IFERROR(INDEX('Danh mục'!$B$26:$B$35,MATCH(D1285,'Danh mục'!$A$26:$A$35,0))&amp;"","?"),IFERROR(INDEX('Danh mục'!$D$39:$D$78,MATCH(D1285,'Danh mục'!$A$39:$A$78,0))&amp;"","?")))</f>
      </c>
      <c r="G1285" s="16">
        <f>IF(OR(D1285="",C1285&lt;&gt;"Chi"),"",IFERROR(INDEX('Danh mục'!$C$39:$C$78,MATCH(D1285,'Danh mục'!$A$39:$A$78,0))&amp;"",""))</f>
      </c>
      <c r="H1285" s="11"/>
      <c r="I1285" s="20"/>
      <c r="J1285" s="11"/>
      <c r="K1285" s="11"/>
      <c r="L1285" s="11"/>
    </row>
    <row r="1286" spans="1:12" x14ac:dyDescent="0.3">
      <c r="A1286" s="31"/>
      <c r="B1286" s="32">
        <f>IF(A1286="","",DATE(YEAR(A1286),MONTH(A1286),1))</f>
      </c>
      <c r="C1286" s="11"/>
      <c r="D1286" s="11"/>
      <c r="E1286" s="16">
        <f>IF(OR(D1286="",C1286&lt;&gt;"Chi"),"",IFERROR(INDEX('Danh mục'!$B$39:$B$78,MATCH(D1286,'Danh mục'!$A$39:$A$78,0))&amp;"","?"))</f>
      </c>
      <c r="F1286" s="16">
        <f>IF(D1286="","",IF(C1286="Thu",IFERROR(INDEX('Danh mục'!$B$26:$B$35,MATCH(D1286,'Danh mục'!$A$26:$A$35,0))&amp;"","?"),IFERROR(INDEX('Danh mục'!$D$39:$D$78,MATCH(D1286,'Danh mục'!$A$39:$A$78,0))&amp;"","?")))</f>
      </c>
      <c r="G1286" s="16">
        <f>IF(OR(D1286="",C1286&lt;&gt;"Chi"),"",IFERROR(INDEX('Danh mục'!$C$39:$C$78,MATCH(D1286,'Danh mục'!$A$39:$A$78,0))&amp;"",""))</f>
      </c>
      <c r="H1286" s="11"/>
      <c r="I1286" s="20"/>
      <c r="J1286" s="11"/>
      <c r="K1286" s="11"/>
      <c r="L1286" s="11"/>
    </row>
    <row r="1287" spans="1:12" x14ac:dyDescent="0.3">
      <c r="A1287" s="31"/>
      <c r="B1287" s="32">
        <f>IF(A1287="","",DATE(YEAR(A1287),MONTH(A1287),1))</f>
      </c>
      <c r="C1287" s="11"/>
      <c r="D1287" s="11"/>
      <c r="E1287" s="16">
        <f>IF(OR(D1287="",C1287&lt;&gt;"Chi"),"",IFERROR(INDEX('Danh mục'!$B$39:$B$78,MATCH(D1287,'Danh mục'!$A$39:$A$78,0))&amp;"","?"))</f>
      </c>
      <c r="F1287" s="16">
        <f>IF(D1287="","",IF(C1287="Thu",IFERROR(INDEX('Danh mục'!$B$26:$B$35,MATCH(D1287,'Danh mục'!$A$26:$A$35,0))&amp;"","?"),IFERROR(INDEX('Danh mục'!$D$39:$D$78,MATCH(D1287,'Danh mục'!$A$39:$A$78,0))&amp;"","?")))</f>
      </c>
      <c r="G1287" s="16">
        <f>IF(OR(D1287="",C1287&lt;&gt;"Chi"),"",IFERROR(INDEX('Danh mục'!$C$39:$C$78,MATCH(D1287,'Danh mục'!$A$39:$A$78,0))&amp;"",""))</f>
      </c>
      <c r="H1287" s="11"/>
      <c r="I1287" s="20"/>
      <c r="J1287" s="11"/>
      <c r="K1287" s="11"/>
      <c r="L1287" s="11"/>
    </row>
    <row r="1288" spans="1:12" x14ac:dyDescent="0.3">
      <c r="A1288" s="31"/>
      <c r="B1288" s="32">
        <f>IF(A1288="","",DATE(YEAR(A1288),MONTH(A1288),1))</f>
      </c>
      <c r="C1288" s="11"/>
      <c r="D1288" s="11"/>
      <c r="E1288" s="16">
        <f>IF(OR(D1288="",C1288&lt;&gt;"Chi"),"",IFERROR(INDEX('Danh mục'!$B$39:$B$78,MATCH(D1288,'Danh mục'!$A$39:$A$78,0))&amp;"","?"))</f>
      </c>
      <c r="F1288" s="16">
        <f>IF(D1288="","",IF(C1288="Thu",IFERROR(INDEX('Danh mục'!$B$26:$B$35,MATCH(D1288,'Danh mục'!$A$26:$A$35,0))&amp;"","?"),IFERROR(INDEX('Danh mục'!$D$39:$D$78,MATCH(D1288,'Danh mục'!$A$39:$A$78,0))&amp;"","?")))</f>
      </c>
      <c r="G1288" s="16">
        <f>IF(OR(D1288="",C1288&lt;&gt;"Chi"),"",IFERROR(INDEX('Danh mục'!$C$39:$C$78,MATCH(D1288,'Danh mục'!$A$39:$A$78,0))&amp;"",""))</f>
      </c>
      <c r="H1288" s="11"/>
      <c r="I1288" s="20"/>
      <c r="J1288" s="11"/>
      <c r="K1288" s="11"/>
      <c r="L1288" s="11"/>
    </row>
    <row r="1289" spans="1:12" x14ac:dyDescent="0.3">
      <c r="A1289" s="31"/>
      <c r="B1289" s="32">
        <f>IF(A1289="","",DATE(YEAR(A1289),MONTH(A1289),1))</f>
      </c>
      <c r="C1289" s="11"/>
      <c r="D1289" s="11"/>
      <c r="E1289" s="16">
        <f>IF(OR(D1289="",C1289&lt;&gt;"Chi"),"",IFERROR(INDEX('Danh mục'!$B$39:$B$78,MATCH(D1289,'Danh mục'!$A$39:$A$78,0))&amp;"","?"))</f>
      </c>
      <c r="F1289" s="16">
        <f>IF(D1289="","",IF(C1289="Thu",IFERROR(INDEX('Danh mục'!$B$26:$B$35,MATCH(D1289,'Danh mục'!$A$26:$A$35,0))&amp;"","?"),IFERROR(INDEX('Danh mục'!$D$39:$D$78,MATCH(D1289,'Danh mục'!$A$39:$A$78,0))&amp;"","?")))</f>
      </c>
      <c r="G1289" s="16">
        <f>IF(OR(D1289="",C1289&lt;&gt;"Chi"),"",IFERROR(INDEX('Danh mục'!$C$39:$C$78,MATCH(D1289,'Danh mục'!$A$39:$A$78,0))&amp;"",""))</f>
      </c>
      <c r="H1289" s="11"/>
      <c r="I1289" s="20"/>
      <c r="J1289" s="11"/>
      <c r="K1289" s="11"/>
      <c r="L1289" s="11"/>
    </row>
    <row r="1290" spans="1:12" x14ac:dyDescent="0.3">
      <c r="A1290" s="31"/>
      <c r="B1290" s="32">
        <f>IF(A1290="","",DATE(YEAR(A1290),MONTH(A1290),1))</f>
      </c>
      <c r="C1290" s="11"/>
      <c r="D1290" s="11"/>
      <c r="E1290" s="16">
        <f>IF(OR(D1290="",C1290&lt;&gt;"Chi"),"",IFERROR(INDEX('Danh mục'!$B$39:$B$78,MATCH(D1290,'Danh mục'!$A$39:$A$78,0))&amp;"","?"))</f>
      </c>
      <c r="F1290" s="16">
        <f>IF(D1290="","",IF(C1290="Thu",IFERROR(INDEX('Danh mục'!$B$26:$B$35,MATCH(D1290,'Danh mục'!$A$26:$A$35,0))&amp;"","?"),IFERROR(INDEX('Danh mục'!$D$39:$D$78,MATCH(D1290,'Danh mục'!$A$39:$A$78,0))&amp;"","?")))</f>
      </c>
      <c r="G1290" s="16">
        <f>IF(OR(D1290="",C1290&lt;&gt;"Chi"),"",IFERROR(INDEX('Danh mục'!$C$39:$C$78,MATCH(D1290,'Danh mục'!$A$39:$A$78,0))&amp;"",""))</f>
      </c>
      <c r="H1290" s="11"/>
      <c r="I1290" s="20"/>
      <c r="J1290" s="11"/>
      <c r="K1290" s="11"/>
      <c r="L1290" s="11"/>
    </row>
    <row r="1291" spans="1:12" x14ac:dyDescent="0.3">
      <c r="A1291" s="31"/>
      <c r="B1291" s="32">
        <f>IF(A1291="","",DATE(YEAR(A1291),MONTH(A1291),1))</f>
      </c>
      <c r="C1291" s="11"/>
      <c r="D1291" s="11"/>
      <c r="E1291" s="16">
        <f>IF(OR(D1291="",C1291&lt;&gt;"Chi"),"",IFERROR(INDEX('Danh mục'!$B$39:$B$78,MATCH(D1291,'Danh mục'!$A$39:$A$78,0))&amp;"","?"))</f>
      </c>
      <c r="F1291" s="16">
        <f>IF(D1291="","",IF(C1291="Thu",IFERROR(INDEX('Danh mục'!$B$26:$B$35,MATCH(D1291,'Danh mục'!$A$26:$A$35,0))&amp;"","?"),IFERROR(INDEX('Danh mục'!$D$39:$D$78,MATCH(D1291,'Danh mục'!$A$39:$A$78,0))&amp;"","?")))</f>
      </c>
      <c r="G1291" s="16">
        <f>IF(OR(D1291="",C1291&lt;&gt;"Chi"),"",IFERROR(INDEX('Danh mục'!$C$39:$C$78,MATCH(D1291,'Danh mục'!$A$39:$A$78,0))&amp;"",""))</f>
      </c>
      <c r="H1291" s="11"/>
      <c r="I1291" s="20"/>
      <c r="J1291" s="11"/>
      <c r="K1291" s="11"/>
      <c r="L1291" s="11"/>
    </row>
    <row r="1292" spans="1:12" x14ac:dyDescent="0.3">
      <c r="A1292" s="31"/>
      <c r="B1292" s="32">
        <f>IF(A1292="","",DATE(YEAR(A1292),MONTH(A1292),1))</f>
      </c>
      <c r="C1292" s="11"/>
      <c r="D1292" s="11"/>
      <c r="E1292" s="16">
        <f>IF(OR(D1292="",C1292&lt;&gt;"Chi"),"",IFERROR(INDEX('Danh mục'!$B$39:$B$78,MATCH(D1292,'Danh mục'!$A$39:$A$78,0))&amp;"","?"))</f>
      </c>
      <c r="F1292" s="16">
        <f>IF(D1292="","",IF(C1292="Thu",IFERROR(INDEX('Danh mục'!$B$26:$B$35,MATCH(D1292,'Danh mục'!$A$26:$A$35,0))&amp;"","?"),IFERROR(INDEX('Danh mục'!$D$39:$D$78,MATCH(D1292,'Danh mục'!$A$39:$A$78,0))&amp;"","?")))</f>
      </c>
      <c r="G1292" s="16">
        <f>IF(OR(D1292="",C1292&lt;&gt;"Chi"),"",IFERROR(INDEX('Danh mục'!$C$39:$C$78,MATCH(D1292,'Danh mục'!$A$39:$A$78,0))&amp;"",""))</f>
      </c>
      <c r="H1292" s="11"/>
      <c r="I1292" s="20"/>
      <c r="J1292" s="11"/>
      <c r="K1292" s="11"/>
      <c r="L1292" s="11"/>
    </row>
    <row r="1293" spans="1:12" x14ac:dyDescent="0.3">
      <c r="A1293" s="31"/>
      <c r="B1293" s="32">
        <f>IF(A1293="","",DATE(YEAR(A1293),MONTH(A1293),1))</f>
      </c>
      <c r="C1293" s="11"/>
      <c r="D1293" s="11"/>
      <c r="E1293" s="16">
        <f>IF(OR(D1293="",C1293&lt;&gt;"Chi"),"",IFERROR(INDEX('Danh mục'!$B$39:$B$78,MATCH(D1293,'Danh mục'!$A$39:$A$78,0))&amp;"","?"))</f>
      </c>
      <c r="F1293" s="16">
        <f>IF(D1293="","",IF(C1293="Thu",IFERROR(INDEX('Danh mục'!$B$26:$B$35,MATCH(D1293,'Danh mục'!$A$26:$A$35,0))&amp;"","?"),IFERROR(INDEX('Danh mục'!$D$39:$D$78,MATCH(D1293,'Danh mục'!$A$39:$A$78,0))&amp;"","?")))</f>
      </c>
      <c r="G1293" s="16">
        <f>IF(OR(D1293="",C1293&lt;&gt;"Chi"),"",IFERROR(INDEX('Danh mục'!$C$39:$C$78,MATCH(D1293,'Danh mục'!$A$39:$A$78,0))&amp;"",""))</f>
      </c>
      <c r="H1293" s="11"/>
      <c r="I1293" s="20"/>
      <c r="J1293" s="11"/>
      <c r="K1293" s="11"/>
      <c r="L1293" s="11"/>
    </row>
    <row r="1294" spans="1:12" x14ac:dyDescent="0.3">
      <c r="A1294" s="31"/>
      <c r="B1294" s="32">
        <f>IF(A1294="","",DATE(YEAR(A1294),MONTH(A1294),1))</f>
      </c>
      <c r="C1294" s="11"/>
      <c r="D1294" s="11"/>
      <c r="E1294" s="16">
        <f>IF(OR(D1294="",C1294&lt;&gt;"Chi"),"",IFERROR(INDEX('Danh mục'!$B$39:$B$78,MATCH(D1294,'Danh mục'!$A$39:$A$78,0))&amp;"","?"))</f>
      </c>
      <c r="F1294" s="16">
        <f>IF(D1294="","",IF(C1294="Thu",IFERROR(INDEX('Danh mục'!$B$26:$B$35,MATCH(D1294,'Danh mục'!$A$26:$A$35,0))&amp;"","?"),IFERROR(INDEX('Danh mục'!$D$39:$D$78,MATCH(D1294,'Danh mục'!$A$39:$A$78,0))&amp;"","?")))</f>
      </c>
      <c r="G1294" s="16">
        <f>IF(OR(D1294="",C1294&lt;&gt;"Chi"),"",IFERROR(INDEX('Danh mục'!$C$39:$C$78,MATCH(D1294,'Danh mục'!$A$39:$A$78,0))&amp;"",""))</f>
      </c>
      <c r="H1294" s="11"/>
      <c r="I1294" s="20"/>
      <c r="J1294" s="11"/>
      <c r="K1294" s="11"/>
      <c r="L1294" s="11"/>
    </row>
    <row r="1295" spans="1:12" x14ac:dyDescent="0.3">
      <c r="A1295" s="31"/>
      <c r="B1295" s="32">
        <f>IF(A1295="","",DATE(YEAR(A1295),MONTH(A1295),1))</f>
      </c>
      <c r="C1295" s="11"/>
      <c r="D1295" s="11"/>
      <c r="E1295" s="16">
        <f>IF(OR(D1295="",C1295&lt;&gt;"Chi"),"",IFERROR(INDEX('Danh mục'!$B$39:$B$78,MATCH(D1295,'Danh mục'!$A$39:$A$78,0))&amp;"","?"))</f>
      </c>
      <c r="F1295" s="16">
        <f>IF(D1295="","",IF(C1295="Thu",IFERROR(INDEX('Danh mục'!$B$26:$B$35,MATCH(D1295,'Danh mục'!$A$26:$A$35,0))&amp;"","?"),IFERROR(INDEX('Danh mục'!$D$39:$D$78,MATCH(D1295,'Danh mục'!$A$39:$A$78,0))&amp;"","?")))</f>
      </c>
      <c r="G1295" s="16">
        <f>IF(OR(D1295="",C1295&lt;&gt;"Chi"),"",IFERROR(INDEX('Danh mục'!$C$39:$C$78,MATCH(D1295,'Danh mục'!$A$39:$A$78,0))&amp;"",""))</f>
      </c>
      <c r="H1295" s="11"/>
      <c r="I1295" s="20"/>
      <c r="J1295" s="11"/>
      <c r="K1295" s="11"/>
      <c r="L1295" s="11"/>
    </row>
    <row r="1296" spans="1:12" x14ac:dyDescent="0.3">
      <c r="A1296" s="31"/>
      <c r="B1296" s="32">
        <f>IF(A1296="","",DATE(YEAR(A1296),MONTH(A1296),1))</f>
      </c>
      <c r="C1296" s="11"/>
      <c r="D1296" s="11"/>
      <c r="E1296" s="16">
        <f>IF(OR(D1296="",C1296&lt;&gt;"Chi"),"",IFERROR(INDEX('Danh mục'!$B$39:$B$78,MATCH(D1296,'Danh mục'!$A$39:$A$78,0))&amp;"","?"))</f>
      </c>
      <c r="F1296" s="16">
        <f>IF(D1296="","",IF(C1296="Thu",IFERROR(INDEX('Danh mục'!$B$26:$B$35,MATCH(D1296,'Danh mục'!$A$26:$A$35,0))&amp;"","?"),IFERROR(INDEX('Danh mục'!$D$39:$D$78,MATCH(D1296,'Danh mục'!$A$39:$A$78,0))&amp;"","?")))</f>
      </c>
      <c r="G1296" s="16">
        <f>IF(OR(D1296="",C1296&lt;&gt;"Chi"),"",IFERROR(INDEX('Danh mục'!$C$39:$C$78,MATCH(D1296,'Danh mục'!$A$39:$A$78,0))&amp;"",""))</f>
      </c>
      <c r="H1296" s="11"/>
      <c r="I1296" s="20"/>
      <c r="J1296" s="11"/>
      <c r="K1296" s="11"/>
      <c r="L1296" s="11"/>
    </row>
    <row r="1297" spans="1:12" x14ac:dyDescent="0.3">
      <c r="A1297" s="31"/>
      <c r="B1297" s="32">
        <f>IF(A1297="","",DATE(YEAR(A1297),MONTH(A1297),1))</f>
      </c>
      <c r="C1297" s="11"/>
      <c r="D1297" s="11"/>
      <c r="E1297" s="16">
        <f>IF(OR(D1297="",C1297&lt;&gt;"Chi"),"",IFERROR(INDEX('Danh mục'!$B$39:$B$78,MATCH(D1297,'Danh mục'!$A$39:$A$78,0))&amp;"","?"))</f>
      </c>
      <c r="F1297" s="16">
        <f>IF(D1297="","",IF(C1297="Thu",IFERROR(INDEX('Danh mục'!$B$26:$B$35,MATCH(D1297,'Danh mục'!$A$26:$A$35,0))&amp;"","?"),IFERROR(INDEX('Danh mục'!$D$39:$D$78,MATCH(D1297,'Danh mục'!$A$39:$A$78,0))&amp;"","?")))</f>
      </c>
      <c r="G1297" s="16">
        <f>IF(OR(D1297="",C1297&lt;&gt;"Chi"),"",IFERROR(INDEX('Danh mục'!$C$39:$C$78,MATCH(D1297,'Danh mục'!$A$39:$A$78,0))&amp;"",""))</f>
      </c>
      <c r="H1297" s="11"/>
      <c r="I1297" s="20"/>
      <c r="J1297" s="11"/>
      <c r="K1297" s="11"/>
      <c r="L1297" s="11"/>
    </row>
    <row r="1298" spans="1:12" x14ac:dyDescent="0.3">
      <c r="A1298" s="31"/>
      <c r="B1298" s="32">
        <f>IF(A1298="","",DATE(YEAR(A1298),MONTH(A1298),1))</f>
      </c>
      <c r="C1298" s="11"/>
      <c r="D1298" s="11"/>
      <c r="E1298" s="16">
        <f>IF(OR(D1298="",C1298&lt;&gt;"Chi"),"",IFERROR(INDEX('Danh mục'!$B$39:$B$78,MATCH(D1298,'Danh mục'!$A$39:$A$78,0))&amp;"","?"))</f>
      </c>
      <c r="F1298" s="16">
        <f>IF(D1298="","",IF(C1298="Thu",IFERROR(INDEX('Danh mục'!$B$26:$B$35,MATCH(D1298,'Danh mục'!$A$26:$A$35,0))&amp;"","?"),IFERROR(INDEX('Danh mục'!$D$39:$D$78,MATCH(D1298,'Danh mục'!$A$39:$A$78,0))&amp;"","?")))</f>
      </c>
      <c r="G1298" s="16">
        <f>IF(OR(D1298="",C1298&lt;&gt;"Chi"),"",IFERROR(INDEX('Danh mục'!$C$39:$C$78,MATCH(D1298,'Danh mục'!$A$39:$A$78,0))&amp;"",""))</f>
      </c>
      <c r="H1298" s="11"/>
      <c r="I1298" s="20"/>
      <c r="J1298" s="11"/>
      <c r="K1298" s="11"/>
      <c r="L1298" s="11"/>
    </row>
    <row r="1299" spans="1:12" x14ac:dyDescent="0.3">
      <c r="A1299" s="31"/>
      <c r="B1299" s="32">
        <f>IF(A1299="","",DATE(YEAR(A1299),MONTH(A1299),1))</f>
      </c>
      <c r="C1299" s="11"/>
      <c r="D1299" s="11"/>
      <c r="E1299" s="16">
        <f>IF(OR(D1299="",C1299&lt;&gt;"Chi"),"",IFERROR(INDEX('Danh mục'!$B$39:$B$78,MATCH(D1299,'Danh mục'!$A$39:$A$78,0))&amp;"","?"))</f>
      </c>
      <c r="F1299" s="16">
        <f>IF(D1299="","",IF(C1299="Thu",IFERROR(INDEX('Danh mục'!$B$26:$B$35,MATCH(D1299,'Danh mục'!$A$26:$A$35,0))&amp;"","?"),IFERROR(INDEX('Danh mục'!$D$39:$D$78,MATCH(D1299,'Danh mục'!$A$39:$A$78,0))&amp;"","?")))</f>
      </c>
      <c r="G1299" s="16">
        <f>IF(OR(D1299="",C1299&lt;&gt;"Chi"),"",IFERROR(INDEX('Danh mục'!$C$39:$C$78,MATCH(D1299,'Danh mục'!$A$39:$A$78,0))&amp;"",""))</f>
      </c>
      <c r="H1299" s="11"/>
      <c r="I1299" s="20"/>
      <c r="J1299" s="11"/>
      <c r="K1299" s="11"/>
      <c r="L1299" s="11"/>
    </row>
    <row r="1300" spans="1:12" x14ac:dyDescent="0.3">
      <c r="A1300" s="31"/>
      <c r="B1300" s="32">
        <f>IF(A1300="","",DATE(YEAR(A1300),MONTH(A1300),1))</f>
      </c>
      <c r="C1300" s="11"/>
      <c r="D1300" s="11"/>
      <c r="E1300" s="16">
        <f>IF(OR(D1300="",C1300&lt;&gt;"Chi"),"",IFERROR(INDEX('Danh mục'!$B$39:$B$78,MATCH(D1300,'Danh mục'!$A$39:$A$78,0))&amp;"","?"))</f>
      </c>
      <c r="F1300" s="16">
        <f>IF(D1300="","",IF(C1300="Thu",IFERROR(INDEX('Danh mục'!$B$26:$B$35,MATCH(D1300,'Danh mục'!$A$26:$A$35,0))&amp;"","?"),IFERROR(INDEX('Danh mục'!$D$39:$D$78,MATCH(D1300,'Danh mục'!$A$39:$A$78,0))&amp;"","?")))</f>
      </c>
      <c r="G1300" s="16">
        <f>IF(OR(D1300="",C1300&lt;&gt;"Chi"),"",IFERROR(INDEX('Danh mục'!$C$39:$C$78,MATCH(D1300,'Danh mục'!$A$39:$A$78,0))&amp;"",""))</f>
      </c>
      <c r="H1300" s="11"/>
      <c r="I1300" s="20"/>
      <c r="J1300" s="11"/>
      <c r="K1300" s="11"/>
      <c r="L1300" s="11"/>
    </row>
    <row r="1301" spans="1:12" x14ac:dyDescent="0.3">
      <c r="A1301" s="31"/>
      <c r="B1301" s="32">
        <f>IF(A1301="","",DATE(YEAR(A1301),MONTH(A1301),1))</f>
      </c>
      <c r="C1301" s="11"/>
      <c r="D1301" s="11"/>
      <c r="E1301" s="16">
        <f>IF(OR(D1301="",C1301&lt;&gt;"Chi"),"",IFERROR(INDEX('Danh mục'!$B$39:$B$78,MATCH(D1301,'Danh mục'!$A$39:$A$78,0))&amp;"","?"))</f>
      </c>
      <c r="F1301" s="16">
        <f>IF(D1301="","",IF(C1301="Thu",IFERROR(INDEX('Danh mục'!$B$26:$B$35,MATCH(D1301,'Danh mục'!$A$26:$A$35,0))&amp;"","?"),IFERROR(INDEX('Danh mục'!$D$39:$D$78,MATCH(D1301,'Danh mục'!$A$39:$A$78,0))&amp;"","?")))</f>
      </c>
      <c r="G1301" s="16">
        <f>IF(OR(D1301="",C1301&lt;&gt;"Chi"),"",IFERROR(INDEX('Danh mục'!$C$39:$C$78,MATCH(D1301,'Danh mục'!$A$39:$A$78,0))&amp;"",""))</f>
      </c>
      <c r="H1301" s="11"/>
      <c r="I1301" s="20"/>
      <c r="J1301" s="11"/>
      <c r="K1301" s="11"/>
      <c r="L1301" s="11"/>
    </row>
    <row r="1302" spans="1:12" x14ac:dyDescent="0.3">
      <c r="A1302" s="31"/>
      <c r="B1302" s="32">
        <f>IF(A1302="","",DATE(YEAR(A1302),MONTH(A1302),1))</f>
      </c>
      <c r="C1302" s="11"/>
      <c r="D1302" s="11"/>
      <c r="E1302" s="16">
        <f>IF(OR(D1302="",C1302&lt;&gt;"Chi"),"",IFERROR(INDEX('Danh mục'!$B$39:$B$78,MATCH(D1302,'Danh mục'!$A$39:$A$78,0))&amp;"","?"))</f>
      </c>
      <c r="F1302" s="16">
        <f>IF(D1302="","",IF(C1302="Thu",IFERROR(INDEX('Danh mục'!$B$26:$B$35,MATCH(D1302,'Danh mục'!$A$26:$A$35,0))&amp;"","?"),IFERROR(INDEX('Danh mục'!$D$39:$D$78,MATCH(D1302,'Danh mục'!$A$39:$A$78,0))&amp;"","?")))</f>
      </c>
      <c r="G1302" s="16">
        <f>IF(OR(D1302="",C1302&lt;&gt;"Chi"),"",IFERROR(INDEX('Danh mục'!$C$39:$C$78,MATCH(D1302,'Danh mục'!$A$39:$A$78,0))&amp;"",""))</f>
      </c>
      <c r="H1302" s="11"/>
      <c r="I1302" s="20"/>
      <c r="J1302" s="11"/>
      <c r="K1302" s="11"/>
      <c r="L1302" s="11"/>
    </row>
    <row r="1303" spans="1:12" x14ac:dyDescent="0.3">
      <c r="A1303" s="31"/>
      <c r="B1303" s="32">
        <f>IF(A1303="","",DATE(YEAR(A1303),MONTH(A1303),1))</f>
      </c>
      <c r="C1303" s="11"/>
      <c r="D1303" s="11"/>
      <c r="E1303" s="16">
        <f>IF(OR(D1303="",C1303&lt;&gt;"Chi"),"",IFERROR(INDEX('Danh mục'!$B$39:$B$78,MATCH(D1303,'Danh mục'!$A$39:$A$78,0))&amp;"","?"))</f>
      </c>
      <c r="F1303" s="16">
        <f>IF(D1303="","",IF(C1303="Thu",IFERROR(INDEX('Danh mục'!$B$26:$B$35,MATCH(D1303,'Danh mục'!$A$26:$A$35,0))&amp;"","?"),IFERROR(INDEX('Danh mục'!$D$39:$D$78,MATCH(D1303,'Danh mục'!$A$39:$A$78,0))&amp;"","?")))</f>
      </c>
      <c r="G1303" s="16">
        <f>IF(OR(D1303="",C1303&lt;&gt;"Chi"),"",IFERROR(INDEX('Danh mục'!$C$39:$C$78,MATCH(D1303,'Danh mục'!$A$39:$A$78,0))&amp;"",""))</f>
      </c>
      <c r="H1303" s="11"/>
      <c r="I1303" s="20"/>
      <c r="J1303" s="11"/>
      <c r="K1303" s="11"/>
      <c r="L1303" s="11"/>
    </row>
    <row r="1304" spans="1:12" x14ac:dyDescent="0.3">
      <c r="A1304" s="31"/>
      <c r="B1304" s="32">
        <f>IF(A1304="","",DATE(YEAR(A1304),MONTH(A1304),1))</f>
      </c>
      <c r="C1304" s="11"/>
      <c r="D1304" s="11"/>
      <c r="E1304" s="16">
        <f>IF(OR(D1304="",C1304&lt;&gt;"Chi"),"",IFERROR(INDEX('Danh mục'!$B$39:$B$78,MATCH(D1304,'Danh mục'!$A$39:$A$78,0))&amp;"","?"))</f>
      </c>
      <c r="F1304" s="16">
        <f>IF(D1304="","",IF(C1304="Thu",IFERROR(INDEX('Danh mục'!$B$26:$B$35,MATCH(D1304,'Danh mục'!$A$26:$A$35,0))&amp;"","?"),IFERROR(INDEX('Danh mục'!$D$39:$D$78,MATCH(D1304,'Danh mục'!$A$39:$A$78,0))&amp;"","?")))</f>
      </c>
      <c r="G1304" s="16">
        <f>IF(OR(D1304="",C1304&lt;&gt;"Chi"),"",IFERROR(INDEX('Danh mục'!$C$39:$C$78,MATCH(D1304,'Danh mục'!$A$39:$A$78,0))&amp;"",""))</f>
      </c>
      <c r="H1304" s="11"/>
      <c r="I1304" s="20"/>
      <c r="J1304" s="11"/>
      <c r="K1304" s="11"/>
      <c r="L1304" s="11"/>
    </row>
    <row r="1305" spans="1:12" x14ac:dyDescent="0.3">
      <c r="A1305" s="31"/>
      <c r="B1305" s="32">
        <f>IF(A1305="","",DATE(YEAR(A1305),MONTH(A1305),1))</f>
      </c>
      <c r="C1305" s="11"/>
      <c r="D1305" s="11"/>
      <c r="E1305" s="16">
        <f>IF(OR(D1305="",C1305&lt;&gt;"Chi"),"",IFERROR(INDEX('Danh mục'!$B$39:$B$78,MATCH(D1305,'Danh mục'!$A$39:$A$78,0))&amp;"","?"))</f>
      </c>
      <c r="F1305" s="16">
        <f>IF(D1305="","",IF(C1305="Thu",IFERROR(INDEX('Danh mục'!$B$26:$B$35,MATCH(D1305,'Danh mục'!$A$26:$A$35,0))&amp;"","?"),IFERROR(INDEX('Danh mục'!$D$39:$D$78,MATCH(D1305,'Danh mục'!$A$39:$A$78,0))&amp;"","?")))</f>
      </c>
      <c r="G1305" s="16">
        <f>IF(OR(D1305="",C1305&lt;&gt;"Chi"),"",IFERROR(INDEX('Danh mục'!$C$39:$C$78,MATCH(D1305,'Danh mục'!$A$39:$A$78,0))&amp;"",""))</f>
      </c>
      <c r="H1305" s="11"/>
      <c r="I1305" s="20"/>
      <c r="J1305" s="11"/>
      <c r="K1305" s="11"/>
      <c r="L1305" s="11"/>
    </row>
    <row r="1306" spans="1:12" x14ac:dyDescent="0.3">
      <c r="A1306" s="31"/>
      <c r="B1306" s="32">
        <f>IF(A1306="","",DATE(YEAR(A1306),MONTH(A1306),1))</f>
      </c>
      <c r="C1306" s="11"/>
      <c r="D1306" s="11"/>
      <c r="E1306" s="16">
        <f>IF(OR(D1306="",C1306&lt;&gt;"Chi"),"",IFERROR(INDEX('Danh mục'!$B$39:$B$78,MATCH(D1306,'Danh mục'!$A$39:$A$78,0))&amp;"","?"))</f>
      </c>
      <c r="F1306" s="16">
        <f>IF(D1306="","",IF(C1306="Thu",IFERROR(INDEX('Danh mục'!$B$26:$B$35,MATCH(D1306,'Danh mục'!$A$26:$A$35,0))&amp;"","?"),IFERROR(INDEX('Danh mục'!$D$39:$D$78,MATCH(D1306,'Danh mục'!$A$39:$A$78,0))&amp;"","?")))</f>
      </c>
      <c r="G1306" s="16">
        <f>IF(OR(D1306="",C1306&lt;&gt;"Chi"),"",IFERROR(INDEX('Danh mục'!$C$39:$C$78,MATCH(D1306,'Danh mục'!$A$39:$A$78,0))&amp;"",""))</f>
      </c>
      <c r="H1306" s="11"/>
      <c r="I1306" s="20"/>
      <c r="J1306" s="11"/>
      <c r="K1306" s="11"/>
      <c r="L1306" s="11"/>
    </row>
    <row r="1307" spans="1:12" x14ac:dyDescent="0.3">
      <c r="A1307" s="31"/>
      <c r="B1307" s="32">
        <f>IF(A1307="","",DATE(YEAR(A1307),MONTH(A1307),1))</f>
      </c>
      <c r="C1307" s="11"/>
      <c r="D1307" s="11"/>
      <c r="E1307" s="16">
        <f>IF(OR(D1307="",C1307&lt;&gt;"Chi"),"",IFERROR(INDEX('Danh mục'!$B$39:$B$78,MATCH(D1307,'Danh mục'!$A$39:$A$78,0))&amp;"","?"))</f>
      </c>
      <c r="F1307" s="16">
        <f>IF(D1307="","",IF(C1307="Thu",IFERROR(INDEX('Danh mục'!$B$26:$B$35,MATCH(D1307,'Danh mục'!$A$26:$A$35,0))&amp;"","?"),IFERROR(INDEX('Danh mục'!$D$39:$D$78,MATCH(D1307,'Danh mục'!$A$39:$A$78,0))&amp;"","?")))</f>
      </c>
      <c r="G1307" s="16">
        <f>IF(OR(D1307="",C1307&lt;&gt;"Chi"),"",IFERROR(INDEX('Danh mục'!$C$39:$C$78,MATCH(D1307,'Danh mục'!$A$39:$A$78,0))&amp;"",""))</f>
      </c>
      <c r="H1307" s="11"/>
      <c r="I1307" s="20"/>
      <c r="J1307" s="11"/>
      <c r="K1307" s="11"/>
      <c r="L1307" s="11"/>
    </row>
    <row r="1308" spans="1:12" x14ac:dyDescent="0.3">
      <c r="A1308" s="31"/>
      <c r="B1308" s="32">
        <f>IF(A1308="","",DATE(YEAR(A1308),MONTH(A1308),1))</f>
      </c>
      <c r="C1308" s="11"/>
      <c r="D1308" s="11"/>
      <c r="E1308" s="16">
        <f>IF(OR(D1308="",C1308&lt;&gt;"Chi"),"",IFERROR(INDEX('Danh mục'!$B$39:$B$78,MATCH(D1308,'Danh mục'!$A$39:$A$78,0))&amp;"","?"))</f>
      </c>
      <c r="F1308" s="16">
        <f>IF(D1308="","",IF(C1308="Thu",IFERROR(INDEX('Danh mục'!$B$26:$B$35,MATCH(D1308,'Danh mục'!$A$26:$A$35,0))&amp;"","?"),IFERROR(INDEX('Danh mục'!$D$39:$D$78,MATCH(D1308,'Danh mục'!$A$39:$A$78,0))&amp;"","?")))</f>
      </c>
      <c r="G1308" s="16">
        <f>IF(OR(D1308="",C1308&lt;&gt;"Chi"),"",IFERROR(INDEX('Danh mục'!$C$39:$C$78,MATCH(D1308,'Danh mục'!$A$39:$A$78,0))&amp;"",""))</f>
      </c>
      <c r="H1308" s="11"/>
      <c r="I1308" s="20"/>
      <c r="J1308" s="11"/>
      <c r="K1308" s="11"/>
      <c r="L1308" s="11"/>
    </row>
    <row r="1309" spans="1:12" x14ac:dyDescent="0.3">
      <c r="A1309" s="31"/>
      <c r="B1309" s="32">
        <f>IF(A1309="","",DATE(YEAR(A1309),MONTH(A1309),1))</f>
      </c>
      <c r="C1309" s="11"/>
      <c r="D1309" s="11"/>
      <c r="E1309" s="16">
        <f>IF(OR(D1309="",C1309&lt;&gt;"Chi"),"",IFERROR(INDEX('Danh mục'!$B$39:$B$78,MATCH(D1309,'Danh mục'!$A$39:$A$78,0))&amp;"","?"))</f>
      </c>
      <c r="F1309" s="16">
        <f>IF(D1309="","",IF(C1309="Thu",IFERROR(INDEX('Danh mục'!$B$26:$B$35,MATCH(D1309,'Danh mục'!$A$26:$A$35,0))&amp;"","?"),IFERROR(INDEX('Danh mục'!$D$39:$D$78,MATCH(D1309,'Danh mục'!$A$39:$A$78,0))&amp;"","?")))</f>
      </c>
      <c r="G1309" s="16">
        <f>IF(OR(D1309="",C1309&lt;&gt;"Chi"),"",IFERROR(INDEX('Danh mục'!$C$39:$C$78,MATCH(D1309,'Danh mục'!$A$39:$A$78,0))&amp;"",""))</f>
      </c>
      <c r="H1309" s="11"/>
      <c r="I1309" s="20"/>
      <c r="J1309" s="11"/>
      <c r="K1309" s="11"/>
      <c r="L1309" s="11"/>
    </row>
    <row r="1310" spans="1:12" x14ac:dyDescent="0.3">
      <c r="A1310" s="31"/>
      <c r="B1310" s="32">
        <f>IF(A1310="","",DATE(YEAR(A1310),MONTH(A1310),1))</f>
      </c>
      <c r="C1310" s="11"/>
      <c r="D1310" s="11"/>
      <c r="E1310" s="16">
        <f>IF(OR(D1310="",C1310&lt;&gt;"Chi"),"",IFERROR(INDEX('Danh mục'!$B$39:$B$78,MATCH(D1310,'Danh mục'!$A$39:$A$78,0))&amp;"","?"))</f>
      </c>
      <c r="F1310" s="16">
        <f>IF(D1310="","",IF(C1310="Thu",IFERROR(INDEX('Danh mục'!$B$26:$B$35,MATCH(D1310,'Danh mục'!$A$26:$A$35,0))&amp;"","?"),IFERROR(INDEX('Danh mục'!$D$39:$D$78,MATCH(D1310,'Danh mục'!$A$39:$A$78,0))&amp;"","?")))</f>
      </c>
      <c r="G1310" s="16">
        <f>IF(OR(D1310="",C1310&lt;&gt;"Chi"),"",IFERROR(INDEX('Danh mục'!$C$39:$C$78,MATCH(D1310,'Danh mục'!$A$39:$A$78,0))&amp;"",""))</f>
      </c>
      <c r="H1310" s="11"/>
      <c r="I1310" s="20"/>
      <c r="J1310" s="11"/>
      <c r="K1310" s="11"/>
      <c r="L1310" s="11"/>
    </row>
    <row r="1311" spans="1:12" x14ac:dyDescent="0.3">
      <c r="A1311" s="31"/>
      <c r="B1311" s="32">
        <f>IF(A1311="","",DATE(YEAR(A1311),MONTH(A1311),1))</f>
      </c>
      <c r="C1311" s="11"/>
      <c r="D1311" s="11"/>
      <c r="E1311" s="16">
        <f>IF(OR(D1311="",C1311&lt;&gt;"Chi"),"",IFERROR(INDEX('Danh mục'!$B$39:$B$78,MATCH(D1311,'Danh mục'!$A$39:$A$78,0))&amp;"","?"))</f>
      </c>
      <c r="F1311" s="16">
        <f>IF(D1311="","",IF(C1311="Thu",IFERROR(INDEX('Danh mục'!$B$26:$B$35,MATCH(D1311,'Danh mục'!$A$26:$A$35,0))&amp;"","?"),IFERROR(INDEX('Danh mục'!$D$39:$D$78,MATCH(D1311,'Danh mục'!$A$39:$A$78,0))&amp;"","?")))</f>
      </c>
      <c r="G1311" s="16">
        <f>IF(OR(D1311="",C1311&lt;&gt;"Chi"),"",IFERROR(INDEX('Danh mục'!$C$39:$C$78,MATCH(D1311,'Danh mục'!$A$39:$A$78,0))&amp;"",""))</f>
      </c>
      <c r="H1311" s="11"/>
      <c r="I1311" s="20"/>
      <c r="J1311" s="11"/>
      <c r="K1311" s="11"/>
      <c r="L1311" s="11"/>
    </row>
    <row r="1312" spans="1:12" x14ac:dyDescent="0.3">
      <c r="A1312" s="31"/>
      <c r="B1312" s="32">
        <f>IF(A1312="","",DATE(YEAR(A1312),MONTH(A1312),1))</f>
      </c>
      <c r="C1312" s="11"/>
      <c r="D1312" s="11"/>
      <c r="E1312" s="16">
        <f>IF(OR(D1312="",C1312&lt;&gt;"Chi"),"",IFERROR(INDEX('Danh mục'!$B$39:$B$78,MATCH(D1312,'Danh mục'!$A$39:$A$78,0))&amp;"","?"))</f>
      </c>
      <c r="F1312" s="16">
        <f>IF(D1312="","",IF(C1312="Thu",IFERROR(INDEX('Danh mục'!$B$26:$B$35,MATCH(D1312,'Danh mục'!$A$26:$A$35,0))&amp;"","?"),IFERROR(INDEX('Danh mục'!$D$39:$D$78,MATCH(D1312,'Danh mục'!$A$39:$A$78,0))&amp;"","?")))</f>
      </c>
      <c r="G1312" s="16">
        <f>IF(OR(D1312="",C1312&lt;&gt;"Chi"),"",IFERROR(INDEX('Danh mục'!$C$39:$C$78,MATCH(D1312,'Danh mục'!$A$39:$A$78,0))&amp;"",""))</f>
      </c>
      <c r="H1312" s="11"/>
      <c r="I1312" s="20"/>
      <c r="J1312" s="11"/>
      <c r="K1312" s="11"/>
      <c r="L1312" s="11"/>
    </row>
    <row r="1313" spans="1:12" x14ac:dyDescent="0.3">
      <c r="A1313" s="31"/>
      <c r="B1313" s="32">
        <f>IF(A1313="","",DATE(YEAR(A1313),MONTH(A1313),1))</f>
      </c>
      <c r="C1313" s="11"/>
      <c r="D1313" s="11"/>
      <c r="E1313" s="16">
        <f>IF(OR(D1313="",C1313&lt;&gt;"Chi"),"",IFERROR(INDEX('Danh mục'!$B$39:$B$78,MATCH(D1313,'Danh mục'!$A$39:$A$78,0))&amp;"","?"))</f>
      </c>
      <c r="F1313" s="16">
        <f>IF(D1313="","",IF(C1313="Thu",IFERROR(INDEX('Danh mục'!$B$26:$B$35,MATCH(D1313,'Danh mục'!$A$26:$A$35,0))&amp;"","?"),IFERROR(INDEX('Danh mục'!$D$39:$D$78,MATCH(D1313,'Danh mục'!$A$39:$A$78,0))&amp;"","?")))</f>
      </c>
      <c r="G1313" s="16">
        <f>IF(OR(D1313="",C1313&lt;&gt;"Chi"),"",IFERROR(INDEX('Danh mục'!$C$39:$C$78,MATCH(D1313,'Danh mục'!$A$39:$A$78,0))&amp;"",""))</f>
      </c>
      <c r="H1313" s="11"/>
      <c r="I1313" s="20"/>
      <c r="J1313" s="11"/>
      <c r="K1313" s="11"/>
      <c r="L1313" s="11"/>
    </row>
    <row r="1314" spans="1:12" x14ac:dyDescent="0.3">
      <c r="A1314" s="31"/>
      <c r="B1314" s="32">
        <f>IF(A1314="","",DATE(YEAR(A1314),MONTH(A1314),1))</f>
      </c>
      <c r="C1314" s="11"/>
      <c r="D1314" s="11"/>
      <c r="E1314" s="16">
        <f>IF(OR(D1314="",C1314&lt;&gt;"Chi"),"",IFERROR(INDEX('Danh mục'!$B$39:$B$78,MATCH(D1314,'Danh mục'!$A$39:$A$78,0))&amp;"","?"))</f>
      </c>
      <c r="F1314" s="16">
        <f>IF(D1314="","",IF(C1314="Thu",IFERROR(INDEX('Danh mục'!$B$26:$B$35,MATCH(D1314,'Danh mục'!$A$26:$A$35,0))&amp;"","?"),IFERROR(INDEX('Danh mục'!$D$39:$D$78,MATCH(D1314,'Danh mục'!$A$39:$A$78,0))&amp;"","?")))</f>
      </c>
      <c r="G1314" s="16">
        <f>IF(OR(D1314="",C1314&lt;&gt;"Chi"),"",IFERROR(INDEX('Danh mục'!$C$39:$C$78,MATCH(D1314,'Danh mục'!$A$39:$A$78,0))&amp;"",""))</f>
      </c>
      <c r="H1314" s="11"/>
      <c r="I1314" s="20"/>
      <c r="J1314" s="11"/>
      <c r="K1314" s="11"/>
      <c r="L1314" s="11"/>
    </row>
    <row r="1315" spans="1:12" x14ac:dyDescent="0.3">
      <c r="A1315" s="31"/>
      <c r="B1315" s="32">
        <f>IF(A1315="","",DATE(YEAR(A1315),MONTH(A1315),1))</f>
      </c>
      <c r="C1315" s="11"/>
      <c r="D1315" s="11"/>
      <c r="E1315" s="16">
        <f>IF(OR(D1315="",C1315&lt;&gt;"Chi"),"",IFERROR(INDEX('Danh mục'!$B$39:$B$78,MATCH(D1315,'Danh mục'!$A$39:$A$78,0))&amp;"","?"))</f>
      </c>
      <c r="F1315" s="16">
        <f>IF(D1315="","",IF(C1315="Thu",IFERROR(INDEX('Danh mục'!$B$26:$B$35,MATCH(D1315,'Danh mục'!$A$26:$A$35,0))&amp;"","?"),IFERROR(INDEX('Danh mục'!$D$39:$D$78,MATCH(D1315,'Danh mục'!$A$39:$A$78,0))&amp;"","?")))</f>
      </c>
      <c r="G1315" s="16">
        <f>IF(OR(D1315="",C1315&lt;&gt;"Chi"),"",IFERROR(INDEX('Danh mục'!$C$39:$C$78,MATCH(D1315,'Danh mục'!$A$39:$A$78,0))&amp;"",""))</f>
      </c>
      <c r="H1315" s="11"/>
      <c r="I1315" s="20"/>
      <c r="J1315" s="11"/>
      <c r="K1315" s="11"/>
      <c r="L1315" s="11"/>
    </row>
    <row r="1316" spans="1:12" x14ac:dyDescent="0.3">
      <c r="A1316" s="31"/>
      <c r="B1316" s="32">
        <f>IF(A1316="","",DATE(YEAR(A1316),MONTH(A1316),1))</f>
      </c>
      <c r="C1316" s="11"/>
      <c r="D1316" s="11"/>
      <c r="E1316" s="16">
        <f>IF(OR(D1316="",C1316&lt;&gt;"Chi"),"",IFERROR(INDEX('Danh mục'!$B$39:$B$78,MATCH(D1316,'Danh mục'!$A$39:$A$78,0))&amp;"","?"))</f>
      </c>
      <c r="F1316" s="16">
        <f>IF(D1316="","",IF(C1316="Thu",IFERROR(INDEX('Danh mục'!$B$26:$B$35,MATCH(D1316,'Danh mục'!$A$26:$A$35,0))&amp;"","?"),IFERROR(INDEX('Danh mục'!$D$39:$D$78,MATCH(D1316,'Danh mục'!$A$39:$A$78,0))&amp;"","?")))</f>
      </c>
      <c r="G1316" s="16">
        <f>IF(OR(D1316="",C1316&lt;&gt;"Chi"),"",IFERROR(INDEX('Danh mục'!$C$39:$C$78,MATCH(D1316,'Danh mục'!$A$39:$A$78,0))&amp;"",""))</f>
      </c>
      <c r="H1316" s="11"/>
      <c r="I1316" s="20"/>
      <c r="J1316" s="11"/>
      <c r="K1316" s="11"/>
      <c r="L1316" s="11"/>
    </row>
    <row r="1317" spans="1:12" x14ac:dyDescent="0.3">
      <c r="A1317" s="31"/>
      <c r="B1317" s="32">
        <f>IF(A1317="","",DATE(YEAR(A1317),MONTH(A1317),1))</f>
      </c>
      <c r="C1317" s="11"/>
      <c r="D1317" s="11"/>
      <c r="E1317" s="16">
        <f>IF(OR(D1317="",C1317&lt;&gt;"Chi"),"",IFERROR(INDEX('Danh mục'!$B$39:$B$78,MATCH(D1317,'Danh mục'!$A$39:$A$78,0))&amp;"","?"))</f>
      </c>
      <c r="F1317" s="16">
        <f>IF(D1317="","",IF(C1317="Thu",IFERROR(INDEX('Danh mục'!$B$26:$B$35,MATCH(D1317,'Danh mục'!$A$26:$A$35,0))&amp;"","?"),IFERROR(INDEX('Danh mục'!$D$39:$D$78,MATCH(D1317,'Danh mục'!$A$39:$A$78,0))&amp;"","?")))</f>
      </c>
      <c r="G1317" s="16">
        <f>IF(OR(D1317="",C1317&lt;&gt;"Chi"),"",IFERROR(INDEX('Danh mục'!$C$39:$C$78,MATCH(D1317,'Danh mục'!$A$39:$A$78,0))&amp;"",""))</f>
      </c>
      <c r="H1317" s="11"/>
      <c r="I1317" s="20"/>
      <c r="J1317" s="11"/>
      <c r="K1317" s="11"/>
      <c r="L1317" s="11"/>
    </row>
    <row r="1318" spans="1:12" x14ac:dyDescent="0.3">
      <c r="A1318" s="31"/>
      <c r="B1318" s="32">
        <f>IF(A1318="","",DATE(YEAR(A1318),MONTH(A1318),1))</f>
      </c>
      <c r="C1318" s="11"/>
      <c r="D1318" s="11"/>
      <c r="E1318" s="16">
        <f>IF(OR(D1318="",C1318&lt;&gt;"Chi"),"",IFERROR(INDEX('Danh mục'!$B$39:$B$78,MATCH(D1318,'Danh mục'!$A$39:$A$78,0))&amp;"","?"))</f>
      </c>
      <c r="F1318" s="16">
        <f>IF(D1318="","",IF(C1318="Thu",IFERROR(INDEX('Danh mục'!$B$26:$B$35,MATCH(D1318,'Danh mục'!$A$26:$A$35,0))&amp;"","?"),IFERROR(INDEX('Danh mục'!$D$39:$D$78,MATCH(D1318,'Danh mục'!$A$39:$A$78,0))&amp;"","?")))</f>
      </c>
      <c r="G1318" s="16">
        <f>IF(OR(D1318="",C1318&lt;&gt;"Chi"),"",IFERROR(INDEX('Danh mục'!$C$39:$C$78,MATCH(D1318,'Danh mục'!$A$39:$A$78,0))&amp;"",""))</f>
      </c>
      <c r="H1318" s="11"/>
      <c r="I1318" s="20"/>
      <c r="J1318" s="11"/>
      <c r="K1318" s="11"/>
      <c r="L1318" s="11"/>
    </row>
    <row r="1319" spans="1:12" x14ac:dyDescent="0.3">
      <c r="A1319" s="31"/>
      <c r="B1319" s="32">
        <f>IF(A1319="","",DATE(YEAR(A1319),MONTH(A1319),1))</f>
      </c>
      <c r="C1319" s="11"/>
      <c r="D1319" s="11"/>
      <c r="E1319" s="16">
        <f>IF(OR(D1319="",C1319&lt;&gt;"Chi"),"",IFERROR(INDEX('Danh mục'!$B$39:$B$78,MATCH(D1319,'Danh mục'!$A$39:$A$78,0))&amp;"","?"))</f>
      </c>
      <c r="F1319" s="16">
        <f>IF(D1319="","",IF(C1319="Thu",IFERROR(INDEX('Danh mục'!$B$26:$B$35,MATCH(D1319,'Danh mục'!$A$26:$A$35,0))&amp;"","?"),IFERROR(INDEX('Danh mục'!$D$39:$D$78,MATCH(D1319,'Danh mục'!$A$39:$A$78,0))&amp;"","?")))</f>
      </c>
      <c r="G1319" s="16">
        <f>IF(OR(D1319="",C1319&lt;&gt;"Chi"),"",IFERROR(INDEX('Danh mục'!$C$39:$C$78,MATCH(D1319,'Danh mục'!$A$39:$A$78,0))&amp;"",""))</f>
      </c>
      <c r="H1319" s="11"/>
      <c r="I1319" s="20"/>
      <c r="J1319" s="11"/>
      <c r="K1319" s="11"/>
      <c r="L1319" s="11"/>
    </row>
    <row r="1320" spans="1:12" x14ac:dyDescent="0.3">
      <c r="A1320" s="31"/>
      <c r="B1320" s="32">
        <f>IF(A1320="","",DATE(YEAR(A1320),MONTH(A1320),1))</f>
      </c>
      <c r="C1320" s="11"/>
      <c r="D1320" s="11"/>
      <c r="E1320" s="16">
        <f>IF(OR(D1320="",C1320&lt;&gt;"Chi"),"",IFERROR(INDEX('Danh mục'!$B$39:$B$78,MATCH(D1320,'Danh mục'!$A$39:$A$78,0))&amp;"","?"))</f>
      </c>
      <c r="F1320" s="16">
        <f>IF(D1320="","",IF(C1320="Thu",IFERROR(INDEX('Danh mục'!$B$26:$B$35,MATCH(D1320,'Danh mục'!$A$26:$A$35,0))&amp;"","?"),IFERROR(INDEX('Danh mục'!$D$39:$D$78,MATCH(D1320,'Danh mục'!$A$39:$A$78,0))&amp;"","?")))</f>
      </c>
      <c r="G1320" s="16">
        <f>IF(OR(D1320="",C1320&lt;&gt;"Chi"),"",IFERROR(INDEX('Danh mục'!$C$39:$C$78,MATCH(D1320,'Danh mục'!$A$39:$A$78,0))&amp;"",""))</f>
      </c>
      <c r="H1320" s="11"/>
      <c r="I1320" s="20"/>
      <c r="J1320" s="11"/>
      <c r="K1320" s="11"/>
      <c r="L1320" s="11"/>
    </row>
    <row r="1321" spans="1:12" x14ac:dyDescent="0.3">
      <c r="A1321" s="31"/>
      <c r="B1321" s="32">
        <f>IF(A1321="","",DATE(YEAR(A1321),MONTH(A1321),1))</f>
      </c>
      <c r="C1321" s="11"/>
      <c r="D1321" s="11"/>
      <c r="E1321" s="16">
        <f>IF(OR(D1321="",C1321&lt;&gt;"Chi"),"",IFERROR(INDEX('Danh mục'!$B$39:$B$78,MATCH(D1321,'Danh mục'!$A$39:$A$78,0))&amp;"","?"))</f>
      </c>
      <c r="F1321" s="16">
        <f>IF(D1321="","",IF(C1321="Thu",IFERROR(INDEX('Danh mục'!$B$26:$B$35,MATCH(D1321,'Danh mục'!$A$26:$A$35,0))&amp;"","?"),IFERROR(INDEX('Danh mục'!$D$39:$D$78,MATCH(D1321,'Danh mục'!$A$39:$A$78,0))&amp;"","?")))</f>
      </c>
      <c r="G1321" s="16">
        <f>IF(OR(D1321="",C1321&lt;&gt;"Chi"),"",IFERROR(INDEX('Danh mục'!$C$39:$C$78,MATCH(D1321,'Danh mục'!$A$39:$A$78,0))&amp;"",""))</f>
      </c>
      <c r="H1321" s="11"/>
      <c r="I1321" s="20"/>
      <c r="J1321" s="11"/>
      <c r="K1321" s="11"/>
      <c r="L1321" s="11"/>
    </row>
    <row r="1322" spans="1:12" x14ac:dyDescent="0.3">
      <c r="A1322" s="31"/>
      <c r="B1322" s="32">
        <f>IF(A1322="","",DATE(YEAR(A1322),MONTH(A1322),1))</f>
      </c>
      <c r="C1322" s="11"/>
      <c r="D1322" s="11"/>
      <c r="E1322" s="16">
        <f>IF(OR(D1322="",C1322&lt;&gt;"Chi"),"",IFERROR(INDEX('Danh mục'!$B$39:$B$78,MATCH(D1322,'Danh mục'!$A$39:$A$78,0))&amp;"","?"))</f>
      </c>
      <c r="F1322" s="16">
        <f>IF(D1322="","",IF(C1322="Thu",IFERROR(INDEX('Danh mục'!$B$26:$B$35,MATCH(D1322,'Danh mục'!$A$26:$A$35,0))&amp;"","?"),IFERROR(INDEX('Danh mục'!$D$39:$D$78,MATCH(D1322,'Danh mục'!$A$39:$A$78,0))&amp;"","?")))</f>
      </c>
      <c r="G1322" s="16">
        <f>IF(OR(D1322="",C1322&lt;&gt;"Chi"),"",IFERROR(INDEX('Danh mục'!$C$39:$C$78,MATCH(D1322,'Danh mục'!$A$39:$A$78,0))&amp;"",""))</f>
      </c>
      <c r="H1322" s="11"/>
      <c r="I1322" s="20"/>
      <c r="J1322" s="11"/>
      <c r="K1322" s="11"/>
      <c r="L1322" s="11"/>
    </row>
    <row r="1323" spans="1:12" x14ac:dyDescent="0.3">
      <c r="A1323" s="31"/>
      <c r="B1323" s="32">
        <f>IF(A1323="","",DATE(YEAR(A1323),MONTH(A1323),1))</f>
      </c>
      <c r="C1323" s="11"/>
      <c r="D1323" s="11"/>
      <c r="E1323" s="16">
        <f>IF(OR(D1323="",C1323&lt;&gt;"Chi"),"",IFERROR(INDEX('Danh mục'!$B$39:$B$78,MATCH(D1323,'Danh mục'!$A$39:$A$78,0))&amp;"","?"))</f>
      </c>
      <c r="F1323" s="16">
        <f>IF(D1323="","",IF(C1323="Thu",IFERROR(INDEX('Danh mục'!$B$26:$B$35,MATCH(D1323,'Danh mục'!$A$26:$A$35,0))&amp;"","?"),IFERROR(INDEX('Danh mục'!$D$39:$D$78,MATCH(D1323,'Danh mục'!$A$39:$A$78,0))&amp;"","?")))</f>
      </c>
      <c r="G1323" s="16">
        <f>IF(OR(D1323="",C1323&lt;&gt;"Chi"),"",IFERROR(INDEX('Danh mục'!$C$39:$C$78,MATCH(D1323,'Danh mục'!$A$39:$A$78,0))&amp;"",""))</f>
      </c>
      <c r="H1323" s="11"/>
      <c r="I1323" s="20"/>
      <c r="J1323" s="11"/>
      <c r="K1323" s="11"/>
      <c r="L1323" s="11"/>
    </row>
    <row r="1324" spans="1:12" x14ac:dyDescent="0.3">
      <c r="A1324" s="31"/>
      <c r="B1324" s="32">
        <f>IF(A1324="","",DATE(YEAR(A1324),MONTH(A1324),1))</f>
      </c>
      <c r="C1324" s="11"/>
      <c r="D1324" s="11"/>
      <c r="E1324" s="16">
        <f>IF(OR(D1324="",C1324&lt;&gt;"Chi"),"",IFERROR(INDEX('Danh mục'!$B$39:$B$78,MATCH(D1324,'Danh mục'!$A$39:$A$78,0))&amp;"","?"))</f>
      </c>
      <c r="F1324" s="16">
        <f>IF(D1324="","",IF(C1324="Thu",IFERROR(INDEX('Danh mục'!$B$26:$B$35,MATCH(D1324,'Danh mục'!$A$26:$A$35,0))&amp;"","?"),IFERROR(INDEX('Danh mục'!$D$39:$D$78,MATCH(D1324,'Danh mục'!$A$39:$A$78,0))&amp;"","?")))</f>
      </c>
      <c r="G1324" s="16">
        <f>IF(OR(D1324="",C1324&lt;&gt;"Chi"),"",IFERROR(INDEX('Danh mục'!$C$39:$C$78,MATCH(D1324,'Danh mục'!$A$39:$A$78,0))&amp;"",""))</f>
      </c>
      <c r="H1324" s="11"/>
      <c r="I1324" s="20"/>
      <c r="J1324" s="11"/>
      <c r="K1324" s="11"/>
      <c r="L1324" s="11"/>
    </row>
    <row r="1325" spans="1:12" x14ac:dyDescent="0.3">
      <c r="A1325" s="31"/>
      <c r="B1325" s="32">
        <f>IF(A1325="","",DATE(YEAR(A1325),MONTH(A1325),1))</f>
      </c>
      <c r="C1325" s="11"/>
      <c r="D1325" s="11"/>
      <c r="E1325" s="16">
        <f>IF(OR(D1325="",C1325&lt;&gt;"Chi"),"",IFERROR(INDEX('Danh mục'!$B$39:$B$78,MATCH(D1325,'Danh mục'!$A$39:$A$78,0))&amp;"","?"))</f>
      </c>
      <c r="F1325" s="16">
        <f>IF(D1325="","",IF(C1325="Thu",IFERROR(INDEX('Danh mục'!$B$26:$B$35,MATCH(D1325,'Danh mục'!$A$26:$A$35,0))&amp;"","?"),IFERROR(INDEX('Danh mục'!$D$39:$D$78,MATCH(D1325,'Danh mục'!$A$39:$A$78,0))&amp;"","?")))</f>
      </c>
      <c r="G1325" s="16">
        <f>IF(OR(D1325="",C1325&lt;&gt;"Chi"),"",IFERROR(INDEX('Danh mục'!$C$39:$C$78,MATCH(D1325,'Danh mục'!$A$39:$A$78,0))&amp;"",""))</f>
      </c>
      <c r="H1325" s="11"/>
      <c r="I1325" s="20"/>
      <c r="J1325" s="11"/>
      <c r="K1325" s="11"/>
      <c r="L1325" s="11"/>
    </row>
    <row r="1326" spans="1:12" x14ac:dyDescent="0.3">
      <c r="A1326" s="31"/>
      <c r="B1326" s="32">
        <f>IF(A1326="","",DATE(YEAR(A1326),MONTH(A1326),1))</f>
      </c>
      <c r="C1326" s="11"/>
      <c r="D1326" s="11"/>
      <c r="E1326" s="16">
        <f>IF(OR(D1326="",C1326&lt;&gt;"Chi"),"",IFERROR(INDEX('Danh mục'!$B$39:$B$78,MATCH(D1326,'Danh mục'!$A$39:$A$78,0))&amp;"","?"))</f>
      </c>
      <c r="F1326" s="16">
        <f>IF(D1326="","",IF(C1326="Thu",IFERROR(INDEX('Danh mục'!$B$26:$B$35,MATCH(D1326,'Danh mục'!$A$26:$A$35,0))&amp;"","?"),IFERROR(INDEX('Danh mục'!$D$39:$D$78,MATCH(D1326,'Danh mục'!$A$39:$A$78,0))&amp;"","?")))</f>
      </c>
      <c r="G1326" s="16">
        <f>IF(OR(D1326="",C1326&lt;&gt;"Chi"),"",IFERROR(INDEX('Danh mục'!$C$39:$C$78,MATCH(D1326,'Danh mục'!$A$39:$A$78,0))&amp;"",""))</f>
      </c>
      <c r="H1326" s="11"/>
      <c r="I1326" s="20"/>
      <c r="J1326" s="11"/>
      <c r="K1326" s="11"/>
      <c r="L1326" s="11"/>
    </row>
    <row r="1327" spans="1:12" x14ac:dyDescent="0.3">
      <c r="A1327" s="31"/>
      <c r="B1327" s="32">
        <f>IF(A1327="","",DATE(YEAR(A1327),MONTH(A1327),1))</f>
      </c>
      <c r="C1327" s="11"/>
      <c r="D1327" s="11"/>
      <c r="E1327" s="16">
        <f>IF(OR(D1327="",C1327&lt;&gt;"Chi"),"",IFERROR(INDEX('Danh mục'!$B$39:$B$78,MATCH(D1327,'Danh mục'!$A$39:$A$78,0))&amp;"","?"))</f>
      </c>
      <c r="F1327" s="16">
        <f>IF(D1327="","",IF(C1327="Thu",IFERROR(INDEX('Danh mục'!$B$26:$B$35,MATCH(D1327,'Danh mục'!$A$26:$A$35,0))&amp;"","?"),IFERROR(INDEX('Danh mục'!$D$39:$D$78,MATCH(D1327,'Danh mục'!$A$39:$A$78,0))&amp;"","?")))</f>
      </c>
      <c r="G1327" s="16">
        <f>IF(OR(D1327="",C1327&lt;&gt;"Chi"),"",IFERROR(INDEX('Danh mục'!$C$39:$C$78,MATCH(D1327,'Danh mục'!$A$39:$A$78,0))&amp;"",""))</f>
      </c>
      <c r="H1327" s="11"/>
      <c r="I1327" s="20"/>
      <c r="J1327" s="11"/>
      <c r="K1327" s="11"/>
      <c r="L1327" s="11"/>
    </row>
    <row r="1328" spans="1:12" x14ac:dyDescent="0.3">
      <c r="A1328" s="31"/>
      <c r="B1328" s="32">
        <f>IF(A1328="","",DATE(YEAR(A1328),MONTH(A1328),1))</f>
      </c>
      <c r="C1328" s="11"/>
      <c r="D1328" s="11"/>
      <c r="E1328" s="16">
        <f>IF(OR(D1328="",C1328&lt;&gt;"Chi"),"",IFERROR(INDEX('Danh mục'!$B$39:$B$78,MATCH(D1328,'Danh mục'!$A$39:$A$78,0))&amp;"","?"))</f>
      </c>
      <c r="F1328" s="16">
        <f>IF(D1328="","",IF(C1328="Thu",IFERROR(INDEX('Danh mục'!$B$26:$B$35,MATCH(D1328,'Danh mục'!$A$26:$A$35,0))&amp;"","?"),IFERROR(INDEX('Danh mục'!$D$39:$D$78,MATCH(D1328,'Danh mục'!$A$39:$A$78,0))&amp;"","?")))</f>
      </c>
      <c r="G1328" s="16">
        <f>IF(OR(D1328="",C1328&lt;&gt;"Chi"),"",IFERROR(INDEX('Danh mục'!$C$39:$C$78,MATCH(D1328,'Danh mục'!$A$39:$A$78,0))&amp;"",""))</f>
      </c>
      <c r="H1328" s="11"/>
      <c r="I1328" s="20"/>
      <c r="J1328" s="11"/>
      <c r="K1328" s="11"/>
      <c r="L1328" s="11"/>
    </row>
    <row r="1329" spans="1:12" x14ac:dyDescent="0.3">
      <c r="A1329" s="31"/>
      <c r="B1329" s="32">
        <f>IF(A1329="","",DATE(YEAR(A1329),MONTH(A1329),1))</f>
      </c>
      <c r="C1329" s="11"/>
      <c r="D1329" s="11"/>
      <c r="E1329" s="16">
        <f>IF(OR(D1329="",C1329&lt;&gt;"Chi"),"",IFERROR(INDEX('Danh mục'!$B$39:$B$78,MATCH(D1329,'Danh mục'!$A$39:$A$78,0))&amp;"","?"))</f>
      </c>
      <c r="F1329" s="16">
        <f>IF(D1329="","",IF(C1329="Thu",IFERROR(INDEX('Danh mục'!$B$26:$B$35,MATCH(D1329,'Danh mục'!$A$26:$A$35,0))&amp;"","?"),IFERROR(INDEX('Danh mục'!$D$39:$D$78,MATCH(D1329,'Danh mục'!$A$39:$A$78,0))&amp;"","?")))</f>
      </c>
      <c r="G1329" s="16">
        <f>IF(OR(D1329="",C1329&lt;&gt;"Chi"),"",IFERROR(INDEX('Danh mục'!$C$39:$C$78,MATCH(D1329,'Danh mục'!$A$39:$A$78,0))&amp;"",""))</f>
      </c>
      <c r="H1329" s="11"/>
      <c r="I1329" s="20"/>
      <c r="J1329" s="11"/>
      <c r="K1329" s="11"/>
      <c r="L1329" s="11"/>
    </row>
    <row r="1330" spans="1:12" x14ac:dyDescent="0.3">
      <c r="A1330" s="31"/>
      <c r="B1330" s="32">
        <f>IF(A1330="","",DATE(YEAR(A1330),MONTH(A1330),1))</f>
      </c>
      <c r="C1330" s="11"/>
      <c r="D1330" s="11"/>
      <c r="E1330" s="16">
        <f>IF(OR(D1330="",C1330&lt;&gt;"Chi"),"",IFERROR(INDEX('Danh mục'!$B$39:$B$78,MATCH(D1330,'Danh mục'!$A$39:$A$78,0))&amp;"","?"))</f>
      </c>
      <c r="F1330" s="16">
        <f>IF(D1330="","",IF(C1330="Thu",IFERROR(INDEX('Danh mục'!$B$26:$B$35,MATCH(D1330,'Danh mục'!$A$26:$A$35,0))&amp;"","?"),IFERROR(INDEX('Danh mục'!$D$39:$D$78,MATCH(D1330,'Danh mục'!$A$39:$A$78,0))&amp;"","?")))</f>
      </c>
      <c r="G1330" s="16">
        <f>IF(OR(D1330="",C1330&lt;&gt;"Chi"),"",IFERROR(INDEX('Danh mục'!$C$39:$C$78,MATCH(D1330,'Danh mục'!$A$39:$A$78,0))&amp;"",""))</f>
      </c>
      <c r="H1330" s="11"/>
      <c r="I1330" s="20"/>
      <c r="J1330" s="11"/>
      <c r="K1330" s="11"/>
      <c r="L1330" s="11"/>
    </row>
    <row r="1331" spans="1:12" x14ac:dyDescent="0.3">
      <c r="A1331" s="31"/>
      <c r="B1331" s="32">
        <f>IF(A1331="","",DATE(YEAR(A1331),MONTH(A1331),1))</f>
      </c>
      <c r="C1331" s="11"/>
      <c r="D1331" s="11"/>
      <c r="E1331" s="16">
        <f>IF(OR(D1331="",C1331&lt;&gt;"Chi"),"",IFERROR(INDEX('Danh mục'!$B$39:$B$78,MATCH(D1331,'Danh mục'!$A$39:$A$78,0))&amp;"","?"))</f>
      </c>
      <c r="F1331" s="16">
        <f>IF(D1331="","",IF(C1331="Thu",IFERROR(INDEX('Danh mục'!$B$26:$B$35,MATCH(D1331,'Danh mục'!$A$26:$A$35,0))&amp;"","?"),IFERROR(INDEX('Danh mục'!$D$39:$D$78,MATCH(D1331,'Danh mục'!$A$39:$A$78,0))&amp;"","?")))</f>
      </c>
      <c r="G1331" s="16">
        <f>IF(OR(D1331="",C1331&lt;&gt;"Chi"),"",IFERROR(INDEX('Danh mục'!$C$39:$C$78,MATCH(D1331,'Danh mục'!$A$39:$A$78,0))&amp;"",""))</f>
      </c>
      <c r="H1331" s="11"/>
      <c r="I1331" s="20"/>
      <c r="J1331" s="11"/>
      <c r="K1331" s="11"/>
      <c r="L1331" s="11"/>
    </row>
    <row r="1332" spans="1:12" x14ac:dyDescent="0.3">
      <c r="A1332" s="31"/>
      <c r="B1332" s="32">
        <f>IF(A1332="","",DATE(YEAR(A1332),MONTH(A1332),1))</f>
      </c>
      <c r="C1332" s="11"/>
      <c r="D1332" s="11"/>
      <c r="E1332" s="16">
        <f>IF(OR(D1332="",C1332&lt;&gt;"Chi"),"",IFERROR(INDEX('Danh mục'!$B$39:$B$78,MATCH(D1332,'Danh mục'!$A$39:$A$78,0))&amp;"","?"))</f>
      </c>
      <c r="F1332" s="16">
        <f>IF(D1332="","",IF(C1332="Thu",IFERROR(INDEX('Danh mục'!$B$26:$B$35,MATCH(D1332,'Danh mục'!$A$26:$A$35,0))&amp;"","?"),IFERROR(INDEX('Danh mục'!$D$39:$D$78,MATCH(D1332,'Danh mục'!$A$39:$A$78,0))&amp;"","?")))</f>
      </c>
      <c r="G1332" s="16">
        <f>IF(OR(D1332="",C1332&lt;&gt;"Chi"),"",IFERROR(INDEX('Danh mục'!$C$39:$C$78,MATCH(D1332,'Danh mục'!$A$39:$A$78,0))&amp;"",""))</f>
      </c>
      <c r="H1332" s="11"/>
      <c r="I1332" s="20"/>
      <c r="J1332" s="11"/>
      <c r="K1332" s="11"/>
      <c r="L1332" s="11"/>
    </row>
    <row r="1333" spans="1:12" x14ac:dyDescent="0.3">
      <c r="A1333" s="31"/>
      <c r="B1333" s="32">
        <f>IF(A1333="","",DATE(YEAR(A1333),MONTH(A1333),1))</f>
      </c>
      <c r="C1333" s="11"/>
      <c r="D1333" s="11"/>
      <c r="E1333" s="16">
        <f>IF(OR(D1333="",C1333&lt;&gt;"Chi"),"",IFERROR(INDEX('Danh mục'!$B$39:$B$78,MATCH(D1333,'Danh mục'!$A$39:$A$78,0))&amp;"","?"))</f>
      </c>
      <c r="F1333" s="16">
        <f>IF(D1333="","",IF(C1333="Thu",IFERROR(INDEX('Danh mục'!$B$26:$B$35,MATCH(D1333,'Danh mục'!$A$26:$A$35,0))&amp;"","?"),IFERROR(INDEX('Danh mục'!$D$39:$D$78,MATCH(D1333,'Danh mục'!$A$39:$A$78,0))&amp;"","?")))</f>
      </c>
      <c r="G1333" s="16">
        <f>IF(OR(D1333="",C1333&lt;&gt;"Chi"),"",IFERROR(INDEX('Danh mục'!$C$39:$C$78,MATCH(D1333,'Danh mục'!$A$39:$A$78,0))&amp;"",""))</f>
      </c>
      <c r="H1333" s="11"/>
      <c r="I1333" s="20"/>
      <c r="J1333" s="11"/>
      <c r="K1333" s="11"/>
      <c r="L1333" s="11"/>
    </row>
    <row r="1334" spans="1:12" x14ac:dyDescent="0.3">
      <c r="A1334" s="31"/>
      <c r="B1334" s="32">
        <f>IF(A1334="","",DATE(YEAR(A1334),MONTH(A1334),1))</f>
      </c>
      <c r="C1334" s="11"/>
      <c r="D1334" s="11"/>
      <c r="E1334" s="16">
        <f>IF(OR(D1334="",C1334&lt;&gt;"Chi"),"",IFERROR(INDEX('Danh mục'!$B$39:$B$78,MATCH(D1334,'Danh mục'!$A$39:$A$78,0))&amp;"","?"))</f>
      </c>
      <c r="F1334" s="16">
        <f>IF(D1334="","",IF(C1334="Thu",IFERROR(INDEX('Danh mục'!$B$26:$B$35,MATCH(D1334,'Danh mục'!$A$26:$A$35,0))&amp;"","?"),IFERROR(INDEX('Danh mục'!$D$39:$D$78,MATCH(D1334,'Danh mục'!$A$39:$A$78,0))&amp;"","?")))</f>
      </c>
      <c r="G1334" s="16">
        <f>IF(OR(D1334="",C1334&lt;&gt;"Chi"),"",IFERROR(INDEX('Danh mục'!$C$39:$C$78,MATCH(D1334,'Danh mục'!$A$39:$A$78,0))&amp;"",""))</f>
      </c>
      <c r="H1334" s="11"/>
      <c r="I1334" s="20"/>
      <c r="J1334" s="11"/>
      <c r="K1334" s="11"/>
      <c r="L1334" s="11"/>
    </row>
    <row r="1335" spans="1:12" x14ac:dyDescent="0.3">
      <c r="A1335" s="31"/>
      <c r="B1335" s="32">
        <f>IF(A1335="","",DATE(YEAR(A1335),MONTH(A1335),1))</f>
      </c>
      <c r="C1335" s="11"/>
      <c r="D1335" s="11"/>
      <c r="E1335" s="16">
        <f>IF(OR(D1335="",C1335&lt;&gt;"Chi"),"",IFERROR(INDEX('Danh mục'!$B$39:$B$78,MATCH(D1335,'Danh mục'!$A$39:$A$78,0))&amp;"","?"))</f>
      </c>
      <c r="F1335" s="16">
        <f>IF(D1335="","",IF(C1335="Thu",IFERROR(INDEX('Danh mục'!$B$26:$B$35,MATCH(D1335,'Danh mục'!$A$26:$A$35,0))&amp;"","?"),IFERROR(INDEX('Danh mục'!$D$39:$D$78,MATCH(D1335,'Danh mục'!$A$39:$A$78,0))&amp;"","?")))</f>
      </c>
      <c r="G1335" s="16">
        <f>IF(OR(D1335="",C1335&lt;&gt;"Chi"),"",IFERROR(INDEX('Danh mục'!$C$39:$C$78,MATCH(D1335,'Danh mục'!$A$39:$A$78,0))&amp;"",""))</f>
      </c>
      <c r="H1335" s="11"/>
      <c r="I1335" s="20"/>
      <c r="J1335" s="11"/>
      <c r="K1335" s="11"/>
      <c r="L1335" s="11"/>
    </row>
    <row r="1336" spans="1:12" x14ac:dyDescent="0.3">
      <c r="A1336" s="31"/>
      <c r="B1336" s="32">
        <f>IF(A1336="","",DATE(YEAR(A1336),MONTH(A1336),1))</f>
      </c>
      <c r="C1336" s="11"/>
      <c r="D1336" s="11"/>
      <c r="E1336" s="16">
        <f>IF(OR(D1336="",C1336&lt;&gt;"Chi"),"",IFERROR(INDEX('Danh mục'!$B$39:$B$78,MATCH(D1336,'Danh mục'!$A$39:$A$78,0))&amp;"","?"))</f>
      </c>
      <c r="F1336" s="16">
        <f>IF(D1336="","",IF(C1336="Thu",IFERROR(INDEX('Danh mục'!$B$26:$B$35,MATCH(D1336,'Danh mục'!$A$26:$A$35,0))&amp;"","?"),IFERROR(INDEX('Danh mục'!$D$39:$D$78,MATCH(D1336,'Danh mục'!$A$39:$A$78,0))&amp;"","?")))</f>
      </c>
      <c r="G1336" s="16">
        <f>IF(OR(D1336="",C1336&lt;&gt;"Chi"),"",IFERROR(INDEX('Danh mục'!$C$39:$C$78,MATCH(D1336,'Danh mục'!$A$39:$A$78,0))&amp;"",""))</f>
      </c>
      <c r="H1336" s="11"/>
      <c r="I1336" s="20"/>
      <c r="J1336" s="11"/>
      <c r="K1336" s="11"/>
      <c r="L1336" s="11"/>
    </row>
    <row r="1337" spans="1:12" x14ac:dyDescent="0.3">
      <c r="A1337" s="31"/>
      <c r="B1337" s="32">
        <f>IF(A1337="","",DATE(YEAR(A1337),MONTH(A1337),1))</f>
      </c>
      <c r="C1337" s="11"/>
      <c r="D1337" s="11"/>
      <c r="E1337" s="16">
        <f>IF(OR(D1337="",C1337&lt;&gt;"Chi"),"",IFERROR(INDEX('Danh mục'!$B$39:$B$78,MATCH(D1337,'Danh mục'!$A$39:$A$78,0))&amp;"","?"))</f>
      </c>
      <c r="F1337" s="16">
        <f>IF(D1337="","",IF(C1337="Thu",IFERROR(INDEX('Danh mục'!$B$26:$B$35,MATCH(D1337,'Danh mục'!$A$26:$A$35,0))&amp;"","?"),IFERROR(INDEX('Danh mục'!$D$39:$D$78,MATCH(D1337,'Danh mục'!$A$39:$A$78,0))&amp;"","?")))</f>
      </c>
      <c r="G1337" s="16">
        <f>IF(OR(D1337="",C1337&lt;&gt;"Chi"),"",IFERROR(INDEX('Danh mục'!$C$39:$C$78,MATCH(D1337,'Danh mục'!$A$39:$A$78,0))&amp;"",""))</f>
      </c>
      <c r="H1337" s="11"/>
      <c r="I1337" s="20"/>
      <c r="J1337" s="11"/>
      <c r="K1337" s="11"/>
      <c r="L1337" s="11"/>
    </row>
    <row r="1338" spans="1:12" x14ac:dyDescent="0.3">
      <c r="A1338" s="31"/>
      <c r="B1338" s="32">
        <f>IF(A1338="","",DATE(YEAR(A1338),MONTH(A1338),1))</f>
      </c>
      <c r="C1338" s="11"/>
      <c r="D1338" s="11"/>
      <c r="E1338" s="16">
        <f>IF(OR(D1338="",C1338&lt;&gt;"Chi"),"",IFERROR(INDEX('Danh mục'!$B$39:$B$78,MATCH(D1338,'Danh mục'!$A$39:$A$78,0))&amp;"","?"))</f>
      </c>
      <c r="F1338" s="16">
        <f>IF(D1338="","",IF(C1338="Thu",IFERROR(INDEX('Danh mục'!$B$26:$B$35,MATCH(D1338,'Danh mục'!$A$26:$A$35,0))&amp;"","?"),IFERROR(INDEX('Danh mục'!$D$39:$D$78,MATCH(D1338,'Danh mục'!$A$39:$A$78,0))&amp;"","?")))</f>
      </c>
      <c r="G1338" s="16">
        <f>IF(OR(D1338="",C1338&lt;&gt;"Chi"),"",IFERROR(INDEX('Danh mục'!$C$39:$C$78,MATCH(D1338,'Danh mục'!$A$39:$A$78,0))&amp;"",""))</f>
      </c>
      <c r="H1338" s="11"/>
      <c r="I1338" s="20"/>
      <c r="J1338" s="11"/>
      <c r="K1338" s="11"/>
      <c r="L1338" s="11"/>
    </row>
    <row r="1339" spans="1:12" x14ac:dyDescent="0.3">
      <c r="A1339" s="31"/>
      <c r="B1339" s="32">
        <f>IF(A1339="","",DATE(YEAR(A1339),MONTH(A1339),1))</f>
      </c>
      <c r="C1339" s="11"/>
      <c r="D1339" s="11"/>
      <c r="E1339" s="16">
        <f>IF(OR(D1339="",C1339&lt;&gt;"Chi"),"",IFERROR(INDEX('Danh mục'!$B$39:$B$78,MATCH(D1339,'Danh mục'!$A$39:$A$78,0))&amp;"","?"))</f>
      </c>
      <c r="F1339" s="16">
        <f>IF(D1339="","",IF(C1339="Thu",IFERROR(INDEX('Danh mục'!$B$26:$B$35,MATCH(D1339,'Danh mục'!$A$26:$A$35,0))&amp;"","?"),IFERROR(INDEX('Danh mục'!$D$39:$D$78,MATCH(D1339,'Danh mục'!$A$39:$A$78,0))&amp;"","?")))</f>
      </c>
      <c r="G1339" s="16">
        <f>IF(OR(D1339="",C1339&lt;&gt;"Chi"),"",IFERROR(INDEX('Danh mục'!$C$39:$C$78,MATCH(D1339,'Danh mục'!$A$39:$A$78,0))&amp;"",""))</f>
      </c>
      <c r="H1339" s="11"/>
      <c r="I1339" s="20"/>
      <c r="J1339" s="11"/>
      <c r="K1339" s="11"/>
      <c r="L1339" s="11"/>
    </row>
    <row r="1340" spans="1:12" x14ac:dyDescent="0.3">
      <c r="A1340" s="31"/>
      <c r="B1340" s="32">
        <f>IF(A1340="","",DATE(YEAR(A1340),MONTH(A1340),1))</f>
      </c>
      <c r="C1340" s="11"/>
      <c r="D1340" s="11"/>
      <c r="E1340" s="16">
        <f>IF(OR(D1340="",C1340&lt;&gt;"Chi"),"",IFERROR(INDEX('Danh mục'!$B$39:$B$78,MATCH(D1340,'Danh mục'!$A$39:$A$78,0))&amp;"","?"))</f>
      </c>
      <c r="F1340" s="16">
        <f>IF(D1340="","",IF(C1340="Thu",IFERROR(INDEX('Danh mục'!$B$26:$B$35,MATCH(D1340,'Danh mục'!$A$26:$A$35,0))&amp;"","?"),IFERROR(INDEX('Danh mục'!$D$39:$D$78,MATCH(D1340,'Danh mục'!$A$39:$A$78,0))&amp;"","?")))</f>
      </c>
      <c r="G1340" s="16">
        <f>IF(OR(D1340="",C1340&lt;&gt;"Chi"),"",IFERROR(INDEX('Danh mục'!$C$39:$C$78,MATCH(D1340,'Danh mục'!$A$39:$A$78,0))&amp;"",""))</f>
      </c>
      <c r="H1340" s="11"/>
      <c r="I1340" s="20"/>
      <c r="J1340" s="11"/>
      <c r="K1340" s="11"/>
      <c r="L1340" s="11"/>
    </row>
    <row r="1341" spans="1:12" x14ac:dyDescent="0.3">
      <c r="A1341" s="31"/>
      <c r="B1341" s="32">
        <f>IF(A1341="","",DATE(YEAR(A1341),MONTH(A1341),1))</f>
      </c>
      <c r="C1341" s="11"/>
      <c r="D1341" s="11"/>
      <c r="E1341" s="16">
        <f>IF(OR(D1341="",C1341&lt;&gt;"Chi"),"",IFERROR(INDEX('Danh mục'!$B$39:$B$78,MATCH(D1341,'Danh mục'!$A$39:$A$78,0))&amp;"","?"))</f>
      </c>
      <c r="F1341" s="16">
        <f>IF(D1341="","",IF(C1341="Thu",IFERROR(INDEX('Danh mục'!$B$26:$B$35,MATCH(D1341,'Danh mục'!$A$26:$A$35,0))&amp;"","?"),IFERROR(INDEX('Danh mục'!$D$39:$D$78,MATCH(D1341,'Danh mục'!$A$39:$A$78,0))&amp;"","?")))</f>
      </c>
      <c r="G1341" s="16">
        <f>IF(OR(D1341="",C1341&lt;&gt;"Chi"),"",IFERROR(INDEX('Danh mục'!$C$39:$C$78,MATCH(D1341,'Danh mục'!$A$39:$A$78,0))&amp;"",""))</f>
      </c>
      <c r="H1341" s="11"/>
      <c r="I1341" s="20"/>
      <c r="J1341" s="11"/>
      <c r="K1341" s="11"/>
      <c r="L1341" s="11"/>
    </row>
    <row r="1342" spans="1:12" x14ac:dyDescent="0.3">
      <c r="A1342" s="31"/>
      <c r="B1342" s="32">
        <f>IF(A1342="","",DATE(YEAR(A1342),MONTH(A1342),1))</f>
      </c>
      <c r="C1342" s="11"/>
      <c r="D1342" s="11"/>
      <c r="E1342" s="16">
        <f>IF(OR(D1342="",C1342&lt;&gt;"Chi"),"",IFERROR(INDEX('Danh mục'!$B$39:$B$78,MATCH(D1342,'Danh mục'!$A$39:$A$78,0))&amp;"","?"))</f>
      </c>
      <c r="F1342" s="16">
        <f>IF(D1342="","",IF(C1342="Thu",IFERROR(INDEX('Danh mục'!$B$26:$B$35,MATCH(D1342,'Danh mục'!$A$26:$A$35,0))&amp;"","?"),IFERROR(INDEX('Danh mục'!$D$39:$D$78,MATCH(D1342,'Danh mục'!$A$39:$A$78,0))&amp;"","?")))</f>
      </c>
      <c r="G1342" s="16">
        <f>IF(OR(D1342="",C1342&lt;&gt;"Chi"),"",IFERROR(INDEX('Danh mục'!$C$39:$C$78,MATCH(D1342,'Danh mục'!$A$39:$A$78,0))&amp;"",""))</f>
      </c>
      <c r="H1342" s="11"/>
      <c r="I1342" s="20"/>
      <c r="J1342" s="11"/>
      <c r="K1342" s="11"/>
      <c r="L1342" s="11"/>
    </row>
    <row r="1343" spans="1:12" x14ac:dyDescent="0.3">
      <c r="A1343" s="31"/>
      <c r="B1343" s="32">
        <f>IF(A1343="","",DATE(YEAR(A1343),MONTH(A1343),1))</f>
      </c>
      <c r="C1343" s="11"/>
      <c r="D1343" s="11"/>
      <c r="E1343" s="16">
        <f>IF(OR(D1343="",C1343&lt;&gt;"Chi"),"",IFERROR(INDEX('Danh mục'!$B$39:$B$78,MATCH(D1343,'Danh mục'!$A$39:$A$78,0))&amp;"","?"))</f>
      </c>
      <c r="F1343" s="16">
        <f>IF(D1343="","",IF(C1343="Thu",IFERROR(INDEX('Danh mục'!$B$26:$B$35,MATCH(D1343,'Danh mục'!$A$26:$A$35,0))&amp;"","?"),IFERROR(INDEX('Danh mục'!$D$39:$D$78,MATCH(D1343,'Danh mục'!$A$39:$A$78,0))&amp;"","?")))</f>
      </c>
      <c r="G1343" s="16">
        <f>IF(OR(D1343="",C1343&lt;&gt;"Chi"),"",IFERROR(INDEX('Danh mục'!$C$39:$C$78,MATCH(D1343,'Danh mục'!$A$39:$A$78,0))&amp;"",""))</f>
      </c>
      <c r="H1343" s="11"/>
      <c r="I1343" s="20"/>
      <c r="J1343" s="11"/>
      <c r="K1343" s="11"/>
      <c r="L1343" s="11"/>
    </row>
    <row r="1344" spans="1:12" x14ac:dyDescent="0.3">
      <c r="A1344" s="31"/>
      <c r="B1344" s="32">
        <f>IF(A1344="","",DATE(YEAR(A1344),MONTH(A1344),1))</f>
      </c>
      <c r="C1344" s="11"/>
      <c r="D1344" s="11"/>
      <c r="E1344" s="16">
        <f>IF(OR(D1344="",C1344&lt;&gt;"Chi"),"",IFERROR(INDEX('Danh mục'!$B$39:$B$78,MATCH(D1344,'Danh mục'!$A$39:$A$78,0))&amp;"","?"))</f>
      </c>
      <c r="F1344" s="16">
        <f>IF(D1344="","",IF(C1344="Thu",IFERROR(INDEX('Danh mục'!$B$26:$B$35,MATCH(D1344,'Danh mục'!$A$26:$A$35,0))&amp;"","?"),IFERROR(INDEX('Danh mục'!$D$39:$D$78,MATCH(D1344,'Danh mục'!$A$39:$A$78,0))&amp;"","?")))</f>
      </c>
      <c r="G1344" s="16">
        <f>IF(OR(D1344="",C1344&lt;&gt;"Chi"),"",IFERROR(INDEX('Danh mục'!$C$39:$C$78,MATCH(D1344,'Danh mục'!$A$39:$A$78,0))&amp;"",""))</f>
      </c>
      <c r="H1344" s="11"/>
      <c r="I1344" s="20"/>
      <c r="J1344" s="11"/>
      <c r="K1344" s="11"/>
      <c r="L1344" s="11"/>
    </row>
    <row r="1345" spans="1:12" x14ac:dyDescent="0.3">
      <c r="A1345" s="31"/>
      <c r="B1345" s="32">
        <f>IF(A1345="","",DATE(YEAR(A1345),MONTH(A1345),1))</f>
      </c>
      <c r="C1345" s="11"/>
      <c r="D1345" s="11"/>
      <c r="E1345" s="16">
        <f>IF(OR(D1345="",C1345&lt;&gt;"Chi"),"",IFERROR(INDEX('Danh mục'!$B$39:$B$78,MATCH(D1345,'Danh mục'!$A$39:$A$78,0))&amp;"","?"))</f>
      </c>
      <c r="F1345" s="16">
        <f>IF(D1345="","",IF(C1345="Thu",IFERROR(INDEX('Danh mục'!$B$26:$B$35,MATCH(D1345,'Danh mục'!$A$26:$A$35,0))&amp;"","?"),IFERROR(INDEX('Danh mục'!$D$39:$D$78,MATCH(D1345,'Danh mục'!$A$39:$A$78,0))&amp;"","?")))</f>
      </c>
      <c r="G1345" s="16">
        <f>IF(OR(D1345="",C1345&lt;&gt;"Chi"),"",IFERROR(INDEX('Danh mục'!$C$39:$C$78,MATCH(D1345,'Danh mục'!$A$39:$A$78,0))&amp;"",""))</f>
      </c>
      <c r="H1345" s="11"/>
      <c r="I1345" s="20"/>
      <c r="J1345" s="11"/>
      <c r="K1345" s="11"/>
      <c r="L1345" s="11"/>
    </row>
    <row r="1346" spans="1:12" x14ac:dyDescent="0.3">
      <c r="A1346" s="31"/>
      <c r="B1346" s="32">
        <f>IF(A1346="","",DATE(YEAR(A1346),MONTH(A1346),1))</f>
      </c>
      <c r="C1346" s="11"/>
      <c r="D1346" s="11"/>
      <c r="E1346" s="16">
        <f>IF(OR(D1346="",C1346&lt;&gt;"Chi"),"",IFERROR(INDEX('Danh mục'!$B$39:$B$78,MATCH(D1346,'Danh mục'!$A$39:$A$78,0))&amp;"","?"))</f>
      </c>
      <c r="F1346" s="16">
        <f>IF(D1346="","",IF(C1346="Thu",IFERROR(INDEX('Danh mục'!$B$26:$B$35,MATCH(D1346,'Danh mục'!$A$26:$A$35,0))&amp;"","?"),IFERROR(INDEX('Danh mục'!$D$39:$D$78,MATCH(D1346,'Danh mục'!$A$39:$A$78,0))&amp;"","?")))</f>
      </c>
      <c r="G1346" s="16">
        <f>IF(OR(D1346="",C1346&lt;&gt;"Chi"),"",IFERROR(INDEX('Danh mục'!$C$39:$C$78,MATCH(D1346,'Danh mục'!$A$39:$A$78,0))&amp;"",""))</f>
      </c>
      <c r="H1346" s="11"/>
      <c r="I1346" s="20"/>
      <c r="J1346" s="11"/>
      <c r="K1346" s="11"/>
      <c r="L1346" s="11"/>
    </row>
    <row r="1347" spans="1:12" x14ac:dyDescent="0.3">
      <c r="A1347" s="31"/>
      <c r="B1347" s="32">
        <f>IF(A1347="","",DATE(YEAR(A1347),MONTH(A1347),1))</f>
      </c>
      <c r="C1347" s="11"/>
      <c r="D1347" s="11"/>
      <c r="E1347" s="16">
        <f>IF(OR(D1347="",C1347&lt;&gt;"Chi"),"",IFERROR(INDEX('Danh mục'!$B$39:$B$78,MATCH(D1347,'Danh mục'!$A$39:$A$78,0))&amp;"","?"))</f>
      </c>
      <c r="F1347" s="16">
        <f>IF(D1347="","",IF(C1347="Thu",IFERROR(INDEX('Danh mục'!$B$26:$B$35,MATCH(D1347,'Danh mục'!$A$26:$A$35,0))&amp;"","?"),IFERROR(INDEX('Danh mục'!$D$39:$D$78,MATCH(D1347,'Danh mục'!$A$39:$A$78,0))&amp;"","?")))</f>
      </c>
      <c r="G1347" s="16">
        <f>IF(OR(D1347="",C1347&lt;&gt;"Chi"),"",IFERROR(INDEX('Danh mục'!$C$39:$C$78,MATCH(D1347,'Danh mục'!$A$39:$A$78,0))&amp;"",""))</f>
      </c>
      <c r="H1347" s="11"/>
      <c r="I1347" s="20"/>
      <c r="J1347" s="11"/>
      <c r="K1347" s="11"/>
      <c r="L1347" s="11"/>
    </row>
    <row r="1348" spans="1:12" x14ac:dyDescent="0.3">
      <c r="A1348" s="31"/>
      <c r="B1348" s="32">
        <f>IF(A1348="","",DATE(YEAR(A1348),MONTH(A1348),1))</f>
      </c>
      <c r="C1348" s="11"/>
      <c r="D1348" s="11"/>
      <c r="E1348" s="16">
        <f>IF(OR(D1348="",C1348&lt;&gt;"Chi"),"",IFERROR(INDEX('Danh mục'!$B$39:$B$78,MATCH(D1348,'Danh mục'!$A$39:$A$78,0))&amp;"","?"))</f>
      </c>
      <c r="F1348" s="16">
        <f>IF(D1348="","",IF(C1348="Thu",IFERROR(INDEX('Danh mục'!$B$26:$B$35,MATCH(D1348,'Danh mục'!$A$26:$A$35,0))&amp;"","?"),IFERROR(INDEX('Danh mục'!$D$39:$D$78,MATCH(D1348,'Danh mục'!$A$39:$A$78,0))&amp;"","?")))</f>
      </c>
      <c r="G1348" s="16">
        <f>IF(OR(D1348="",C1348&lt;&gt;"Chi"),"",IFERROR(INDEX('Danh mục'!$C$39:$C$78,MATCH(D1348,'Danh mục'!$A$39:$A$78,0))&amp;"",""))</f>
      </c>
      <c r="H1348" s="11"/>
      <c r="I1348" s="20"/>
      <c r="J1348" s="11"/>
      <c r="K1348" s="11"/>
      <c r="L1348" s="11"/>
    </row>
    <row r="1349" spans="1:12" x14ac:dyDescent="0.3">
      <c r="A1349" s="31"/>
      <c r="B1349" s="32">
        <f>IF(A1349="","",DATE(YEAR(A1349),MONTH(A1349),1))</f>
      </c>
      <c r="C1349" s="11"/>
      <c r="D1349" s="11"/>
      <c r="E1349" s="16">
        <f>IF(OR(D1349="",C1349&lt;&gt;"Chi"),"",IFERROR(INDEX('Danh mục'!$B$39:$B$78,MATCH(D1349,'Danh mục'!$A$39:$A$78,0))&amp;"","?"))</f>
      </c>
      <c r="F1349" s="16">
        <f>IF(D1349="","",IF(C1349="Thu",IFERROR(INDEX('Danh mục'!$B$26:$B$35,MATCH(D1349,'Danh mục'!$A$26:$A$35,0))&amp;"","?"),IFERROR(INDEX('Danh mục'!$D$39:$D$78,MATCH(D1349,'Danh mục'!$A$39:$A$78,0))&amp;"","?")))</f>
      </c>
      <c r="G1349" s="16">
        <f>IF(OR(D1349="",C1349&lt;&gt;"Chi"),"",IFERROR(INDEX('Danh mục'!$C$39:$C$78,MATCH(D1349,'Danh mục'!$A$39:$A$78,0))&amp;"",""))</f>
      </c>
      <c r="H1349" s="11"/>
      <c r="I1349" s="20"/>
      <c r="J1349" s="11"/>
      <c r="K1349" s="11"/>
      <c r="L1349" s="11"/>
    </row>
    <row r="1350" spans="1:12" x14ac:dyDescent="0.3">
      <c r="A1350" s="31"/>
      <c r="B1350" s="32">
        <f>IF(A1350="","",DATE(YEAR(A1350),MONTH(A1350),1))</f>
      </c>
      <c r="C1350" s="11"/>
      <c r="D1350" s="11"/>
      <c r="E1350" s="16">
        <f>IF(OR(D1350="",C1350&lt;&gt;"Chi"),"",IFERROR(INDEX('Danh mục'!$B$39:$B$78,MATCH(D1350,'Danh mục'!$A$39:$A$78,0))&amp;"","?"))</f>
      </c>
      <c r="F1350" s="16">
        <f>IF(D1350="","",IF(C1350="Thu",IFERROR(INDEX('Danh mục'!$B$26:$B$35,MATCH(D1350,'Danh mục'!$A$26:$A$35,0))&amp;"","?"),IFERROR(INDEX('Danh mục'!$D$39:$D$78,MATCH(D1350,'Danh mục'!$A$39:$A$78,0))&amp;"","?")))</f>
      </c>
      <c r="G1350" s="16">
        <f>IF(OR(D1350="",C1350&lt;&gt;"Chi"),"",IFERROR(INDEX('Danh mục'!$C$39:$C$78,MATCH(D1350,'Danh mục'!$A$39:$A$78,0))&amp;"",""))</f>
      </c>
      <c r="H1350" s="11"/>
      <c r="I1350" s="20"/>
      <c r="J1350" s="11"/>
      <c r="K1350" s="11"/>
      <c r="L1350" s="11"/>
    </row>
    <row r="1351" spans="1:12" x14ac:dyDescent="0.3">
      <c r="A1351" s="31"/>
      <c r="B1351" s="32">
        <f>IF(A1351="","",DATE(YEAR(A1351),MONTH(A1351),1))</f>
      </c>
      <c r="C1351" s="11"/>
      <c r="D1351" s="11"/>
      <c r="E1351" s="16">
        <f>IF(OR(D1351="",C1351&lt;&gt;"Chi"),"",IFERROR(INDEX('Danh mục'!$B$39:$B$78,MATCH(D1351,'Danh mục'!$A$39:$A$78,0))&amp;"","?"))</f>
      </c>
      <c r="F1351" s="16">
        <f>IF(D1351="","",IF(C1351="Thu",IFERROR(INDEX('Danh mục'!$B$26:$B$35,MATCH(D1351,'Danh mục'!$A$26:$A$35,0))&amp;"","?"),IFERROR(INDEX('Danh mục'!$D$39:$D$78,MATCH(D1351,'Danh mục'!$A$39:$A$78,0))&amp;"","?")))</f>
      </c>
      <c r="G1351" s="16">
        <f>IF(OR(D1351="",C1351&lt;&gt;"Chi"),"",IFERROR(INDEX('Danh mục'!$C$39:$C$78,MATCH(D1351,'Danh mục'!$A$39:$A$78,0))&amp;"",""))</f>
      </c>
      <c r="H1351" s="11"/>
      <c r="I1351" s="20"/>
      <c r="J1351" s="11"/>
      <c r="K1351" s="11"/>
      <c r="L1351" s="11"/>
    </row>
    <row r="1352" spans="1:12" x14ac:dyDescent="0.3">
      <c r="A1352" s="31"/>
      <c r="B1352" s="32">
        <f>IF(A1352="","",DATE(YEAR(A1352),MONTH(A1352),1))</f>
      </c>
      <c r="C1352" s="11"/>
      <c r="D1352" s="11"/>
      <c r="E1352" s="16">
        <f>IF(OR(D1352="",C1352&lt;&gt;"Chi"),"",IFERROR(INDEX('Danh mục'!$B$39:$B$78,MATCH(D1352,'Danh mục'!$A$39:$A$78,0))&amp;"","?"))</f>
      </c>
      <c r="F1352" s="16">
        <f>IF(D1352="","",IF(C1352="Thu",IFERROR(INDEX('Danh mục'!$B$26:$B$35,MATCH(D1352,'Danh mục'!$A$26:$A$35,0))&amp;"","?"),IFERROR(INDEX('Danh mục'!$D$39:$D$78,MATCH(D1352,'Danh mục'!$A$39:$A$78,0))&amp;"","?")))</f>
      </c>
      <c r="G1352" s="16">
        <f>IF(OR(D1352="",C1352&lt;&gt;"Chi"),"",IFERROR(INDEX('Danh mục'!$C$39:$C$78,MATCH(D1352,'Danh mục'!$A$39:$A$78,0))&amp;"",""))</f>
      </c>
      <c r="H1352" s="11"/>
      <c r="I1352" s="20"/>
      <c r="J1352" s="11"/>
      <c r="K1352" s="11"/>
      <c r="L1352" s="11"/>
    </row>
    <row r="1353" spans="1:12" x14ac:dyDescent="0.3">
      <c r="A1353" s="31"/>
      <c r="B1353" s="32">
        <f>IF(A1353="","",DATE(YEAR(A1353),MONTH(A1353),1))</f>
      </c>
      <c r="C1353" s="11"/>
      <c r="D1353" s="11"/>
      <c r="E1353" s="16">
        <f>IF(OR(D1353="",C1353&lt;&gt;"Chi"),"",IFERROR(INDEX('Danh mục'!$B$39:$B$78,MATCH(D1353,'Danh mục'!$A$39:$A$78,0))&amp;"","?"))</f>
      </c>
      <c r="F1353" s="16">
        <f>IF(D1353="","",IF(C1353="Thu",IFERROR(INDEX('Danh mục'!$B$26:$B$35,MATCH(D1353,'Danh mục'!$A$26:$A$35,0))&amp;"","?"),IFERROR(INDEX('Danh mục'!$D$39:$D$78,MATCH(D1353,'Danh mục'!$A$39:$A$78,0))&amp;"","?")))</f>
      </c>
      <c r="G1353" s="16">
        <f>IF(OR(D1353="",C1353&lt;&gt;"Chi"),"",IFERROR(INDEX('Danh mục'!$C$39:$C$78,MATCH(D1353,'Danh mục'!$A$39:$A$78,0))&amp;"",""))</f>
      </c>
      <c r="H1353" s="11"/>
      <c r="I1353" s="20"/>
      <c r="J1353" s="11"/>
      <c r="K1353" s="11"/>
      <c r="L1353" s="11"/>
    </row>
    <row r="1354" spans="1:12" x14ac:dyDescent="0.3">
      <c r="A1354" s="31"/>
      <c r="B1354" s="32">
        <f>IF(A1354="","",DATE(YEAR(A1354),MONTH(A1354),1))</f>
      </c>
      <c r="C1354" s="11"/>
      <c r="D1354" s="11"/>
      <c r="E1354" s="16">
        <f>IF(OR(D1354="",C1354&lt;&gt;"Chi"),"",IFERROR(INDEX('Danh mục'!$B$39:$B$78,MATCH(D1354,'Danh mục'!$A$39:$A$78,0))&amp;"","?"))</f>
      </c>
      <c r="F1354" s="16">
        <f>IF(D1354="","",IF(C1354="Thu",IFERROR(INDEX('Danh mục'!$B$26:$B$35,MATCH(D1354,'Danh mục'!$A$26:$A$35,0))&amp;"","?"),IFERROR(INDEX('Danh mục'!$D$39:$D$78,MATCH(D1354,'Danh mục'!$A$39:$A$78,0))&amp;"","?")))</f>
      </c>
      <c r="G1354" s="16">
        <f>IF(OR(D1354="",C1354&lt;&gt;"Chi"),"",IFERROR(INDEX('Danh mục'!$C$39:$C$78,MATCH(D1354,'Danh mục'!$A$39:$A$78,0))&amp;"",""))</f>
      </c>
      <c r="H1354" s="11"/>
      <c r="I1354" s="20"/>
      <c r="J1354" s="11"/>
      <c r="K1354" s="11"/>
      <c r="L1354" s="11"/>
    </row>
    <row r="1355" spans="1:12" x14ac:dyDescent="0.3">
      <c r="A1355" s="31"/>
      <c r="B1355" s="32">
        <f>IF(A1355="","",DATE(YEAR(A1355),MONTH(A1355),1))</f>
      </c>
      <c r="C1355" s="11"/>
      <c r="D1355" s="11"/>
      <c r="E1355" s="16">
        <f>IF(OR(D1355="",C1355&lt;&gt;"Chi"),"",IFERROR(INDEX('Danh mục'!$B$39:$B$78,MATCH(D1355,'Danh mục'!$A$39:$A$78,0))&amp;"","?"))</f>
      </c>
      <c r="F1355" s="16">
        <f>IF(D1355="","",IF(C1355="Thu",IFERROR(INDEX('Danh mục'!$B$26:$B$35,MATCH(D1355,'Danh mục'!$A$26:$A$35,0))&amp;"","?"),IFERROR(INDEX('Danh mục'!$D$39:$D$78,MATCH(D1355,'Danh mục'!$A$39:$A$78,0))&amp;"","?")))</f>
      </c>
      <c r="G1355" s="16">
        <f>IF(OR(D1355="",C1355&lt;&gt;"Chi"),"",IFERROR(INDEX('Danh mục'!$C$39:$C$78,MATCH(D1355,'Danh mục'!$A$39:$A$78,0))&amp;"",""))</f>
      </c>
      <c r="H1355" s="11"/>
      <c r="I1355" s="20"/>
      <c r="J1355" s="11"/>
      <c r="K1355" s="11"/>
      <c r="L1355" s="11"/>
    </row>
    <row r="1356" spans="1:12" x14ac:dyDescent="0.3">
      <c r="A1356" s="31"/>
      <c r="B1356" s="32">
        <f>IF(A1356="","",DATE(YEAR(A1356),MONTH(A1356),1))</f>
      </c>
      <c r="C1356" s="11"/>
      <c r="D1356" s="11"/>
      <c r="E1356" s="16">
        <f>IF(OR(D1356="",C1356&lt;&gt;"Chi"),"",IFERROR(INDEX('Danh mục'!$B$39:$B$78,MATCH(D1356,'Danh mục'!$A$39:$A$78,0))&amp;"","?"))</f>
      </c>
      <c r="F1356" s="16">
        <f>IF(D1356="","",IF(C1356="Thu",IFERROR(INDEX('Danh mục'!$B$26:$B$35,MATCH(D1356,'Danh mục'!$A$26:$A$35,0))&amp;"","?"),IFERROR(INDEX('Danh mục'!$D$39:$D$78,MATCH(D1356,'Danh mục'!$A$39:$A$78,0))&amp;"","?")))</f>
      </c>
      <c r="G1356" s="16">
        <f>IF(OR(D1356="",C1356&lt;&gt;"Chi"),"",IFERROR(INDEX('Danh mục'!$C$39:$C$78,MATCH(D1356,'Danh mục'!$A$39:$A$78,0))&amp;"",""))</f>
      </c>
      <c r="H1356" s="11"/>
      <c r="I1356" s="20"/>
      <c r="J1356" s="11"/>
      <c r="K1356" s="11"/>
      <c r="L1356" s="11"/>
    </row>
    <row r="1357" spans="1:12" x14ac:dyDescent="0.3">
      <c r="A1357" s="31"/>
      <c r="B1357" s="32">
        <f>IF(A1357="","",DATE(YEAR(A1357),MONTH(A1357),1))</f>
      </c>
      <c r="C1357" s="11"/>
      <c r="D1357" s="11"/>
      <c r="E1357" s="16">
        <f>IF(OR(D1357="",C1357&lt;&gt;"Chi"),"",IFERROR(INDEX('Danh mục'!$B$39:$B$78,MATCH(D1357,'Danh mục'!$A$39:$A$78,0))&amp;"","?"))</f>
      </c>
      <c r="F1357" s="16">
        <f>IF(D1357="","",IF(C1357="Thu",IFERROR(INDEX('Danh mục'!$B$26:$B$35,MATCH(D1357,'Danh mục'!$A$26:$A$35,0))&amp;"","?"),IFERROR(INDEX('Danh mục'!$D$39:$D$78,MATCH(D1357,'Danh mục'!$A$39:$A$78,0))&amp;"","?")))</f>
      </c>
      <c r="G1357" s="16">
        <f>IF(OR(D1357="",C1357&lt;&gt;"Chi"),"",IFERROR(INDEX('Danh mục'!$C$39:$C$78,MATCH(D1357,'Danh mục'!$A$39:$A$78,0))&amp;"",""))</f>
      </c>
      <c r="H1357" s="11"/>
      <c r="I1357" s="20"/>
      <c r="J1357" s="11"/>
      <c r="K1357" s="11"/>
      <c r="L1357" s="11"/>
    </row>
    <row r="1358" spans="1:12" x14ac:dyDescent="0.3">
      <c r="A1358" s="31"/>
      <c r="B1358" s="32">
        <f>IF(A1358="","",DATE(YEAR(A1358),MONTH(A1358),1))</f>
      </c>
      <c r="C1358" s="11"/>
      <c r="D1358" s="11"/>
      <c r="E1358" s="16">
        <f>IF(OR(D1358="",C1358&lt;&gt;"Chi"),"",IFERROR(INDEX('Danh mục'!$B$39:$B$78,MATCH(D1358,'Danh mục'!$A$39:$A$78,0))&amp;"","?"))</f>
      </c>
      <c r="F1358" s="16">
        <f>IF(D1358="","",IF(C1358="Thu",IFERROR(INDEX('Danh mục'!$B$26:$B$35,MATCH(D1358,'Danh mục'!$A$26:$A$35,0))&amp;"","?"),IFERROR(INDEX('Danh mục'!$D$39:$D$78,MATCH(D1358,'Danh mục'!$A$39:$A$78,0))&amp;"","?")))</f>
      </c>
      <c r="G1358" s="16">
        <f>IF(OR(D1358="",C1358&lt;&gt;"Chi"),"",IFERROR(INDEX('Danh mục'!$C$39:$C$78,MATCH(D1358,'Danh mục'!$A$39:$A$78,0))&amp;"",""))</f>
      </c>
      <c r="H1358" s="11"/>
      <c r="I1358" s="20"/>
      <c r="J1358" s="11"/>
      <c r="K1358" s="11"/>
      <c r="L1358" s="11"/>
    </row>
    <row r="1359" spans="1:12" x14ac:dyDescent="0.3">
      <c r="A1359" s="31"/>
      <c r="B1359" s="32">
        <f>IF(A1359="","",DATE(YEAR(A1359),MONTH(A1359),1))</f>
      </c>
      <c r="C1359" s="11"/>
      <c r="D1359" s="11"/>
      <c r="E1359" s="16">
        <f>IF(OR(D1359="",C1359&lt;&gt;"Chi"),"",IFERROR(INDEX('Danh mục'!$B$39:$B$78,MATCH(D1359,'Danh mục'!$A$39:$A$78,0))&amp;"","?"))</f>
      </c>
      <c r="F1359" s="16">
        <f>IF(D1359="","",IF(C1359="Thu",IFERROR(INDEX('Danh mục'!$B$26:$B$35,MATCH(D1359,'Danh mục'!$A$26:$A$35,0))&amp;"","?"),IFERROR(INDEX('Danh mục'!$D$39:$D$78,MATCH(D1359,'Danh mục'!$A$39:$A$78,0))&amp;"","?")))</f>
      </c>
      <c r="G1359" s="16">
        <f>IF(OR(D1359="",C1359&lt;&gt;"Chi"),"",IFERROR(INDEX('Danh mục'!$C$39:$C$78,MATCH(D1359,'Danh mục'!$A$39:$A$78,0))&amp;"",""))</f>
      </c>
      <c r="H1359" s="11"/>
      <c r="I1359" s="20"/>
      <c r="J1359" s="11"/>
      <c r="K1359" s="11"/>
      <c r="L1359" s="11"/>
    </row>
    <row r="1360" spans="1:12" x14ac:dyDescent="0.3">
      <c r="A1360" s="31"/>
      <c r="B1360" s="32">
        <f>IF(A1360="","",DATE(YEAR(A1360),MONTH(A1360),1))</f>
      </c>
      <c r="C1360" s="11"/>
      <c r="D1360" s="11"/>
      <c r="E1360" s="16">
        <f>IF(OR(D1360="",C1360&lt;&gt;"Chi"),"",IFERROR(INDEX('Danh mục'!$B$39:$B$78,MATCH(D1360,'Danh mục'!$A$39:$A$78,0))&amp;"","?"))</f>
      </c>
      <c r="F1360" s="16">
        <f>IF(D1360="","",IF(C1360="Thu",IFERROR(INDEX('Danh mục'!$B$26:$B$35,MATCH(D1360,'Danh mục'!$A$26:$A$35,0))&amp;"","?"),IFERROR(INDEX('Danh mục'!$D$39:$D$78,MATCH(D1360,'Danh mục'!$A$39:$A$78,0))&amp;"","?")))</f>
      </c>
      <c r="G1360" s="16">
        <f>IF(OR(D1360="",C1360&lt;&gt;"Chi"),"",IFERROR(INDEX('Danh mục'!$C$39:$C$78,MATCH(D1360,'Danh mục'!$A$39:$A$78,0))&amp;"",""))</f>
      </c>
      <c r="H1360" s="11"/>
      <c r="I1360" s="20"/>
      <c r="J1360" s="11"/>
      <c r="K1360" s="11"/>
      <c r="L1360" s="11"/>
    </row>
    <row r="1361" spans="1:12" x14ac:dyDescent="0.3">
      <c r="A1361" s="31"/>
      <c r="B1361" s="32">
        <f>IF(A1361="","",DATE(YEAR(A1361),MONTH(A1361),1))</f>
      </c>
      <c r="C1361" s="11"/>
      <c r="D1361" s="11"/>
      <c r="E1361" s="16">
        <f>IF(OR(D1361="",C1361&lt;&gt;"Chi"),"",IFERROR(INDEX('Danh mục'!$B$39:$B$78,MATCH(D1361,'Danh mục'!$A$39:$A$78,0))&amp;"","?"))</f>
      </c>
      <c r="F1361" s="16">
        <f>IF(D1361="","",IF(C1361="Thu",IFERROR(INDEX('Danh mục'!$B$26:$B$35,MATCH(D1361,'Danh mục'!$A$26:$A$35,0))&amp;"","?"),IFERROR(INDEX('Danh mục'!$D$39:$D$78,MATCH(D1361,'Danh mục'!$A$39:$A$78,0))&amp;"","?")))</f>
      </c>
      <c r="G1361" s="16">
        <f>IF(OR(D1361="",C1361&lt;&gt;"Chi"),"",IFERROR(INDEX('Danh mục'!$C$39:$C$78,MATCH(D1361,'Danh mục'!$A$39:$A$78,0))&amp;"",""))</f>
      </c>
      <c r="H1361" s="11"/>
      <c r="I1361" s="20"/>
      <c r="J1361" s="11"/>
      <c r="K1361" s="11"/>
      <c r="L1361" s="11"/>
    </row>
    <row r="1362" spans="1:12" x14ac:dyDescent="0.3">
      <c r="A1362" s="31"/>
      <c r="B1362" s="32">
        <f>IF(A1362="","",DATE(YEAR(A1362),MONTH(A1362),1))</f>
      </c>
      <c r="C1362" s="11"/>
      <c r="D1362" s="11"/>
      <c r="E1362" s="16">
        <f>IF(OR(D1362="",C1362&lt;&gt;"Chi"),"",IFERROR(INDEX('Danh mục'!$B$39:$B$78,MATCH(D1362,'Danh mục'!$A$39:$A$78,0))&amp;"","?"))</f>
      </c>
      <c r="F1362" s="16">
        <f>IF(D1362="","",IF(C1362="Thu",IFERROR(INDEX('Danh mục'!$B$26:$B$35,MATCH(D1362,'Danh mục'!$A$26:$A$35,0))&amp;"","?"),IFERROR(INDEX('Danh mục'!$D$39:$D$78,MATCH(D1362,'Danh mục'!$A$39:$A$78,0))&amp;"","?")))</f>
      </c>
      <c r="G1362" s="16">
        <f>IF(OR(D1362="",C1362&lt;&gt;"Chi"),"",IFERROR(INDEX('Danh mục'!$C$39:$C$78,MATCH(D1362,'Danh mục'!$A$39:$A$78,0))&amp;"",""))</f>
      </c>
      <c r="H1362" s="11"/>
      <c r="I1362" s="20"/>
      <c r="J1362" s="11"/>
      <c r="K1362" s="11"/>
      <c r="L1362" s="11"/>
    </row>
    <row r="1363" spans="1:12" x14ac:dyDescent="0.3">
      <c r="A1363" s="31"/>
      <c r="B1363" s="32">
        <f>IF(A1363="","",DATE(YEAR(A1363),MONTH(A1363),1))</f>
      </c>
      <c r="C1363" s="11"/>
      <c r="D1363" s="11"/>
      <c r="E1363" s="16">
        <f>IF(OR(D1363="",C1363&lt;&gt;"Chi"),"",IFERROR(INDEX('Danh mục'!$B$39:$B$78,MATCH(D1363,'Danh mục'!$A$39:$A$78,0))&amp;"","?"))</f>
      </c>
      <c r="F1363" s="16">
        <f>IF(D1363="","",IF(C1363="Thu",IFERROR(INDEX('Danh mục'!$B$26:$B$35,MATCH(D1363,'Danh mục'!$A$26:$A$35,0))&amp;"","?"),IFERROR(INDEX('Danh mục'!$D$39:$D$78,MATCH(D1363,'Danh mục'!$A$39:$A$78,0))&amp;"","?")))</f>
      </c>
      <c r="G1363" s="16">
        <f>IF(OR(D1363="",C1363&lt;&gt;"Chi"),"",IFERROR(INDEX('Danh mục'!$C$39:$C$78,MATCH(D1363,'Danh mục'!$A$39:$A$78,0))&amp;"",""))</f>
      </c>
      <c r="H1363" s="11"/>
      <c r="I1363" s="20"/>
      <c r="J1363" s="11"/>
      <c r="K1363" s="11"/>
      <c r="L1363" s="11"/>
    </row>
    <row r="1364" spans="1:12" x14ac:dyDescent="0.3">
      <c r="A1364" s="31"/>
      <c r="B1364" s="32">
        <f>IF(A1364="","",DATE(YEAR(A1364),MONTH(A1364),1))</f>
      </c>
      <c r="C1364" s="11"/>
      <c r="D1364" s="11"/>
      <c r="E1364" s="16">
        <f>IF(OR(D1364="",C1364&lt;&gt;"Chi"),"",IFERROR(INDEX('Danh mục'!$B$39:$B$78,MATCH(D1364,'Danh mục'!$A$39:$A$78,0))&amp;"","?"))</f>
      </c>
      <c r="F1364" s="16">
        <f>IF(D1364="","",IF(C1364="Thu",IFERROR(INDEX('Danh mục'!$B$26:$B$35,MATCH(D1364,'Danh mục'!$A$26:$A$35,0))&amp;"","?"),IFERROR(INDEX('Danh mục'!$D$39:$D$78,MATCH(D1364,'Danh mục'!$A$39:$A$78,0))&amp;"","?")))</f>
      </c>
      <c r="G1364" s="16">
        <f>IF(OR(D1364="",C1364&lt;&gt;"Chi"),"",IFERROR(INDEX('Danh mục'!$C$39:$C$78,MATCH(D1364,'Danh mục'!$A$39:$A$78,0))&amp;"",""))</f>
      </c>
      <c r="H1364" s="11"/>
      <c r="I1364" s="20"/>
      <c r="J1364" s="11"/>
      <c r="K1364" s="11"/>
      <c r="L1364" s="11"/>
    </row>
    <row r="1365" spans="1:12" x14ac:dyDescent="0.3">
      <c r="A1365" s="31"/>
      <c r="B1365" s="32">
        <f>IF(A1365="","",DATE(YEAR(A1365),MONTH(A1365),1))</f>
      </c>
      <c r="C1365" s="11"/>
      <c r="D1365" s="11"/>
      <c r="E1365" s="16">
        <f>IF(OR(D1365="",C1365&lt;&gt;"Chi"),"",IFERROR(INDEX('Danh mục'!$B$39:$B$78,MATCH(D1365,'Danh mục'!$A$39:$A$78,0))&amp;"","?"))</f>
      </c>
      <c r="F1365" s="16">
        <f>IF(D1365="","",IF(C1365="Thu",IFERROR(INDEX('Danh mục'!$B$26:$B$35,MATCH(D1365,'Danh mục'!$A$26:$A$35,0))&amp;"","?"),IFERROR(INDEX('Danh mục'!$D$39:$D$78,MATCH(D1365,'Danh mục'!$A$39:$A$78,0))&amp;"","?")))</f>
      </c>
      <c r="G1365" s="16">
        <f>IF(OR(D1365="",C1365&lt;&gt;"Chi"),"",IFERROR(INDEX('Danh mục'!$C$39:$C$78,MATCH(D1365,'Danh mục'!$A$39:$A$78,0))&amp;"",""))</f>
      </c>
      <c r="H1365" s="11"/>
      <c r="I1365" s="20"/>
      <c r="J1365" s="11"/>
      <c r="K1365" s="11"/>
      <c r="L1365" s="11"/>
    </row>
    <row r="1366" spans="1:12" x14ac:dyDescent="0.3">
      <c r="A1366" s="31"/>
      <c r="B1366" s="32">
        <f>IF(A1366="","",DATE(YEAR(A1366),MONTH(A1366),1))</f>
      </c>
      <c r="C1366" s="11"/>
      <c r="D1366" s="11"/>
      <c r="E1366" s="16">
        <f>IF(OR(D1366="",C1366&lt;&gt;"Chi"),"",IFERROR(INDEX('Danh mục'!$B$39:$B$78,MATCH(D1366,'Danh mục'!$A$39:$A$78,0))&amp;"","?"))</f>
      </c>
      <c r="F1366" s="16">
        <f>IF(D1366="","",IF(C1366="Thu",IFERROR(INDEX('Danh mục'!$B$26:$B$35,MATCH(D1366,'Danh mục'!$A$26:$A$35,0))&amp;"","?"),IFERROR(INDEX('Danh mục'!$D$39:$D$78,MATCH(D1366,'Danh mục'!$A$39:$A$78,0))&amp;"","?")))</f>
      </c>
      <c r="G1366" s="16">
        <f>IF(OR(D1366="",C1366&lt;&gt;"Chi"),"",IFERROR(INDEX('Danh mục'!$C$39:$C$78,MATCH(D1366,'Danh mục'!$A$39:$A$78,0))&amp;"",""))</f>
      </c>
      <c r="H1366" s="11"/>
      <c r="I1366" s="20"/>
      <c r="J1366" s="11"/>
      <c r="K1366" s="11"/>
      <c r="L1366" s="11"/>
    </row>
    <row r="1367" spans="1:12" x14ac:dyDescent="0.3">
      <c r="A1367" s="31"/>
      <c r="B1367" s="32">
        <f>IF(A1367="","",DATE(YEAR(A1367),MONTH(A1367),1))</f>
      </c>
      <c r="C1367" s="11"/>
      <c r="D1367" s="11"/>
      <c r="E1367" s="16">
        <f>IF(OR(D1367="",C1367&lt;&gt;"Chi"),"",IFERROR(INDEX('Danh mục'!$B$39:$B$78,MATCH(D1367,'Danh mục'!$A$39:$A$78,0))&amp;"","?"))</f>
      </c>
      <c r="F1367" s="16">
        <f>IF(D1367="","",IF(C1367="Thu",IFERROR(INDEX('Danh mục'!$B$26:$B$35,MATCH(D1367,'Danh mục'!$A$26:$A$35,0))&amp;"","?"),IFERROR(INDEX('Danh mục'!$D$39:$D$78,MATCH(D1367,'Danh mục'!$A$39:$A$78,0))&amp;"","?")))</f>
      </c>
      <c r="G1367" s="16">
        <f>IF(OR(D1367="",C1367&lt;&gt;"Chi"),"",IFERROR(INDEX('Danh mục'!$C$39:$C$78,MATCH(D1367,'Danh mục'!$A$39:$A$78,0))&amp;"",""))</f>
      </c>
      <c r="H1367" s="11"/>
      <c r="I1367" s="20"/>
      <c r="J1367" s="11"/>
      <c r="K1367" s="11"/>
      <c r="L1367" s="11"/>
    </row>
    <row r="1368" spans="1:12" x14ac:dyDescent="0.3">
      <c r="A1368" s="31"/>
      <c r="B1368" s="32">
        <f>IF(A1368="","",DATE(YEAR(A1368),MONTH(A1368),1))</f>
      </c>
      <c r="C1368" s="11"/>
      <c r="D1368" s="11"/>
      <c r="E1368" s="16">
        <f>IF(OR(D1368="",C1368&lt;&gt;"Chi"),"",IFERROR(INDEX('Danh mục'!$B$39:$B$78,MATCH(D1368,'Danh mục'!$A$39:$A$78,0))&amp;"","?"))</f>
      </c>
      <c r="F1368" s="16">
        <f>IF(D1368="","",IF(C1368="Thu",IFERROR(INDEX('Danh mục'!$B$26:$B$35,MATCH(D1368,'Danh mục'!$A$26:$A$35,0))&amp;"","?"),IFERROR(INDEX('Danh mục'!$D$39:$D$78,MATCH(D1368,'Danh mục'!$A$39:$A$78,0))&amp;"","?")))</f>
      </c>
      <c r="G1368" s="16">
        <f>IF(OR(D1368="",C1368&lt;&gt;"Chi"),"",IFERROR(INDEX('Danh mục'!$C$39:$C$78,MATCH(D1368,'Danh mục'!$A$39:$A$78,0))&amp;"",""))</f>
      </c>
      <c r="H1368" s="11"/>
      <c r="I1368" s="20"/>
      <c r="J1368" s="11"/>
      <c r="K1368" s="11"/>
      <c r="L1368" s="11"/>
    </row>
    <row r="1369" spans="1:12" x14ac:dyDescent="0.3">
      <c r="A1369" s="31"/>
      <c r="B1369" s="32">
        <f>IF(A1369="","",DATE(YEAR(A1369),MONTH(A1369),1))</f>
      </c>
      <c r="C1369" s="11"/>
      <c r="D1369" s="11"/>
      <c r="E1369" s="16">
        <f>IF(OR(D1369="",C1369&lt;&gt;"Chi"),"",IFERROR(INDEX('Danh mục'!$B$39:$B$78,MATCH(D1369,'Danh mục'!$A$39:$A$78,0))&amp;"","?"))</f>
      </c>
      <c r="F1369" s="16">
        <f>IF(D1369="","",IF(C1369="Thu",IFERROR(INDEX('Danh mục'!$B$26:$B$35,MATCH(D1369,'Danh mục'!$A$26:$A$35,0))&amp;"","?"),IFERROR(INDEX('Danh mục'!$D$39:$D$78,MATCH(D1369,'Danh mục'!$A$39:$A$78,0))&amp;"","?")))</f>
      </c>
      <c r="G1369" s="16">
        <f>IF(OR(D1369="",C1369&lt;&gt;"Chi"),"",IFERROR(INDEX('Danh mục'!$C$39:$C$78,MATCH(D1369,'Danh mục'!$A$39:$A$78,0))&amp;"",""))</f>
      </c>
      <c r="H1369" s="11"/>
      <c r="I1369" s="20"/>
      <c r="J1369" s="11"/>
      <c r="K1369" s="11"/>
      <c r="L1369" s="11"/>
    </row>
    <row r="1370" spans="1:12" x14ac:dyDescent="0.3">
      <c r="A1370" s="31"/>
      <c r="B1370" s="32">
        <f>IF(A1370="","",DATE(YEAR(A1370),MONTH(A1370),1))</f>
      </c>
      <c r="C1370" s="11"/>
      <c r="D1370" s="11"/>
      <c r="E1370" s="16">
        <f>IF(OR(D1370="",C1370&lt;&gt;"Chi"),"",IFERROR(INDEX('Danh mục'!$B$39:$B$78,MATCH(D1370,'Danh mục'!$A$39:$A$78,0))&amp;"","?"))</f>
      </c>
      <c r="F1370" s="16">
        <f>IF(D1370="","",IF(C1370="Thu",IFERROR(INDEX('Danh mục'!$B$26:$B$35,MATCH(D1370,'Danh mục'!$A$26:$A$35,0))&amp;"","?"),IFERROR(INDEX('Danh mục'!$D$39:$D$78,MATCH(D1370,'Danh mục'!$A$39:$A$78,0))&amp;"","?")))</f>
      </c>
      <c r="G1370" s="16">
        <f>IF(OR(D1370="",C1370&lt;&gt;"Chi"),"",IFERROR(INDEX('Danh mục'!$C$39:$C$78,MATCH(D1370,'Danh mục'!$A$39:$A$78,0))&amp;"",""))</f>
      </c>
      <c r="H1370" s="11"/>
      <c r="I1370" s="20"/>
      <c r="J1370" s="11"/>
      <c r="K1370" s="11"/>
      <c r="L1370" s="11"/>
    </row>
    <row r="1371" spans="1:12" x14ac:dyDescent="0.3">
      <c r="A1371" s="31"/>
      <c r="B1371" s="32">
        <f>IF(A1371="","",DATE(YEAR(A1371),MONTH(A1371),1))</f>
      </c>
      <c r="C1371" s="11"/>
      <c r="D1371" s="11"/>
      <c r="E1371" s="16">
        <f>IF(OR(D1371="",C1371&lt;&gt;"Chi"),"",IFERROR(INDEX('Danh mục'!$B$39:$B$78,MATCH(D1371,'Danh mục'!$A$39:$A$78,0))&amp;"","?"))</f>
      </c>
      <c r="F1371" s="16">
        <f>IF(D1371="","",IF(C1371="Thu",IFERROR(INDEX('Danh mục'!$B$26:$B$35,MATCH(D1371,'Danh mục'!$A$26:$A$35,0))&amp;"","?"),IFERROR(INDEX('Danh mục'!$D$39:$D$78,MATCH(D1371,'Danh mục'!$A$39:$A$78,0))&amp;"","?")))</f>
      </c>
      <c r="G1371" s="16">
        <f>IF(OR(D1371="",C1371&lt;&gt;"Chi"),"",IFERROR(INDEX('Danh mục'!$C$39:$C$78,MATCH(D1371,'Danh mục'!$A$39:$A$78,0))&amp;"",""))</f>
      </c>
      <c r="H1371" s="11"/>
      <c r="I1371" s="20"/>
      <c r="J1371" s="11"/>
      <c r="K1371" s="11"/>
      <c r="L1371" s="11"/>
    </row>
    <row r="1372" spans="1:12" x14ac:dyDescent="0.3">
      <c r="A1372" s="31"/>
      <c r="B1372" s="32">
        <f>IF(A1372="","",DATE(YEAR(A1372),MONTH(A1372),1))</f>
      </c>
      <c r="C1372" s="11"/>
      <c r="D1372" s="11"/>
      <c r="E1372" s="16">
        <f>IF(OR(D1372="",C1372&lt;&gt;"Chi"),"",IFERROR(INDEX('Danh mục'!$B$39:$B$78,MATCH(D1372,'Danh mục'!$A$39:$A$78,0))&amp;"","?"))</f>
      </c>
      <c r="F1372" s="16">
        <f>IF(D1372="","",IF(C1372="Thu",IFERROR(INDEX('Danh mục'!$B$26:$B$35,MATCH(D1372,'Danh mục'!$A$26:$A$35,0))&amp;"","?"),IFERROR(INDEX('Danh mục'!$D$39:$D$78,MATCH(D1372,'Danh mục'!$A$39:$A$78,0))&amp;"","?")))</f>
      </c>
      <c r="G1372" s="16">
        <f>IF(OR(D1372="",C1372&lt;&gt;"Chi"),"",IFERROR(INDEX('Danh mục'!$C$39:$C$78,MATCH(D1372,'Danh mục'!$A$39:$A$78,0))&amp;"",""))</f>
      </c>
      <c r="H1372" s="11"/>
      <c r="I1372" s="20"/>
      <c r="J1372" s="11"/>
      <c r="K1372" s="11"/>
      <c r="L1372" s="11"/>
    </row>
    <row r="1373" spans="1:12" x14ac:dyDescent="0.3">
      <c r="A1373" s="31"/>
      <c r="B1373" s="32">
        <f>IF(A1373="","",DATE(YEAR(A1373),MONTH(A1373),1))</f>
      </c>
      <c r="C1373" s="11"/>
      <c r="D1373" s="11"/>
      <c r="E1373" s="16">
        <f>IF(OR(D1373="",C1373&lt;&gt;"Chi"),"",IFERROR(INDEX('Danh mục'!$B$39:$B$78,MATCH(D1373,'Danh mục'!$A$39:$A$78,0))&amp;"","?"))</f>
      </c>
      <c r="F1373" s="16">
        <f>IF(D1373="","",IF(C1373="Thu",IFERROR(INDEX('Danh mục'!$B$26:$B$35,MATCH(D1373,'Danh mục'!$A$26:$A$35,0))&amp;"","?"),IFERROR(INDEX('Danh mục'!$D$39:$D$78,MATCH(D1373,'Danh mục'!$A$39:$A$78,0))&amp;"","?")))</f>
      </c>
      <c r="G1373" s="16">
        <f>IF(OR(D1373="",C1373&lt;&gt;"Chi"),"",IFERROR(INDEX('Danh mục'!$C$39:$C$78,MATCH(D1373,'Danh mục'!$A$39:$A$78,0))&amp;"",""))</f>
      </c>
      <c r="H1373" s="11"/>
      <c r="I1373" s="20"/>
      <c r="J1373" s="11"/>
      <c r="K1373" s="11"/>
      <c r="L1373" s="11"/>
    </row>
    <row r="1374" spans="1:12" x14ac:dyDescent="0.3">
      <c r="A1374" s="31"/>
      <c r="B1374" s="32">
        <f>IF(A1374="","",DATE(YEAR(A1374),MONTH(A1374),1))</f>
      </c>
      <c r="C1374" s="11"/>
      <c r="D1374" s="11"/>
      <c r="E1374" s="16">
        <f>IF(OR(D1374="",C1374&lt;&gt;"Chi"),"",IFERROR(INDEX('Danh mục'!$B$39:$B$78,MATCH(D1374,'Danh mục'!$A$39:$A$78,0))&amp;"","?"))</f>
      </c>
      <c r="F1374" s="16">
        <f>IF(D1374="","",IF(C1374="Thu",IFERROR(INDEX('Danh mục'!$B$26:$B$35,MATCH(D1374,'Danh mục'!$A$26:$A$35,0))&amp;"","?"),IFERROR(INDEX('Danh mục'!$D$39:$D$78,MATCH(D1374,'Danh mục'!$A$39:$A$78,0))&amp;"","?")))</f>
      </c>
      <c r="G1374" s="16">
        <f>IF(OR(D1374="",C1374&lt;&gt;"Chi"),"",IFERROR(INDEX('Danh mục'!$C$39:$C$78,MATCH(D1374,'Danh mục'!$A$39:$A$78,0))&amp;"",""))</f>
      </c>
      <c r="H1374" s="11"/>
      <c r="I1374" s="20"/>
      <c r="J1374" s="11"/>
      <c r="K1374" s="11"/>
      <c r="L1374" s="11"/>
    </row>
    <row r="1375" spans="1:12" x14ac:dyDescent="0.3">
      <c r="A1375" s="31"/>
      <c r="B1375" s="32">
        <f>IF(A1375="","",DATE(YEAR(A1375),MONTH(A1375),1))</f>
      </c>
      <c r="C1375" s="11"/>
      <c r="D1375" s="11"/>
      <c r="E1375" s="16">
        <f>IF(OR(D1375="",C1375&lt;&gt;"Chi"),"",IFERROR(INDEX('Danh mục'!$B$39:$B$78,MATCH(D1375,'Danh mục'!$A$39:$A$78,0))&amp;"","?"))</f>
      </c>
      <c r="F1375" s="16">
        <f>IF(D1375="","",IF(C1375="Thu",IFERROR(INDEX('Danh mục'!$B$26:$B$35,MATCH(D1375,'Danh mục'!$A$26:$A$35,0))&amp;"","?"),IFERROR(INDEX('Danh mục'!$D$39:$D$78,MATCH(D1375,'Danh mục'!$A$39:$A$78,0))&amp;"","?")))</f>
      </c>
      <c r="G1375" s="16">
        <f>IF(OR(D1375="",C1375&lt;&gt;"Chi"),"",IFERROR(INDEX('Danh mục'!$C$39:$C$78,MATCH(D1375,'Danh mục'!$A$39:$A$78,0))&amp;"",""))</f>
      </c>
      <c r="H1375" s="11"/>
      <c r="I1375" s="20"/>
      <c r="J1375" s="11"/>
      <c r="K1375" s="11"/>
      <c r="L1375" s="11"/>
    </row>
    <row r="1376" spans="1:12" x14ac:dyDescent="0.3">
      <c r="A1376" s="31"/>
      <c r="B1376" s="32">
        <f>IF(A1376="","",DATE(YEAR(A1376),MONTH(A1376),1))</f>
      </c>
      <c r="C1376" s="11"/>
      <c r="D1376" s="11"/>
      <c r="E1376" s="16">
        <f>IF(OR(D1376="",C1376&lt;&gt;"Chi"),"",IFERROR(INDEX('Danh mục'!$B$39:$B$78,MATCH(D1376,'Danh mục'!$A$39:$A$78,0))&amp;"","?"))</f>
      </c>
      <c r="F1376" s="16">
        <f>IF(D1376="","",IF(C1376="Thu",IFERROR(INDEX('Danh mục'!$B$26:$B$35,MATCH(D1376,'Danh mục'!$A$26:$A$35,0))&amp;"","?"),IFERROR(INDEX('Danh mục'!$D$39:$D$78,MATCH(D1376,'Danh mục'!$A$39:$A$78,0))&amp;"","?")))</f>
      </c>
      <c r="G1376" s="16">
        <f>IF(OR(D1376="",C1376&lt;&gt;"Chi"),"",IFERROR(INDEX('Danh mục'!$C$39:$C$78,MATCH(D1376,'Danh mục'!$A$39:$A$78,0))&amp;"",""))</f>
      </c>
      <c r="H1376" s="11"/>
      <c r="I1376" s="20"/>
      <c r="J1376" s="11"/>
      <c r="K1376" s="11"/>
      <c r="L1376" s="11"/>
    </row>
    <row r="1377" spans="1:12" x14ac:dyDescent="0.3">
      <c r="A1377" s="31"/>
      <c r="B1377" s="32">
        <f>IF(A1377="","",DATE(YEAR(A1377),MONTH(A1377),1))</f>
      </c>
      <c r="C1377" s="11"/>
      <c r="D1377" s="11"/>
      <c r="E1377" s="16">
        <f>IF(OR(D1377="",C1377&lt;&gt;"Chi"),"",IFERROR(INDEX('Danh mục'!$B$39:$B$78,MATCH(D1377,'Danh mục'!$A$39:$A$78,0))&amp;"","?"))</f>
      </c>
      <c r="F1377" s="16">
        <f>IF(D1377="","",IF(C1377="Thu",IFERROR(INDEX('Danh mục'!$B$26:$B$35,MATCH(D1377,'Danh mục'!$A$26:$A$35,0))&amp;"","?"),IFERROR(INDEX('Danh mục'!$D$39:$D$78,MATCH(D1377,'Danh mục'!$A$39:$A$78,0))&amp;"","?")))</f>
      </c>
      <c r="G1377" s="16">
        <f>IF(OR(D1377="",C1377&lt;&gt;"Chi"),"",IFERROR(INDEX('Danh mục'!$C$39:$C$78,MATCH(D1377,'Danh mục'!$A$39:$A$78,0))&amp;"",""))</f>
      </c>
      <c r="H1377" s="11"/>
      <c r="I1377" s="20"/>
      <c r="J1377" s="11"/>
      <c r="K1377" s="11"/>
      <c r="L1377" s="11"/>
    </row>
    <row r="1378" spans="1:12" x14ac:dyDescent="0.3">
      <c r="A1378" s="31"/>
      <c r="B1378" s="32">
        <f>IF(A1378="","",DATE(YEAR(A1378),MONTH(A1378),1))</f>
      </c>
      <c r="C1378" s="11"/>
      <c r="D1378" s="11"/>
      <c r="E1378" s="16">
        <f>IF(OR(D1378="",C1378&lt;&gt;"Chi"),"",IFERROR(INDEX('Danh mục'!$B$39:$B$78,MATCH(D1378,'Danh mục'!$A$39:$A$78,0))&amp;"","?"))</f>
      </c>
      <c r="F1378" s="16">
        <f>IF(D1378="","",IF(C1378="Thu",IFERROR(INDEX('Danh mục'!$B$26:$B$35,MATCH(D1378,'Danh mục'!$A$26:$A$35,0))&amp;"","?"),IFERROR(INDEX('Danh mục'!$D$39:$D$78,MATCH(D1378,'Danh mục'!$A$39:$A$78,0))&amp;"","?")))</f>
      </c>
      <c r="G1378" s="16">
        <f>IF(OR(D1378="",C1378&lt;&gt;"Chi"),"",IFERROR(INDEX('Danh mục'!$C$39:$C$78,MATCH(D1378,'Danh mục'!$A$39:$A$78,0))&amp;"",""))</f>
      </c>
      <c r="H1378" s="11"/>
      <c r="I1378" s="20"/>
      <c r="J1378" s="11"/>
      <c r="K1378" s="11"/>
      <c r="L1378" s="11"/>
    </row>
    <row r="1379" spans="1:12" x14ac:dyDescent="0.3">
      <c r="A1379" s="31"/>
      <c r="B1379" s="32">
        <f>IF(A1379="","",DATE(YEAR(A1379),MONTH(A1379),1))</f>
      </c>
      <c r="C1379" s="11"/>
      <c r="D1379" s="11"/>
      <c r="E1379" s="16">
        <f>IF(OR(D1379="",C1379&lt;&gt;"Chi"),"",IFERROR(INDEX('Danh mục'!$B$39:$B$78,MATCH(D1379,'Danh mục'!$A$39:$A$78,0))&amp;"","?"))</f>
      </c>
      <c r="F1379" s="16">
        <f>IF(D1379="","",IF(C1379="Thu",IFERROR(INDEX('Danh mục'!$B$26:$B$35,MATCH(D1379,'Danh mục'!$A$26:$A$35,0))&amp;"","?"),IFERROR(INDEX('Danh mục'!$D$39:$D$78,MATCH(D1379,'Danh mục'!$A$39:$A$78,0))&amp;"","?")))</f>
      </c>
      <c r="G1379" s="16">
        <f>IF(OR(D1379="",C1379&lt;&gt;"Chi"),"",IFERROR(INDEX('Danh mục'!$C$39:$C$78,MATCH(D1379,'Danh mục'!$A$39:$A$78,0))&amp;"",""))</f>
      </c>
      <c r="H1379" s="11"/>
      <c r="I1379" s="20"/>
      <c r="J1379" s="11"/>
      <c r="K1379" s="11"/>
      <c r="L1379" s="11"/>
    </row>
    <row r="1380" spans="1:12" x14ac:dyDescent="0.3">
      <c r="A1380" s="31"/>
      <c r="B1380" s="32">
        <f>IF(A1380="","",DATE(YEAR(A1380),MONTH(A1380),1))</f>
      </c>
      <c r="C1380" s="11"/>
      <c r="D1380" s="11"/>
      <c r="E1380" s="16">
        <f>IF(OR(D1380="",C1380&lt;&gt;"Chi"),"",IFERROR(INDEX('Danh mục'!$B$39:$B$78,MATCH(D1380,'Danh mục'!$A$39:$A$78,0))&amp;"","?"))</f>
      </c>
      <c r="F1380" s="16">
        <f>IF(D1380="","",IF(C1380="Thu",IFERROR(INDEX('Danh mục'!$B$26:$B$35,MATCH(D1380,'Danh mục'!$A$26:$A$35,0))&amp;"","?"),IFERROR(INDEX('Danh mục'!$D$39:$D$78,MATCH(D1380,'Danh mục'!$A$39:$A$78,0))&amp;"","?")))</f>
      </c>
      <c r="G1380" s="16">
        <f>IF(OR(D1380="",C1380&lt;&gt;"Chi"),"",IFERROR(INDEX('Danh mục'!$C$39:$C$78,MATCH(D1380,'Danh mục'!$A$39:$A$78,0))&amp;"",""))</f>
      </c>
      <c r="H1380" s="11"/>
      <c r="I1380" s="20"/>
      <c r="J1380" s="11"/>
      <c r="K1380" s="11"/>
      <c r="L1380" s="11"/>
    </row>
    <row r="1381" spans="1:12" x14ac:dyDescent="0.3">
      <c r="A1381" s="31"/>
      <c r="B1381" s="32">
        <f>IF(A1381="","",DATE(YEAR(A1381),MONTH(A1381),1))</f>
      </c>
      <c r="C1381" s="11"/>
      <c r="D1381" s="11"/>
      <c r="E1381" s="16">
        <f>IF(OR(D1381="",C1381&lt;&gt;"Chi"),"",IFERROR(INDEX('Danh mục'!$B$39:$B$78,MATCH(D1381,'Danh mục'!$A$39:$A$78,0))&amp;"","?"))</f>
      </c>
      <c r="F1381" s="16">
        <f>IF(D1381="","",IF(C1381="Thu",IFERROR(INDEX('Danh mục'!$B$26:$B$35,MATCH(D1381,'Danh mục'!$A$26:$A$35,0))&amp;"","?"),IFERROR(INDEX('Danh mục'!$D$39:$D$78,MATCH(D1381,'Danh mục'!$A$39:$A$78,0))&amp;"","?")))</f>
      </c>
      <c r="G1381" s="16">
        <f>IF(OR(D1381="",C1381&lt;&gt;"Chi"),"",IFERROR(INDEX('Danh mục'!$C$39:$C$78,MATCH(D1381,'Danh mục'!$A$39:$A$78,0))&amp;"",""))</f>
      </c>
      <c r="H1381" s="11"/>
      <c r="I1381" s="20"/>
      <c r="J1381" s="11"/>
      <c r="K1381" s="11"/>
      <c r="L1381" s="11"/>
    </row>
    <row r="1382" spans="1:12" x14ac:dyDescent="0.3">
      <c r="A1382" s="31"/>
      <c r="B1382" s="32">
        <f>IF(A1382="","",DATE(YEAR(A1382),MONTH(A1382),1))</f>
      </c>
      <c r="C1382" s="11"/>
      <c r="D1382" s="11"/>
      <c r="E1382" s="16">
        <f>IF(OR(D1382="",C1382&lt;&gt;"Chi"),"",IFERROR(INDEX('Danh mục'!$B$39:$B$78,MATCH(D1382,'Danh mục'!$A$39:$A$78,0))&amp;"","?"))</f>
      </c>
      <c r="F1382" s="16">
        <f>IF(D1382="","",IF(C1382="Thu",IFERROR(INDEX('Danh mục'!$B$26:$B$35,MATCH(D1382,'Danh mục'!$A$26:$A$35,0))&amp;"","?"),IFERROR(INDEX('Danh mục'!$D$39:$D$78,MATCH(D1382,'Danh mục'!$A$39:$A$78,0))&amp;"","?")))</f>
      </c>
      <c r="G1382" s="16">
        <f>IF(OR(D1382="",C1382&lt;&gt;"Chi"),"",IFERROR(INDEX('Danh mục'!$C$39:$C$78,MATCH(D1382,'Danh mục'!$A$39:$A$78,0))&amp;"",""))</f>
      </c>
      <c r="H1382" s="11"/>
      <c r="I1382" s="20"/>
      <c r="J1382" s="11"/>
      <c r="K1382" s="11"/>
      <c r="L1382" s="11"/>
    </row>
    <row r="1383" spans="1:12" x14ac:dyDescent="0.3">
      <c r="A1383" s="31"/>
      <c r="B1383" s="32">
        <f>IF(A1383="","",DATE(YEAR(A1383),MONTH(A1383),1))</f>
      </c>
      <c r="C1383" s="11"/>
      <c r="D1383" s="11"/>
      <c r="E1383" s="16">
        <f>IF(OR(D1383="",C1383&lt;&gt;"Chi"),"",IFERROR(INDEX('Danh mục'!$B$39:$B$78,MATCH(D1383,'Danh mục'!$A$39:$A$78,0))&amp;"","?"))</f>
      </c>
      <c r="F1383" s="16">
        <f>IF(D1383="","",IF(C1383="Thu",IFERROR(INDEX('Danh mục'!$B$26:$B$35,MATCH(D1383,'Danh mục'!$A$26:$A$35,0))&amp;"","?"),IFERROR(INDEX('Danh mục'!$D$39:$D$78,MATCH(D1383,'Danh mục'!$A$39:$A$78,0))&amp;"","?")))</f>
      </c>
      <c r="G1383" s="16">
        <f>IF(OR(D1383="",C1383&lt;&gt;"Chi"),"",IFERROR(INDEX('Danh mục'!$C$39:$C$78,MATCH(D1383,'Danh mục'!$A$39:$A$78,0))&amp;"",""))</f>
      </c>
      <c r="H1383" s="11"/>
      <c r="I1383" s="20"/>
      <c r="J1383" s="11"/>
      <c r="K1383" s="11"/>
      <c r="L1383" s="11"/>
    </row>
    <row r="1384" spans="1:12" x14ac:dyDescent="0.3">
      <c r="A1384" s="31"/>
      <c r="B1384" s="32">
        <f>IF(A1384="","",DATE(YEAR(A1384),MONTH(A1384),1))</f>
      </c>
      <c r="C1384" s="11"/>
      <c r="D1384" s="11"/>
      <c r="E1384" s="16">
        <f>IF(OR(D1384="",C1384&lt;&gt;"Chi"),"",IFERROR(INDEX('Danh mục'!$B$39:$B$78,MATCH(D1384,'Danh mục'!$A$39:$A$78,0))&amp;"","?"))</f>
      </c>
      <c r="F1384" s="16">
        <f>IF(D1384="","",IF(C1384="Thu",IFERROR(INDEX('Danh mục'!$B$26:$B$35,MATCH(D1384,'Danh mục'!$A$26:$A$35,0))&amp;"","?"),IFERROR(INDEX('Danh mục'!$D$39:$D$78,MATCH(D1384,'Danh mục'!$A$39:$A$78,0))&amp;"","?")))</f>
      </c>
      <c r="G1384" s="16">
        <f>IF(OR(D1384="",C1384&lt;&gt;"Chi"),"",IFERROR(INDEX('Danh mục'!$C$39:$C$78,MATCH(D1384,'Danh mục'!$A$39:$A$78,0))&amp;"",""))</f>
      </c>
      <c r="H1384" s="11"/>
      <c r="I1384" s="20"/>
      <c r="J1384" s="11"/>
      <c r="K1384" s="11"/>
      <c r="L1384" s="11"/>
    </row>
    <row r="1385" spans="1:12" x14ac:dyDescent="0.3">
      <c r="A1385" s="31"/>
      <c r="B1385" s="32">
        <f>IF(A1385="","",DATE(YEAR(A1385),MONTH(A1385),1))</f>
      </c>
      <c r="C1385" s="11"/>
      <c r="D1385" s="11"/>
      <c r="E1385" s="16">
        <f>IF(OR(D1385="",C1385&lt;&gt;"Chi"),"",IFERROR(INDEX('Danh mục'!$B$39:$B$78,MATCH(D1385,'Danh mục'!$A$39:$A$78,0))&amp;"","?"))</f>
      </c>
      <c r="F1385" s="16">
        <f>IF(D1385="","",IF(C1385="Thu",IFERROR(INDEX('Danh mục'!$B$26:$B$35,MATCH(D1385,'Danh mục'!$A$26:$A$35,0))&amp;"","?"),IFERROR(INDEX('Danh mục'!$D$39:$D$78,MATCH(D1385,'Danh mục'!$A$39:$A$78,0))&amp;"","?")))</f>
      </c>
      <c r="G1385" s="16">
        <f>IF(OR(D1385="",C1385&lt;&gt;"Chi"),"",IFERROR(INDEX('Danh mục'!$C$39:$C$78,MATCH(D1385,'Danh mục'!$A$39:$A$78,0))&amp;"",""))</f>
      </c>
      <c r="H1385" s="11"/>
      <c r="I1385" s="20"/>
      <c r="J1385" s="11"/>
      <c r="K1385" s="11"/>
      <c r="L1385" s="11"/>
    </row>
    <row r="1386" spans="1:12" x14ac:dyDescent="0.3">
      <c r="A1386" s="31"/>
      <c r="B1386" s="32">
        <f>IF(A1386="","",DATE(YEAR(A1386),MONTH(A1386),1))</f>
      </c>
      <c r="C1386" s="11"/>
      <c r="D1386" s="11"/>
      <c r="E1386" s="16">
        <f>IF(OR(D1386="",C1386&lt;&gt;"Chi"),"",IFERROR(INDEX('Danh mục'!$B$39:$B$78,MATCH(D1386,'Danh mục'!$A$39:$A$78,0))&amp;"","?"))</f>
      </c>
      <c r="F1386" s="16">
        <f>IF(D1386="","",IF(C1386="Thu",IFERROR(INDEX('Danh mục'!$B$26:$B$35,MATCH(D1386,'Danh mục'!$A$26:$A$35,0))&amp;"","?"),IFERROR(INDEX('Danh mục'!$D$39:$D$78,MATCH(D1386,'Danh mục'!$A$39:$A$78,0))&amp;"","?")))</f>
      </c>
      <c r="G1386" s="16">
        <f>IF(OR(D1386="",C1386&lt;&gt;"Chi"),"",IFERROR(INDEX('Danh mục'!$C$39:$C$78,MATCH(D1386,'Danh mục'!$A$39:$A$78,0))&amp;"",""))</f>
      </c>
      <c r="H1386" s="11"/>
      <c r="I1386" s="20"/>
      <c r="J1386" s="11"/>
      <c r="K1386" s="11"/>
      <c r="L1386" s="11"/>
    </row>
    <row r="1387" spans="1:12" x14ac:dyDescent="0.3">
      <c r="A1387" s="31"/>
      <c r="B1387" s="32">
        <f>IF(A1387="","",DATE(YEAR(A1387),MONTH(A1387),1))</f>
      </c>
      <c r="C1387" s="11"/>
      <c r="D1387" s="11"/>
      <c r="E1387" s="16">
        <f>IF(OR(D1387="",C1387&lt;&gt;"Chi"),"",IFERROR(INDEX('Danh mục'!$B$39:$B$78,MATCH(D1387,'Danh mục'!$A$39:$A$78,0))&amp;"","?"))</f>
      </c>
      <c r="F1387" s="16">
        <f>IF(D1387="","",IF(C1387="Thu",IFERROR(INDEX('Danh mục'!$B$26:$B$35,MATCH(D1387,'Danh mục'!$A$26:$A$35,0))&amp;"","?"),IFERROR(INDEX('Danh mục'!$D$39:$D$78,MATCH(D1387,'Danh mục'!$A$39:$A$78,0))&amp;"","?")))</f>
      </c>
      <c r="G1387" s="16">
        <f>IF(OR(D1387="",C1387&lt;&gt;"Chi"),"",IFERROR(INDEX('Danh mục'!$C$39:$C$78,MATCH(D1387,'Danh mục'!$A$39:$A$78,0))&amp;"",""))</f>
      </c>
      <c r="H1387" s="11"/>
      <c r="I1387" s="20"/>
      <c r="J1387" s="11"/>
      <c r="K1387" s="11"/>
      <c r="L1387" s="11"/>
    </row>
    <row r="1388" spans="1:12" x14ac:dyDescent="0.3">
      <c r="A1388" s="31"/>
      <c r="B1388" s="32">
        <f>IF(A1388="","",DATE(YEAR(A1388),MONTH(A1388),1))</f>
      </c>
      <c r="C1388" s="11"/>
      <c r="D1388" s="11"/>
      <c r="E1388" s="16">
        <f>IF(OR(D1388="",C1388&lt;&gt;"Chi"),"",IFERROR(INDEX('Danh mục'!$B$39:$B$78,MATCH(D1388,'Danh mục'!$A$39:$A$78,0))&amp;"","?"))</f>
      </c>
      <c r="F1388" s="16">
        <f>IF(D1388="","",IF(C1388="Thu",IFERROR(INDEX('Danh mục'!$B$26:$B$35,MATCH(D1388,'Danh mục'!$A$26:$A$35,0))&amp;"","?"),IFERROR(INDEX('Danh mục'!$D$39:$D$78,MATCH(D1388,'Danh mục'!$A$39:$A$78,0))&amp;"","?")))</f>
      </c>
      <c r="G1388" s="16">
        <f>IF(OR(D1388="",C1388&lt;&gt;"Chi"),"",IFERROR(INDEX('Danh mục'!$C$39:$C$78,MATCH(D1388,'Danh mục'!$A$39:$A$78,0))&amp;"",""))</f>
      </c>
      <c r="H1388" s="11"/>
      <c r="I1388" s="20"/>
      <c r="J1388" s="11"/>
      <c r="K1388" s="11"/>
      <c r="L1388" s="11"/>
    </row>
    <row r="1389" spans="1:12" x14ac:dyDescent="0.3">
      <c r="A1389" s="31"/>
      <c r="B1389" s="32">
        <f>IF(A1389="","",DATE(YEAR(A1389),MONTH(A1389),1))</f>
      </c>
      <c r="C1389" s="11"/>
      <c r="D1389" s="11"/>
      <c r="E1389" s="16">
        <f>IF(OR(D1389="",C1389&lt;&gt;"Chi"),"",IFERROR(INDEX('Danh mục'!$B$39:$B$78,MATCH(D1389,'Danh mục'!$A$39:$A$78,0))&amp;"","?"))</f>
      </c>
      <c r="F1389" s="16">
        <f>IF(D1389="","",IF(C1389="Thu",IFERROR(INDEX('Danh mục'!$B$26:$B$35,MATCH(D1389,'Danh mục'!$A$26:$A$35,0))&amp;"","?"),IFERROR(INDEX('Danh mục'!$D$39:$D$78,MATCH(D1389,'Danh mục'!$A$39:$A$78,0))&amp;"","?")))</f>
      </c>
      <c r="G1389" s="16">
        <f>IF(OR(D1389="",C1389&lt;&gt;"Chi"),"",IFERROR(INDEX('Danh mục'!$C$39:$C$78,MATCH(D1389,'Danh mục'!$A$39:$A$78,0))&amp;"",""))</f>
      </c>
      <c r="H1389" s="11"/>
      <c r="I1389" s="20"/>
      <c r="J1389" s="11"/>
      <c r="K1389" s="11"/>
      <c r="L1389" s="11"/>
    </row>
    <row r="1390" spans="1:12" x14ac:dyDescent="0.3">
      <c r="A1390" s="31"/>
      <c r="B1390" s="32">
        <f>IF(A1390="","",DATE(YEAR(A1390),MONTH(A1390),1))</f>
      </c>
      <c r="C1390" s="11"/>
      <c r="D1390" s="11"/>
      <c r="E1390" s="16">
        <f>IF(OR(D1390="",C1390&lt;&gt;"Chi"),"",IFERROR(INDEX('Danh mục'!$B$39:$B$78,MATCH(D1390,'Danh mục'!$A$39:$A$78,0))&amp;"","?"))</f>
      </c>
      <c r="F1390" s="16">
        <f>IF(D1390="","",IF(C1390="Thu",IFERROR(INDEX('Danh mục'!$B$26:$B$35,MATCH(D1390,'Danh mục'!$A$26:$A$35,0))&amp;"","?"),IFERROR(INDEX('Danh mục'!$D$39:$D$78,MATCH(D1390,'Danh mục'!$A$39:$A$78,0))&amp;"","?")))</f>
      </c>
      <c r="G1390" s="16">
        <f>IF(OR(D1390="",C1390&lt;&gt;"Chi"),"",IFERROR(INDEX('Danh mục'!$C$39:$C$78,MATCH(D1390,'Danh mục'!$A$39:$A$78,0))&amp;"",""))</f>
      </c>
      <c r="H1390" s="11"/>
      <c r="I1390" s="20"/>
      <c r="J1390" s="11"/>
      <c r="K1390" s="11"/>
      <c r="L1390" s="11"/>
    </row>
    <row r="1391" spans="1:12" x14ac:dyDescent="0.3">
      <c r="A1391" s="31"/>
      <c r="B1391" s="32">
        <f>IF(A1391="","",DATE(YEAR(A1391),MONTH(A1391),1))</f>
      </c>
      <c r="C1391" s="11"/>
      <c r="D1391" s="11"/>
      <c r="E1391" s="16">
        <f>IF(OR(D1391="",C1391&lt;&gt;"Chi"),"",IFERROR(INDEX('Danh mục'!$B$39:$B$78,MATCH(D1391,'Danh mục'!$A$39:$A$78,0))&amp;"","?"))</f>
      </c>
      <c r="F1391" s="16">
        <f>IF(D1391="","",IF(C1391="Thu",IFERROR(INDEX('Danh mục'!$B$26:$B$35,MATCH(D1391,'Danh mục'!$A$26:$A$35,0))&amp;"","?"),IFERROR(INDEX('Danh mục'!$D$39:$D$78,MATCH(D1391,'Danh mục'!$A$39:$A$78,0))&amp;"","?")))</f>
      </c>
      <c r="G1391" s="16">
        <f>IF(OR(D1391="",C1391&lt;&gt;"Chi"),"",IFERROR(INDEX('Danh mục'!$C$39:$C$78,MATCH(D1391,'Danh mục'!$A$39:$A$78,0))&amp;"",""))</f>
      </c>
      <c r="H1391" s="11"/>
      <c r="I1391" s="20"/>
      <c r="J1391" s="11"/>
      <c r="K1391" s="11"/>
      <c r="L1391" s="11"/>
    </row>
    <row r="1392" spans="1:12" x14ac:dyDescent="0.3">
      <c r="A1392" s="31"/>
      <c r="B1392" s="32">
        <f>IF(A1392="","",DATE(YEAR(A1392),MONTH(A1392),1))</f>
      </c>
      <c r="C1392" s="11"/>
      <c r="D1392" s="11"/>
      <c r="E1392" s="16">
        <f>IF(OR(D1392="",C1392&lt;&gt;"Chi"),"",IFERROR(INDEX('Danh mục'!$B$39:$B$78,MATCH(D1392,'Danh mục'!$A$39:$A$78,0))&amp;"","?"))</f>
      </c>
      <c r="F1392" s="16">
        <f>IF(D1392="","",IF(C1392="Thu",IFERROR(INDEX('Danh mục'!$B$26:$B$35,MATCH(D1392,'Danh mục'!$A$26:$A$35,0))&amp;"","?"),IFERROR(INDEX('Danh mục'!$D$39:$D$78,MATCH(D1392,'Danh mục'!$A$39:$A$78,0))&amp;"","?")))</f>
      </c>
      <c r="G1392" s="16">
        <f>IF(OR(D1392="",C1392&lt;&gt;"Chi"),"",IFERROR(INDEX('Danh mục'!$C$39:$C$78,MATCH(D1392,'Danh mục'!$A$39:$A$78,0))&amp;"",""))</f>
      </c>
      <c r="H1392" s="11"/>
      <c r="I1392" s="20"/>
      <c r="J1392" s="11"/>
      <c r="K1392" s="11"/>
      <c r="L1392" s="11"/>
    </row>
    <row r="1393" spans="1:12" x14ac:dyDescent="0.3">
      <c r="A1393" s="31"/>
      <c r="B1393" s="32">
        <f>IF(A1393="","",DATE(YEAR(A1393),MONTH(A1393),1))</f>
      </c>
      <c r="C1393" s="11"/>
      <c r="D1393" s="11"/>
      <c r="E1393" s="16">
        <f>IF(OR(D1393="",C1393&lt;&gt;"Chi"),"",IFERROR(INDEX('Danh mục'!$B$39:$B$78,MATCH(D1393,'Danh mục'!$A$39:$A$78,0))&amp;"","?"))</f>
      </c>
      <c r="F1393" s="16">
        <f>IF(D1393="","",IF(C1393="Thu",IFERROR(INDEX('Danh mục'!$B$26:$B$35,MATCH(D1393,'Danh mục'!$A$26:$A$35,0))&amp;"","?"),IFERROR(INDEX('Danh mục'!$D$39:$D$78,MATCH(D1393,'Danh mục'!$A$39:$A$78,0))&amp;"","?")))</f>
      </c>
      <c r="G1393" s="16">
        <f>IF(OR(D1393="",C1393&lt;&gt;"Chi"),"",IFERROR(INDEX('Danh mục'!$C$39:$C$78,MATCH(D1393,'Danh mục'!$A$39:$A$78,0))&amp;"",""))</f>
      </c>
      <c r="H1393" s="11"/>
      <c r="I1393" s="20"/>
      <c r="J1393" s="11"/>
      <c r="K1393" s="11"/>
      <c r="L1393" s="11"/>
    </row>
    <row r="1394" spans="1:12" x14ac:dyDescent="0.3">
      <c r="A1394" s="31"/>
      <c r="B1394" s="32">
        <f>IF(A1394="","",DATE(YEAR(A1394),MONTH(A1394),1))</f>
      </c>
      <c r="C1394" s="11"/>
      <c r="D1394" s="11"/>
      <c r="E1394" s="16">
        <f>IF(OR(D1394="",C1394&lt;&gt;"Chi"),"",IFERROR(INDEX('Danh mục'!$B$39:$B$78,MATCH(D1394,'Danh mục'!$A$39:$A$78,0))&amp;"","?"))</f>
      </c>
      <c r="F1394" s="16">
        <f>IF(D1394="","",IF(C1394="Thu",IFERROR(INDEX('Danh mục'!$B$26:$B$35,MATCH(D1394,'Danh mục'!$A$26:$A$35,0))&amp;"","?"),IFERROR(INDEX('Danh mục'!$D$39:$D$78,MATCH(D1394,'Danh mục'!$A$39:$A$78,0))&amp;"","?")))</f>
      </c>
      <c r="G1394" s="16">
        <f>IF(OR(D1394="",C1394&lt;&gt;"Chi"),"",IFERROR(INDEX('Danh mục'!$C$39:$C$78,MATCH(D1394,'Danh mục'!$A$39:$A$78,0))&amp;"",""))</f>
      </c>
      <c r="H1394" s="11"/>
      <c r="I1394" s="20"/>
      <c r="J1394" s="11"/>
      <c r="K1394" s="11"/>
      <c r="L1394" s="11"/>
    </row>
    <row r="1395" spans="1:12" x14ac:dyDescent="0.3">
      <c r="A1395" s="31"/>
      <c r="B1395" s="32">
        <f>IF(A1395="","",DATE(YEAR(A1395),MONTH(A1395),1))</f>
      </c>
      <c r="C1395" s="11"/>
      <c r="D1395" s="11"/>
      <c r="E1395" s="16">
        <f>IF(OR(D1395="",C1395&lt;&gt;"Chi"),"",IFERROR(INDEX('Danh mục'!$B$39:$B$78,MATCH(D1395,'Danh mục'!$A$39:$A$78,0))&amp;"","?"))</f>
      </c>
      <c r="F1395" s="16">
        <f>IF(D1395="","",IF(C1395="Thu",IFERROR(INDEX('Danh mục'!$B$26:$B$35,MATCH(D1395,'Danh mục'!$A$26:$A$35,0))&amp;"","?"),IFERROR(INDEX('Danh mục'!$D$39:$D$78,MATCH(D1395,'Danh mục'!$A$39:$A$78,0))&amp;"","?")))</f>
      </c>
      <c r="G1395" s="16">
        <f>IF(OR(D1395="",C1395&lt;&gt;"Chi"),"",IFERROR(INDEX('Danh mục'!$C$39:$C$78,MATCH(D1395,'Danh mục'!$A$39:$A$78,0))&amp;"",""))</f>
      </c>
      <c r="H1395" s="11"/>
      <c r="I1395" s="20"/>
      <c r="J1395" s="11"/>
      <c r="K1395" s="11"/>
      <c r="L1395" s="11"/>
    </row>
    <row r="1396" spans="1:12" x14ac:dyDescent="0.3">
      <c r="A1396" s="31"/>
      <c r="B1396" s="32">
        <f>IF(A1396="","",DATE(YEAR(A1396),MONTH(A1396),1))</f>
      </c>
      <c r="C1396" s="11"/>
      <c r="D1396" s="11"/>
      <c r="E1396" s="16">
        <f>IF(OR(D1396="",C1396&lt;&gt;"Chi"),"",IFERROR(INDEX('Danh mục'!$B$39:$B$78,MATCH(D1396,'Danh mục'!$A$39:$A$78,0))&amp;"","?"))</f>
      </c>
      <c r="F1396" s="16">
        <f>IF(D1396="","",IF(C1396="Thu",IFERROR(INDEX('Danh mục'!$B$26:$B$35,MATCH(D1396,'Danh mục'!$A$26:$A$35,0))&amp;"","?"),IFERROR(INDEX('Danh mục'!$D$39:$D$78,MATCH(D1396,'Danh mục'!$A$39:$A$78,0))&amp;"","?")))</f>
      </c>
      <c r="G1396" s="16">
        <f>IF(OR(D1396="",C1396&lt;&gt;"Chi"),"",IFERROR(INDEX('Danh mục'!$C$39:$C$78,MATCH(D1396,'Danh mục'!$A$39:$A$78,0))&amp;"",""))</f>
      </c>
      <c r="H1396" s="11"/>
      <c r="I1396" s="20"/>
      <c r="J1396" s="11"/>
      <c r="K1396" s="11"/>
      <c r="L1396" s="11"/>
    </row>
    <row r="1397" spans="1:12" x14ac:dyDescent="0.3">
      <c r="A1397" s="31"/>
      <c r="B1397" s="32">
        <f>IF(A1397="","",DATE(YEAR(A1397),MONTH(A1397),1))</f>
      </c>
      <c r="C1397" s="11"/>
      <c r="D1397" s="11"/>
      <c r="E1397" s="16">
        <f>IF(OR(D1397="",C1397&lt;&gt;"Chi"),"",IFERROR(INDEX('Danh mục'!$B$39:$B$78,MATCH(D1397,'Danh mục'!$A$39:$A$78,0))&amp;"","?"))</f>
      </c>
      <c r="F1397" s="16">
        <f>IF(D1397="","",IF(C1397="Thu",IFERROR(INDEX('Danh mục'!$B$26:$B$35,MATCH(D1397,'Danh mục'!$A$26:$A$35,0))&amp;"","?"),IFERROR(INDEX('Danh mục'!$D$39:$D$78,MATCH(D1397,'Danh mục'!$A$39:$A$78,0))&amp;"","?")))</f>
      </c>
      <c r="G1397" s="16">
        <f>IF(OR(D1397="",C1397&lt;&gt;"Chi"),"",IFERROR(INDEX('Danh mục'!$C$39:$C$78,MATCH(D1397,'Danh mục'!$A$39:$A$78,0))&amp;"",""))</f>
      </c>
      <c r="H1397" s="11"/>
      <c r="I1397" s="20"/>
      <c r="J1397" s="11"/>
      <c r="K1397" s="11"/>
      <c r="L1397" s="11"/>
    </row>
    <row r="1398" spans="1:12" x14ac:dyDescent="0.3">
      <c r="A1398" s="31"/>
      <c r="B1398" s="32">
        <f>IF(A1398="","",DATE(YEAR(A1398),MONTH(A1398),1))</f>
      </c>
      <c r="C1398" s="11"/>
      <c r="D1398" s="11"/>
      <c r="E1398" s="16">
        <f>IF(OR(D1398="",C1398&lt;&gt;"Chi"),"",IFERROR(INDEX('Danh mục'!$B$39:$B$78,MATCH(D1398,'Danh mục'!$A$39:$A$78,0))&amp;"","?"))</f>
      </c>
      <c r="F1398" s="16">
        <f>IF(D1398="","",IF(C1398="Thu",IFERROR(INDEX('Danh mục'!$B$26:$B$35,MATCH(D1398,'Danh mục'!$A$26:$A$35,0))&amp;"","?"),IFERROR(INDEX('Danh mục'!$D$39:$D$78,MATCH(D1398,'Danh mục'!$A$39:$A$78,0))&amp;"","?")))</f>
      </c>
      <c r="G1398" s="16">
        <f>IF(OR(D1398="",C1398&lt;&gt;"Chi"),"",IFERROR(INDEX('Danh mục'!$C$39:$C$78,MATCH(D1398,'Danh mục'!$A$39:$A$78,0))&amp;"",""))</f>
      </c>
      <c r="H1398" s="11"/>
      <c r="I1398" s="20"/>
      <c r="J1398" s="11"/>
      <c r="K1398" s="11"/>
      <c r="L1398" s="11"/>
    </row>
    <row r="1399" spans="1:12" x14ac:dyDescent="0.3">
      <c r="A1399" s="31"/>
      <c r="B1399" s="32">
        <f>IF(A1399="","",DATE(YEAR(A1399),MONTH(A1399),1))</f>
      </c>
      <c r="C1399" s="11"/>
      <c r="D1399" s="11"/>
      <c r="E1399" s="16">
        <f>IF(OR(D1399="",C1399&lt;&gt;"Chi"),"",IFERROR(INDEX('Danh mục'!$B$39:$B$78,MATCH(D1399,'Danh mục'!$A$39:$A$78,0))&amp;"","?"))</f>
      </c>
      <c r="F1399" s="16">
        <f>IF(D1399="","",IF(C1399="Thu",IFERROR(INDEX('Danh mục'!$B$26:$B$35,MATCH(D1399,'Danh mục'!$A$26:$A$35,0))&amp;"","?"),IFERROR(INDEX('Danh mục'!$D$39:$D$78,MATCH(D1399,'Danh mục'!$A$39:$A$78,0))&amp;"","?")))</f>
      </c>
      <c r="G1399" s="16">
        <f>IF(OR(D1399="",C1399&lt;&gt;"Chi"),"",IFERROR(INDEX('Danh mục'!$C$39:$C$78,MATCH(D1399,'Danh mục'!$A$39:$A$78,0))&amp;"",""))</f>
      </c>
      <c r="H1399" s="11"/>
      <c r="I1399" s="20"/>
      <c r="J1399" s="11"/>
      <c r="K1399" s="11"/>
      <c r="L1399" s="11"/>
    </row>
    <row r="1400" spans="1:12" x14ac:dyDescent="0.3">
      <c r="A1400" s="31"/>
      <c r="B1400" s="32">
        <f>IF(A1400="","",DATE(YEAR(A1400),MONTH(A1400),1))</f>
      </c>
      <c r="C1400" s="11"/>
      <c r="D1400" s="11"/>
      <c r="E1400" s="16">
        <f>IF(OR(D1400="",C1400&lt;&gt;"Chi"),"",IFERROR(INDEX('Danh mục'!$B$39:$B$78,MATCH(D1400,'Danh mục'!$A$39:$A$78,0))&amp;"","?"))</f>
      </c>
      <c r="F1400" s="16">
        <f>IF(D1400="","",IF(C1400="Thu",IFERROR(INDEX('Danh mục'!$B$26:$B$35,MATCH(D1400,'Danh mục'!$A$26:$A$35,0))&amp;"","?"),IFERROR(INDEX('Danh mục'!$D$39:$D$78,MATCH(D1400,'Danh mục'!$A$39:$A$78,0))&amp;"","?")))</f>
      </c>
      <c r="G1400" s="16">
        <f>IF(OR(D1400="",C1400&lt;&gt;"Chi"),"",IFERROR(INDEX('Danh mục'!$C$39:$C$78,MATCH(D1400,'Danh mục'!$A$39:$A$78,0))&amp;"",""))</f>
      </c>
      <c r="H1400" s="11"/>
      <c r="I1400" s="20"/>
      <c r="J1400" s="11"/>
      <c r="K1400" s="11"/>
      <c r="L1400" s="11"/>
    </row>
    <row r="1401" spans="1:12" x14ac:dyDescent="0.3">
      <c r="A1401" s="31"/>
      <c r="B1401" s="32">
        <f>IF(A1401="","",DATE(YEAR(A1401),MONTH(A1401),1))</f>
      </c>
      <c r="C1401" s="11"/>
      <c r="D1401" s="11"/>
      <c r="E1401" s="16">
        <f>IF(OR(D1401="",C1401&lt;&gt;"Chi"),"",IFERROR(INDEX('Danh mục'!$B$39:$B$78,MATCH(D1401,'Danh mục'!$A$39:$A$78,0))&amp;"","?"))</f>
      </c>
      <c r="F1401" s="16">
        <f>IF(D1401="","",IF(C1401="Thu",IFERROR(INDEX('Danh mục'!$B$26:$B$35,MATCH(D1401,'Danh mục'!$A$26:$A$35,0))&amp;"","?"),IFERROR(INDEX('Danh mục'!$D$39:$D$78,MATCH(D1401,'Danh mục'!$A$39:$A$78,0))&amp;"","?")))</f>
      </c>
      <c r="G1401" s="16">
        <f>IF(OR(D1401="",C1401&lt;&gt;"Chi"),"",IFERROR(INDEX('Danh mục'!$C$39:$C$78,MATCH(D1401,'Danh mục'!$A$39:$A$78,0))&amp;"",""))</f>
      </c>
      <c r="H1401" s="11"/>
      <c r="I1401" s="20"/>
      <c r="J1401" s="11"/>
      <c r="K1401" s="11"/>
      <c r="L1401" s="11"/>
    </row>
    <row r="1402" spans="1:12" x14ac:dyDescent="0.3">
      <c r="A1402" s="31"/>
      <c r="B1402" s="32">
        <f>IF(A1402="","",DATE(YEAR(A1402),MONTH(A1402),1))</f>
      </c>
      <c r="C1402" s="11"/>
      <c r="D1402" s="11"/>
      <c r="E1402" s="16">
        <f>IF(OR(D1402="",C1402&lt;&gt;"Chi"),"",IFERROR(INDEX('Danh mục'!$B$39:$B$78,MATCH(D1402,'Danh mục'!$A$39:$A$78,0))&amp;"","?"))</f>
      </c>
      <c r="F1402" s="16">
        <f>IF(D1402="","",IF(C1402="Thu",IFERROR(INDEX('Danh mục'!$B$26:$B$35,MATCH(D1402,'Danh mục'!$A$26:$A$35,0))&amp;"","?"),IFERROR(INDEX('Danh mục'!$D$39:$D$78,MATCH(D1402,'Danh mục'!$A$39:$A$78,0))&amp;"","?")))</f>
      </c>
      <c r="G1402" s="16">
        <f>IF(OR(D1402="",C1402&lt;&gt;"Chi"),"",IFERROR(INDEX('Danh mục'!$C$39:$C$78,MATCH(D1402,'Danh mục'!$A$39:$A$78,0))&amp;"",""))</f>
      </c>
      <c r="H1402" s="11"/>
      <c r="I1402" s="20"/>
      <c r="J1402" s="11"/>
      <c r="K1402" s="11"/>
      <c r="L1402" s="11"/>
    </row>
    <row r="1403" spans="1:12" x14ac:dyDescent="0.3">
      <c r="A1403" s="31"/>
      <c r="B1403" s="32">
        <f>IF(A1403="","",DATE(YEAR(A1403),MONTH(A1403),1))</f>
      </c>
      <c r="C1403" s="11"/>
      <c r="D1403" s="11"/>
      <c r="E1403" s="16">
        <f>IF(OR(D1403="",C1403&lt;&gt;"Chi"),"",IFERROR(INDEX('Danh mục'!$B$39:$B$78,MATCH(D1403,'Danh mục'!$A$39:$A$78,0))&amp;"","?"))</f>
      </c>
      <c r="F1403" s="16">
        <f>IF(D1403="","",IF(C1403="Thu",IFERROR(INDEX('Danh mục'!$B$26:$B$35,MATCH(D1403,'Danh mục'!$A$26:$A$35,0))&amp;"","?"),IFERROR(INDEX('Danh mục'!$D$39:$D$78,MATCH(D1403,'Danh mục'!$A$39:$A$78,0))&amp;"","?")))</f>
      </c>
      <c r="G1403" s="16">
        <f>IF(OR(D1403="",C1403&lt;&gt;"Chi"),"",IFERROR(INDEX('Danh mục'!$C$39:$C$78,MATCH(D1403,'Danh mục'!$A$39:$A$78,0))&amp;"",""))</f>
      </c>
      <c r="H1403" s="11"/>
      <c r="I1403" s="20"/>
      <c r="J1403" s="11"/>
      <c r="K1403" s="11"/>
      <c r="L1403" s="11"/>
    </row>
    <row r="1404" spans="1:12" x14ac:dyDescent="0.3">
      <c r="A1404" s="31"/>
      <c r="B1404" s="32">
        <f>IF(A1404="","",DATE(YEAR(A1404),MONTH(A1404),1))</f>
      </c>
      <c r="C1404" s="11"/>
      <c r="D1404" s="11"/>
      <c r="E1404" s="16">
        <f>IF(OR(D1404="",C1404&lt;&gt;"Chi"),"",IFERROR(INDEX('Danh mục'!$B$39:$B$78,MATCH(D1404,'Danh mục'!$A$39:$A$78,0))&amp;"","?"))</f>
      </c>
      <c r="F1404" s="16">
        <f>IF(D1404="","",IF(C1404="Thu",IFERROR(INDEX('Danh mục'!$B$26:$B$35,MATCH(D1404,'Danh mục'!$A$26:$A$35,0))&amp;"","?"),IFERROR(INDEX('Danh mục'!$D$39:$D$78,MATCH(D1404,'Danh mục'!$A$39:$A$78,0))&amp;"","?")))</f>
      </c>
      <c r="G1404" s="16">
        <f>IF(OR(D1404="",C1404&lt;&gt;"Chi"),"",IFERROR(INDEX('Danh mục'!$C$39:$C$78,MATCH(D1404,'Danh mục'!$A$39:$A$78,0))&amp;"",""))</f>
      </c>
      <c r="H1404" s="11"/>
      <c r="I1404" s="20"/>
      <c r="J1404" s="11"/>
      <c r="K1404" s="11"/>
      <c r="L1404" s="11"/>
    </row>
    <row r="1405" spans="1:12" x14ac:dyDescent="0.3">
      <c r="A1405" s="31"/>
      <c r="B1405" s="32">
        <f>IF(A1405="","",DATE(YEAR(A1405),MONTH(A1405),1))</f>
      </c>
      <c r="C1405" s="11"/>
      <c r="D1405" s="11"/>
      <c r="E1405" s="16">
        <f>IF(OR(D1405="",C1405&lt;&gt;"Chi"),"",IFERROR(INDEX('Danh mục'!$B$39:$B$78,MATCH(D1405,'Danh mục'!$A$39:$A$78,0))&amp;"","?"))</f>
      </c>
      <c r="F1405" s="16">
        <f>IF(D1405="","",IF(C1405="Thu",IFERROR(INDEX('Danh mục'!$B$26:$B$35,MATCH(D1405,'Danh mục'!$A$26:$A$35,0))&amp;"","?"),IFERROR(INDEX('Danh mục'!$D$39:$D$78,MATCH(D1405,'Danh mục'!$A$39:$A$78,0))&amp;"","?")))</f>
      </c>
      <c r="G1405" s="16">
        <f>IF(OR(D1405="",C1405&lt;&gt;"Chi"),"",IFERROR(INDEX('Danh mục'!$C$39:$C$78,MATCH(D1405,'Danh mục'!$A$39:$A$78,0))&amp;"",""))</f>
      </c>
      <c r="H1405" s="11"/>
      <c r="I1405" s="20"/>
      <c r="J1405" s="11"/>
      <c r="K1405" s="11"/>
      <c r="L1405" s="11"/>
    </row>
    <row r="1406" spans="1:12" x14ac:dyDescent="0.3">
      <c r="A1406" s="31"/>
      <c r="B1406" s="32">
        <f>IF(A1406="","",DATE(YEAR(A1406),MONTH(A1406),1))</f>
      </c>
      <c r="C1406" s="11"/>
      <c r="D1406" s="11"/>
      <c r="E1406" s="16">
        <f>IF(OR(D1406="",C1406&lt;&gt;"Chi"),"",IFERROR(INDEX('Danh mục'!$B$39:$B$78,MATCH(D1406,'Danh mục'!$A$39:$A$78,0))&amp;"","?"))</f>
      </c>
      <c r="F1406" s="16">
        <f>IF(D1406="","",IF(C1406="Thu",IFERROR(INDEX('Danh mục'!$B$26:$B$35,MATCH(D1406,'Danh mục'!$A$26:$A$35,0))&amp;"","?"),IFERROR(INDEX('Danh mục'!$D$39:$D$78,MATCH(D1406,'Danh mục'!$A$39:$A$78,0))&amp;"","?")))</f>
      </c>
      <c r="G1406" s="16">
        <f>IF(OR(D1406="",C1406&lt;&gt;"Chi"),"",IFERROR(INDEX('Danh mục'!$C$39:$C$78,MATCH(D1406,'Danh mục'!$A$39:$A$78,0))&amp;"",""))</f>
      </c>
      <c r="H1406" s="11"/>
      <c r="I1406" s="20"/>
      <c r="J1406" s="11"/>
      <c r="K1406" s="11"/>
      <c r="L1406" s="11"/>
    </row>
    <row r="1407" spans="1:12" x14ac:dyDescent="0.3">
      <c r="A1407" s="31"/>
      <c r="B1407" s="32">
        <f>IF(A1407="","",DATE(YEAR(A1407),MONTH(A1407),1))</f>
      </c>
      <c r="C1407" s="11"/>
      <c r="D1407" s="11"/>
      <c r="E1407" s="16">
        <f>IF(OR(D1407="",C1407&lt;&gt;"Chi"),"",IFERROR(INDEX('Danh mục'!$B$39:$B$78,MATCH(D1407,'Danh mục'!$A$39:$A$78,0))&amp;"","?"))</f>
      </c>
      <c r="F1407" s="16">
        <f>IF(D1407="","",IF(C1407="Thu",IFERROR(INDEX('Danh mục'!$B$26:$B$35,MATCH(D1407,'Danh mục'!$A$26:$A$35,0))&amp;"","?"),IFERROR(INDEX('Danh mục'!$D$39:$D$78,MATCH(D1407,'Danh mục'!$A$39:$A$78,0))&amp;"","?")))</f>
      </c>
      <c r="G1407" s="16">
        <f>IF(OR(D1407="",C1407&lt;&gt;"Chi"),"",IFERROR(INDEX('Danh mục'!$C$39:$C$78,MATCH(D1407,'Danh mục'!$A$39:$A$78,0))&amp;"",""))</f>
      </c>
      <c r="H1407" s="11"/>
      <c r="I1407" s="20"/>
      <c r="J1407" s="11"/>
      <c r="K1407" s="11"/>
      <c r="L1407" s="11"/>
    </row>
    <row r="1408" spans="1:12" x14ac:dyDescent="0.3">
      <c r="A1408" s="31"/>
      <c r="B1408" s="32">
        <f>IF(A1408="","",DATE(YEAR(A1408),MONTH(A1408),1))</f>
      </c>
      <c r="C1408" s="11"/>
      <c r="D1408" s="11"/>
      <c r="E1408" s="16">
        <f>IF(OR(D1408="",C1408&lt;&gt;"Chi"),"",IFERROR(INDEX('Danh mục'!$B$39:$B$78,MATCH(D1408,'Danh mục'!$A$39:$A$78,0))&amp;"","?"))</f>
      </c>
      <c r="F1408" s="16">
        <f>IF(D1408="","",IF(C1408="Thu",IFERROR(INDEX('Danh mục'!$B$26:$B$35,MATCH(D1408,'Danh mục'!$A$26:$A$35,0))&amp;"","?"),IFERROR(INDEX('Danh mục'!$D$39:$D$78,MATCH(D1408,'Danh mục'!$A$39:$A$78,0))&amp;"","?")))</f>
      </c>
      <c r="G1408" s="16">
        <f>IF(OR(D1408="",C1408&lt;&gt;"Chi"),"",IFERROR(INDEX('Danh mục'!$C$39:$C$78,MATCH(D1408,'Danh mục'!$A$39:$A$78,0))&amp;"",""))</f>
      </c>
      <c r="H1408" s="11"/>
      <c r="I1408" s="20"/>
      <c r="J1408" s="11"/>
      <c r="K1408" s="11"/>
      <c r="L1408" s="11"/>
    </row>
    <row r="1409" spans="1:12" x14ac:dyDescent="0.3">
      <c r="A1409" s="31"/>
      <c r="B1409" s="32">
        <f>IF(A1409="","",DATE(YEAR(A1409),MONTH(A1409),1))</f>
      </c>
      <c r="C1409" s="11"/>
      <c r="D1409" s="11"/>
      <c r="E1409" s="16">
        <f>IF(OR(D1409="",C1409&lt;&gt;"Chi"),"",IFERROR(INDEX('Danh mục'!$B$39:$B$78,MATCH(D1409,'Danh mục'!$A$39:$A$78,0))&amp;"","?"))</f>
      </c>
      <c r="F1409" s="16">
        <f>IF(D1409="","",IF(C1409="Thu",IFERROR(INDEX('Danh mục'!$B$26:$B$35,MATCH(D1409,'Danh mục'!$A$26:$A$35,0))&amp;"","?"),IFERROR(INDEX('Danh mục'!$D$39:$D$78,MATCH(D1409,'Danh mục'!$A$39:$A$78,0))&amp;"","?")))</f>
      </c>
      <c r="G1409" s="16">
        <f>IF(OR(D1409="",C1409&lt;&gt;"Chi"),"",IFERROR(INDEX('Danh mục'!$C$39:$C$78,MATCH(D1409,'Danh mục'!$A$39:$A$78,0))&amp;"",""))</f>
      </c>
      <c r="H1409" s="11"/>
      <c r="I1409" s="20"/>
      <c r="J1409" s="11"/>
      <c r="K1409" s="11"/>
      <c r="L1409" s="11"/>
    </row>
    <row r="1410" spans="1:12" x14ac:dyDescent="0.3">
      <c r="A1410" s="31"/>
      <c r="B1410" s="32">
        <f>IF(A1410="","",DATE(YEAR(A1410),MONTH(A1410),1))</f>
      </c>
      <c r="C1410" s="11"/>
      <c r="D1410" s="11"/>
      <c r="E1410" s="16">
        <f>IF(OR(D1410="",C1410&lt;&gt;"Chi"),"",IFERROR(INDEX('Danh mục'!$B$39:$B$78,MATCH(D1410,'Danh mục'!$A$39:$A$78,0))&amp;"","?"))</f>
      </c>
      <c r="F1410" s="16">
        <f>IF(D1410="","",IF(C1410="Thu",IFERROR(INDEX('Danh mục'!$B$26:$B$35,MATCH(D1410,'Danh mục'!$A$26:$A$35,0))&amp;"","?"),IFERROR(INDEX('Danh mục'!$D$39:$D$78,MATCH(D1410,'Danh mục'!$A$39:$A$78,0))&amp;"","?")))</f>
      </c>
      <c r="G1410" s="16">
        <f>IF(OR(D1410="",C1410&lt;&gt;"Chi"),"",IFERROR(INDEX('Danh mục'!$C$39:$C$78,MATCH(D1410,'Danh mục'!$A$39:$A$78,0))&amp;"",""))</f>
      </c>
      <c r="H1410" s="11"/>
      <c r="I1410" s="20"/>
      <c r="J1410" s="11"/>
      <c r="K1410" s="11"/>
      <c r="L1410" s="11"/>
    </row>
    <row r="1411" spans="1:12" x14ac:dyDescent="0.3">
      <c r="A1411" s="31"/>
      <c r="B1411" s="32">
        <f>IF(A1411="","",DATE(YEAR(A1411),MONTH(A1411),1))</f>
      </c>
      <c r="C1411" s="11"/>
      <c r="D1411" s="11"/>
      <c r="E1411" s="16">
        <f>IF(OR(D1411="",C1411&lt;&gt;"Chi"),"",IFERROR(INDEX('Danh mục'!$B$39:$B$78,MATCH(D1411,'Danh mục'!$A$39:$A$78,0))&amp;"","?"))</f>
      </c>
      <c r="F1411" s="16">
        <f>IF(D1411="","",IF(C1411="Thu",IFERROR(INDEX('Danh mục'!$B$26:$B$35,MATCH(D1411,'Danh mục'!$A$26:$A$35,0))&amp;"","?"),IFERROR(INDEX('Danh mục'!$D$39:$D$78,MATCH(D1411,'Danh mục'!$A$39:$A$78,0))&amp;"","?")))</f>
      </c>
      <c r="G1411" s="16">
        <f>IF(OR(D1411="",C1411&lt;&gt;"Chi"),"",IFERROR(INDEX('Danh mục'!$C$39:$C$78,MATCH(D1411,'Danh mục'!$A$39:$A$78,0))&amp;"",""))</f>
      </c>
      <c r="H1411" s="11"/>
      <c r="I1411" s="20"/>
      <c r="J1411" s="11"/>
      <c r="K1411" s="11"/>
      <c r="L1411" s="11"/>
    </row>
    <row r="1412" spans="1:12" x14ac:dyDescent="0.3">
      <c r="A1412" s="31"/>
      <c r="B1412" s="32">
        <f>IF(A1412="","",DATE(YEAR(A1412),MONTH(A1412),1))</f>
      </c>
      <c r="C1412" s="11"/>
      <c r="D1412" s="11"/>
      <c r="E1412" s="16">
        <f>IF(OR(D1412="",C1412&lt;&gt;"Chi"),"",IFERROR(INDEX('Danh mục'!$B$39:$B$78,MATCH(D1412,'Danh mục'!$A$39:$A$78,0))&amp;"","?"))</f>
      </c>
      <c r="F1412" s="16">
        <f>IF(D1412="","",IF(C1412="Thu",IFERROR(INDEX('Danh mục'!$B$26:$B$35,MATCH(D1412,'Danh mục'!$A$26:$A$35,0))&amp;"","?"),IFERROR(INDEX('Danh mục'!$D$39:$D$78,MATCH(D1412,'Danh mục'!$A$39:$A$78,0))&amp;"","?")))</f>
      </c>
      <c r="G1412" s="16">
        <f>IF(OR(D1412="",C1412&lt;&gt;"Chi"),"",IFERROR(INDEX('Danh mục'!$C$39:$C$78,MATCH(D1412,'Danh mục'!$A$39:$A$78,0))&amp;"",""))</f>
      </c>
      <c r="H1412" s="11"/>
      <c r="I1412" s="20"/>
      <c r="J1412" s="11"/>
      <c r="K1412" s="11"/>
      <c r="L1412" s="11"/>
    </row>
    <row r="1413" spans="1:12" x14ac:dyDescent="0.3">
      <c r="A1413" s="31"/>
      <c r="B1413" s="32">
        <f>IF(A1413="","",DATE(YEAR(A1413),MONTH(A1413),1))</f>
      </c>
      <c r="C1413" s="11"/>
      <c r="D1413" s="11"/>
      <c r="E1413" s="16">
        <f>IF(OR(D1413="",C1413&lt;&gt;"Chi"),"",IFERROR(INDEX('Danh mục'!$B$39:$B$78,MATCH(D1413,'Danh mục'!$A$39:$A$78,0))&amp;"","?"))</f>
      </c>
      <c r="F1413" s="16">
        <f>IF(D1413="","",IF(C1413="Thu",IFERROR(INDEX('Danh mục'!$B$26:$B$35,MATCH(D1413,'Danh mục'!$A$26:$A$35,0))&amp;"","?"),IFERROR(INDEX('Danh mục'!$D$39:$D$78,MATCH(D1413,'Danh mục'!$A$39:$A$78,0))&amp;"","?")))</f>
      </c>
      <c r="G1413" s="16">
        <f>IF(OR(D1413="",C1413&lt;&gt;"Chi"),"",IFERROR(INDEX('Danh mục'!$C$39:$C$78,MATCH(D1413,'Danh mục'!$A$39:$A$78,0))&amp;"",""))</f>
      </c>
      <c r="H1413" s="11"/>
      <c r="I1413" s="20"/>
      <c r="J1413" s="11"/>
      <c r="K1413" s="11"/>
      <c r="L1413" s="11"/>
    </row>
    <row r="1414" spans="1:12" x14ac:dyDescent="0.3">
      <c r="A1414" s="31"/>
      <c r="B1414" s="32">
        <f>IF(A1414="","",DATE(YEAR(A1414),MONTH(A1414),1))</f>
      </c>
      <c r="C1414" s="11"/>
      <c r="D1414" s="11"/>
      <c r="E1414" s="16">
        <f>IF(OR(D1414="",C1414&lt;&gt;"Chi"),"",IFERROR(INDEX('Danh mục'!$B$39:$B$78,MATCH(D1414,'Danh mục'!$A$39:$A$78,0))&amp;"","?"))</f>
      </c>
      <c r="F1414" s="16">
        <f>IF(D1414="","",IF(C1414="Thu",IFERROR(INDEX('Danh mục'!$B$26:$B$35,MATCH(D1414,'Danh mục'!$A$26:$A$35,0))&amp;"","?"),IFERROR(INDEX('Danh mục'!$D$39:$D$78,MATCH(D1414,'Danh mục'!$A$39:$A$78,0))&amp;"","?")))</f>
      </c>
      <c r="G1414" s="16">
        <f>IF(OR(D1414="",C1414&lt;&gt;"Chi"),"",IFERROR(INDEX('Danh mục'!$C$39:$C$78,MATCH(D1414,'Danh mục'!$A$39:$A$78,0))&amp;"",""))</f>
      </c>
      <c r="H1414" s="11"/>
      <c r="I1414" s="20"/>
      <c r="J1414" s="11"/>
      <c r="K1414" s="11"/>
      <c r="L1414" s="11"/>
    </row>
    <row r="1415" spans="1:12" x14ac:dyDescent="0.3">
      <c r="A1415" s="31"/>
      <c r="B1415" s="32">
        <f>IF(A1415="","",DATE(YEAR(A1415),MONTH(A1415),1))</f>
      </c>
      <c r="C1415" s="11"/>
      <c r="D1415" s="11"/>
      <c r="E1415" s="16">
        <f>IF(OR(D1415="",C1415&lt;&gt;"Chi"),"",IFERROR(INDEX('Danh mục'!$B$39:$B$78,MATCH(D1415,'Danh mục'!$A$39:$A$78,0))&amp;"","?"))</f>
      </c>
      <c r="F1415" s="16">
        <f>IF(D1415="","",IF(C1415="Thu",IFERROR(INDEX('Danh mục'!$B$26:$B$35,MATCH(D1415,'Danh mục'!$A$26:$A$35,0))&amp;"","?"),IFERROR(INDEX('Danh mục'!$D$39:$D$78,MATCH(D1415,'Danh mục'!$A$39:$A$78,0))&amp;"","?")))</f>
      </c>
      <c r="G1415" s="16">
        <f>IF(OR(D1415="",C1415&lt;&gt;"Chi"),"",IFERROR(INDEX('Danh mục'!$C$39:$C$78,MATCH(D1415,'Danh mục'!$A$39:$A$78,0))&amp;"",""))</f>
      </c>
      <c r="H1415" s="11"/>
      <c r="I1415" s="20"/>
      <c r="J1415" s="11"/>
      <c r="K1415" s="11"/>
      <c r="L1415" s="11"/>
    </row>
    <row r="1416" spans="1:12" x14ac:dyDescent="0.3">
      <c r="A1416" s="31"/>
      <c r="B1416" s="32">
        <f>IF(A1416="","",DATE(YEAR(A1416),MONTH(A1416),1))</f>
      </c>
      <c r="C1416" s="11"/>
      <c r="D1416" s="11"/>
      <c r="E1416" s="16">
        <f>IF(OR(D1416="",C1416&lt;&gt;"Chi"),"",IFERROR(INDEX('Danh mục'!$B$39:$B$78,MATCH(D1416,'Danh mục'!$A$39:$A$78,0))&amp;"","?"))</f>
      </c>
      <c r="F1416" s="16">
        <f>IF(D1416="","",IF(C1416="Thu",IFERROR(INDEX('Danh mục'!$B$26:$B$35,MATCH(D1416,'Danh mục'!$A$26:$A$35,0))&amp;"","?"),IFERROR(INDEX('Danh mục'!$D$39:$D$78,MATCH(D1416,'Danh mục'!$A$39:$A$78,0))&amp;"","?")))</f>
      </c>
      <c r="G1416" s="16">
        <f>IF(OR(D1416="",C1416&lt;&gt;"Chi"),"",IFERROR(INDEX('Danh mục'!$C$39:$C$78,MATCH(D1416,'Danh mục'!$A$39:$A$78,0))&amp;"",""))</f>
      </c>
      <c r="H1416" s="11"/>
      <c r="I1416" s="20"/>
      <c r="J1416" s="11"/>
      <c r="K1416" s="11"/>
      <c r="L1416" s="11"/>
    </row>
    <row r="1417" spans="1:12" x14ac:dyDescent="0.3">
      <c r="A1417" s="31"/>
      <c r="B1417" s="32">
        <f>IF(A1417="","",DATE(YEAR(A1417),MONTH(A1417),1))</f>
      </c>
      <c r="C1417" s="11"/>
      <c r="D1417" s="11"/>
      <c r="E1417" s="16">
        <f>IF(OR(D1417="",C1417&lt;&gt;"Chi"),"",IFERROR(INDEX('Danh mục'!$B$39:$B$78,MATCH(D1417,'Danh mục'!$A$39:$A$78,0))&amp;"","?"))</f>
      </c>
      <c r="F1417" s="16">
        <f>IF(D1417="","",IF(C1417="Thu",IFERROR(INDEX('Danh mục'!$B$26:$B$35,MATCH(D1417,'Danh mục'!$A$26:$A$35,0))&amp;"","?"),IFERROR(INDEX('Danh mục'!$D$39:$D$78,MATCH(D1417,'Danh mục'!$A$39:$A$78,0))&amp;"","?")))</f>
      </c>
      <c r="G1417" s="16">
        <f>IF(OR(D1417="",C1417&lt;&gt;"Chi"),"",IFERROR(INDEX('Danh mục'!$C$39:$C$78,MATCH(D1417,'Danh mục'!$A$39:$A$78,0))&amp;"",""))</f>
      </c>
      <c r="H1417" s="11"/>
      <c r="I1417" s="20"/>
      <c r="J1417" s="11"/>
      <c r="K1417" s="11"/>
      <c r="L1417" s="11"/>
    </row>
    <row r="1418" spans="1:12" x14ac:dyDescent="0.3">
      <c r="A1418" s="31"/>
      <c r="B1418" s="32">
        <f>IF(A1418="","",DATE(YEAR(A1418),MONTH(A1418),1))</f>
      </c>
      <c r="C1418" s="11"/>
      <c r="D1418" s="11"/>
      <c r="E1418" s="16">
        <f>IF(OR(D1418="",C1418&lt;&gt;"Chi"),"",IFERROR(INDEX('Danh mục'!$B$39:$B$78,MATCH(D1418,'Danh mục'!$A$39:$A$78,0))&amp;"","?"))</f>
      </c>
      <c r="F1418" s="16">
        <f>IF(D1418="","",IF(C1418="Thu",IFERROR(INDEX('Danh mục'!$B$26:$B$35,MATCH(D1418,'Danh mục'!$A$26:$A$35,0))&amp;"","?"),IFERROR(INDEX('Danh mục'!$D$39:$D$78,MATCH(D1418,'Danh mục'!$A$39:$A$78,0))&amp;"","?")))</f>
      </c>
      <c r="G1418" s="16">
        <f>IF(OR(D1418="",C1418&lt;&gt;"Chi"),"",IFERROR(INDEX('Danh mục'!$C$39:$C$78,MATCH(D1418,'Danh mục'!$A$39:$A$78,0))&amp;"",""))</f>
      </c>
      <c r="H1418" s="11"/>
      <c r="I1418" s="20"/>
      <c r="J1418" s="11"/>
      <c r="K1418" s="11"/>
      <c r="L1418" s="11"/>
    </row>
    <row r="1419" spans="1:12" x14ac:dyDescent="0.3">
      <c r="A1419" s="31"/>
      <c r="B1419" s="32">
        <f>IF(A1419="","",DATE(YEAR(A1419),MONTH(A1419),1))</f>
      </c>
      <c r="C1419" s="11"/>
      <c r="D1419" s="11"/>
      <c r="E1419" s="16">
        <f>IF(OR(D1419="",C1419&lt;&gt;"Chi"),"",IFERROR(INDEX('Danh mục'!$B$39:$B$78,MATCH(D1419,'Danh mục'!$A$39:$A$78,0))&amp;"","?"))</f>
      </c>
      <c r="F1419" s="16">
        <f>IF(D1419="","",IF(C1419="Thu",IFERROR(INDEX('Danh mục'!$B$26:$B$35,MATCH(D1419,'Danh mục'!$A$26:$A$35,0))&amp;"","?"),IFERROR(INDEX('Danh mục'!$D$39:$D$78,MATCH(D1419,'Danh mục'!$A$39:$A$78,0))&amp;"","?")))</f>
      </c>
      <c r="G1419" s="16">
        <f>IF(OR(D1419="",C1419&lt;&gt;"Chi"),"",IFERROR(INDEX('Danh mục'!$C$39:$C$78,MATCH(D1419,'Danh mục'!$A$39:$A$78,0))&amp;"",""))</f>
      </c>
      <c r="H1419" s="11"/>
      <c r="I1419" s="20"/>
      <c r="J1419" s="11"/>
      <c r="K1419" s="11"/>
      <c r="L1419" s="11"/>
    </row>
    <row r="1420" spans="1:12" x14ac:dyDescent="0.3">
      <c r="A1420" s="31"/>
      <c r="B1420" s="32">
        <f>IF(A1420="","",DATE(YEAR(A1420),MONTH(A1420),1))</f>
      </c>
      <c r="C1420" s="11"/>
      <c r="D1420" s="11"/>
      <c r="E1420" s="16">
        <f>IF(OR(D1420="",C1420&lt;&gt;"Chi"),"",IFERROR(INDEX('Danh mục'!$B$39:$B$78,MATCH(D1420,'Danh mục'!$A$39:$A$78,0))&amp;"","?"))</f>
      </c>
      <c r="F1420" s="16">
        <f>IF(D1420="","",IF(C1420="Thu",IFERROR(INDEX('Danh mục'!$B$26:$B$35,MATCH(D1420,'Danh mục'!$A$26:$A$35,0))&amp;"","?"),IFERROR(INDEX('Danh mục'!$D$39:$D$78,MATCH(D1420,'Danh mục'!$A$39:$A$78,0))&amp;"","?")))</f>
      </c>
      <c r="G1420" s="16">
        <f>IF(OR(D1420="",C1420&lt;&gt;"Chi"),"",IFERROR(INDEX('Danh mục'!$C$39:$C$78,MATCH(D1420,'Danh mục'!$A$39:$A$78,0))&amp;"",""))</f>
      </c>
      <c r="H1420" s="11"/>
      <c r="I1420" s="20"/>
      <c r="J1420" s="11"/>
      <c r="K1420" s="11"/>
      <c r="L1420" s="11"/>
    </row>
    <row r="1421" spans="1:12" x14ac:dyDescent="0.3">
      <c r="A1421" s="31"/>
      <c r="B1421" s="32">
        <f>IF(A1421="","",DATE(YEAR(A1421),MONTH(A1421),1))</f>
      </c>
      <c r="C1421" s="11"/>
      <c r="D1421" s="11"/>
      <c r="E1421" s="16">
        <f>IF(OR(D1421="",C1421&lt;&gt;"Chi"),"",IFERROR(INDEX('Danh mục'!$B$39:$B$78,MATCH(D1421,'Danh mục'!$A$39:$A$78,0))&amp;"","?"))</f>
      </c>
      <c r="F1421" s="16">
        <f>IF(D1421="","",IF(C1421="Thu",IFERROR(INDEX('Danh mục'!$B$26:$B$35,MATCH(D1421,'Danh mục'!$A$26:$A$35,0))&amp;"","?"),IFERROR(INDEX('Danh mục'!$D$39:$D$78,MATCH(D1421,'Danh mục'!$A$39:$A$78,0))&amp;"","?")))</f>
      </c>
      <c r="G1421" s="16">
        <f>IF(OR(D1421="",C1421&lt;&gt;"Chi"),"",IFERROR(INDEX('Danh mục'!$C$39:$C$78,MATCH(D1421,'Danh mục'!$A$39:$A$78,0))&amp;"",""))</f>
      </c>
      <c r="H1421" s="11"/>
      <c r="I1421" s="20"/>
      <c r="J1421" s="11"/>
      <c r="K1421" s="11"/>
      <c r="L1421" s="11"/>
    </row>
    <row r="1422" spans="1:12" x14ac:dyDescent="0.3">
      <c r="A1422" s="31"/>
      <c r="B1422" s="32">
        <f>IF(A1422="","",DATE(YEAR(A1422),MONTH(A1422),1))</f>
      </c>
      <c r="C1422" s="11"/>
      <c r="D1422" s="11"/>
      <c r="E1422" s="16">
        <f>IF(OR(D1422="",C1422&lt;&gt;"Chi"),"",IFERROR(INDEX('Danh mục'!$B$39:$B$78,MATCH(D1422,'Danh mục'!$A$39:$A$78,0))&amp;"","?"))</f>
      </c>
      <c r="F1422" s="16">
        <f>IF(D1422="","",IF(C1422="Thu",IFERROR(INDEX('Danh mục'!$B$26:$B$35,MATCH(D1422,'Danh mục'!$A$26:$A$35,0))&amp;"","?"),IFERROR(INDEX('Danh mục'!$D$39:$D$78,MATCH(D1422,'Danh mục'!$A$39:$A$78,0))&amp;"","?")))</f>
      </c>
      <c r="G1422" s="16">
        <f>IF(OR(D1422="",C1422&lt;&gt;"Chi"),"",IFERROR(INDEX('Danh mục'!$C$39:$C$78,MATCH(D1422,'Danh mục'!$A$39:$A$78,0))&amp;"",""))</f>
      </c>
      <c r="H1422" s="11"/>
      <c r="I1422" s="20"/>
      <c r="J1422" s="11"/>
      <c r="K1422" s="11"/>
      <c r="L1422" s="11"/>
    </row>
    <row r="1423" spans="1:12" x14ac:dyDescent="0.3">
      <c r="A1423" s="31"/>
      <c r="B1423" s="32">
        <f>IF(A1423="","",DATE(YEAR(A1423),MONTH(A1423),1))</f>
      </c>
      <c r="C1423" s="11"/>
      <c r="D1423" s="11"/>
      <c r="E1423" s="16">
        <f>IF(OR(D1423="",C1423&lt;&gt;"Chi"),"",IFERROR(INDEX('Danh mục'!$B$39:$B$78,MATCH(D1423,'Danh mục'!$A$39:$A$78,0))&amp;"","?"))</f>
      </c>
      <c r="F1423" s="16">
        <f>IF(D1423="","",IF(C1423="Thu",IFERROR(INDEX('Danh mục'!$B$26:$B$35,MATCH(D1423,'Danh mục'!$A$26:$A$35,0))&amp;"","?"),IFERROR(INDEX('Danh mục'!$D$39:$D$78,MATCH(D1423,'Danh mục'!$A$39:$A$78,0))&amp;"","?")))</f>
      </c>
      <c r="G1423" s="16">
        <f>IF(OR(D1423="",C1423&lt;&gt;"Chi"),"",IFERROR(INDEX('Danh mục'!$C$39:$C$78,MATCH(D1423,'Danh mục'!$A$39:$A$78,0))&amp;"",""))</f>
      </c>
      <c r="H1423" s="11"/>
      <c r="I1423" s="20"/>
      <c r="J1423" s="11"/>
      <c r="K1423" s="11"/>
      <c r="L1423" s="11"/>
    </row>
    <row r="1424" spans="1:12" x14ac:dyDescent="0.3">
      <c r="A1424" s="31"/>
      <c r="B1424" s="32">
        <f>IF(A1424="","",DATE(YEAR(A1424),MONTH(A1424),1))</f>
      </c>
      <c r="C1424" s="11"/>
      <c r="D1424" s="11"/>
      <c r="E1424" s="16">
        <f>IF(OR(D1424="",C1424&lt;&gt;"Chi"),"",IFERROR(INDEX('Danh mục'!$B$39:$B$78,MATCH(D1424,'Danh mục'!$A$39:$A$78,0))&amp;"","?"))</f>
      </c>
      <c r="F1424" s="16">
        <f>IF(D1424="","",IF(C1424="Thu",IFERROR(INDEX('Danh mục'!$B$26:$B$35,MATCH(D1424,'Danh mục'!$A$26:$A$35,0))&amp;"","?"),IFERROR(INDEX('Danh mục'!$D$39:$D$78,MATCH(D1424,'Danh mục'!$A$39:$A$78,0))&amp;"","?")))</f>
      </c>
      <c r="G1424" s="16">
        <f>IF(OR(D1424="",C1424&lt;&gt;"Chi"),"",IFERROR(INDEX('Danh mục'!$C$39:$C$78,MATCH(D1424,'Danh mục'!$A$39:$A$78,0))&amp;"",""))</f>
      </c>
      <c r="H1424" s="11"/>
      <c r="I1424" s="20"/>
      <c r="J1424" s="11"/>
      <c r="K1424" s="11"/>
      <c r="L1424" s="11"/>
    </row>
    <row r="1425" spans="1:12" x14ac:dyDescent="0.3">
      <c r="A1425" s="31"/>
      <c r="B1425" s="32">
        <f>IF(A1425="","",DATE(YEAR(A1425),MONTH(A1425),1))</f>
      </c>
      <c r="C1425" s="11"/>
      <c r="D1425" s="11"/>
      <c r="E1425" s="16">
        <f>IF(OR(D1425="",C1425&lt;&gt;"Chi"),"",IFERROR(INDEX('Danh mục'!$B$39:$B$78,MATCH(D1425,'Danh mục'!$A$39:$A$78,0))&amp;"","?"))</f>
      </c>
      <c r="F1425" s="16">
        <f>IF(D1425="","",IF(C1425="Thu",IFERROR(INDEX('Danh mục'!$B$26:$B$35,MATCH(D1425,'Danh mục'!$A$26:$A$35,0))&amp;"","?"),IFERROR(INDEX('Danh mục'!$D$39:$D$78,MATCH(D1425,'Danh mục'!$A$39:$A$78,0))&amp;"","?")))</f>
      </c>
      <c r="G1425" s="16">
        <f>IF(OR(D1425="",C1425&lt;&gt;"Chi"),"",IFERROR(INDEX('Danh mục'!$C$39:$C$78,MATCH(D1425,'Danh mục'!$A$39:$A$78,0))&amp;"",""))</f>
      </c>
      <c r="H1425" s="11"/>
      <c r="I1425" s="20"/>
      <c r="J1425" s="11"/>
      <c r="K1425" s="11"/>
      <c r="L1425" s="11"/>
    </row>
    <row r="1426" spans="1:12" x14ac:dyDescent="0.3">
      <c r="A1426" s="31"/>
      <c r="B1426" s="32">
        <f>IF(A1426="","",DATE(YEAR(A1426),MONTH(A1426),1))</f>
      </c>
      <c r="C1426" s="11"/>
      <c r="D1426" s="11"/>
      <c r="E1426" s="16">
        <f>IF(OR(D1426="",C1426&lt;&gt;"Chi"),"",IFERROR(INDEX('Danh mục'!$B$39:$B$78,MATCH(D1426,'Danh mục'!$A$39:$A$78,0))&amp;"","?"))</f>
      </c>
      <c r="F1426" s="16">
        <f>IF(D1426="","",IF(C1426="Thu",IFERROR(INDEX('Danh mục'!$B$26:$B$35,MATCH(D1426,'Danh mục'!$A$26:$A$35,0))&amp;"","?"),IFERROR(INDEX('Danh mục'!$D$39:$D$78,MATCH(D1426,'Danh mục'!$A$39:$A$78,0))&amp;"","?")))</f>
      </c>
      <c r="G1426" s="16">
        <f>IF(OR(D1426="",C1426&lt;&gt;"Chi"),"",IFERROR(INDEX('Danh mục'!$C$39:$C$78,MATCH(D1426,'Danh mục'!$A$39:$A$78,0))&amp;"",""))</f>
      </c>
      <c r="H1426" s="11"/>
      <c r="I1426" s="20"/>
      <c r="J1426" s="11"/>
      <c r="K1426" s="11"/>
      <c r="L1426" s="11"/>
    </row>
    <row r="1427" spans="1:12" x14ac:dyDescent="0.3">
      <c r="A1427" s="31"/>
      <c r="B1427" s="32">
        <f>IF(A1427="","",DATE(YEAR(A1427),MONTH(A1427),1))</f>
      </c>
      <c r="C1427" s="11"/>
      <c r="D1427" s="11"/>
      <c r="E1427" s="16">
        <f>IF(OR(D1427="",C1427&lt;&gt;"Chi"),"",IFERROR(INDEX('Danh mục'!$B$39:$B$78,MATCH(D1427,'Danh mục'!$A$39:$A$78,0))&amp;"","?"))</f>
      </c>
      <c r="F1427" s="16">
        <f>IF(D1427="","",IF(C1427="Thu",IFERROR(INDEX('Danh mục'!$B$26:$B$35,MATCH(D1427,'Danh mục'!$A$26:$A$35,0))&amp;"","?"),IFERROR(INDEX('Danh mục'!$D$39:$D$78,MATCH(D1427,'Danh mục'!$A$39:$A$78,0))&amp;"","?")))</f>
      </c>
      <c r="G1427" s="16">
        <f>IF(OR(D1427="",C1427&lt;&gt;"Chi"),"",IFERROR(INDEX('Danh mục'!$C$39:$C$78,MATCH(D1427,'Danh mục'!$A$39:$A$78,0))&amp;"",""))</f>
      </c>
      <c r="H1427" s="11"/>
      <c r="I1427" s="20"/>
      <c r="J1427" s="11"/>
      <c r="K1427" s="11"/>
      <c r="L1427" s="11"/>
    </row>
    <row r="1428" spans="1:12" x14ac:dyDescent="0.3">
      <c r="A1428" s="31"/>
      <c r="B1428" s="32">
        <f>IF(A1428="","",DATE(YEAR(A1428),MONTH(A1428),1))</f>
      </c>
      <c r="C1428" s="11"/>
      <c r="D1428" s="11"/>
      <c r="E1428" s="16">
        <f>IF(OR(D1428="",C1428&lt;&gt;"Chi"),"",IFERROR(INDEX('Danh mục'!$B$39:$B$78,MATCH(D1428,'Danh mục'!$A$39:$A$78,0))&amp;"","?"))</f>
      </c>
      <c r="F1428" s="16">
        <f>IF(D1428="","",IF(C1428="Thu",IFERROR(INDEX('Danh mục'!$B$26:$B$35,MATCH(D1428,'Danh mục'!$A$26:$A$35,0))&amp;"","?"),IFERROR(INDEX('Danh mục'!$D$39:$D$78,MATCH(D1428,'Danh mục'!$A$39:$A$78,0))&amp;"","?")))</f>
      </c>
      <c r="G1428" s="16">
        <f>IF(OR(D1428="",C1428&lt;&gt;"Chi"),"",IFERROR(INDEX('Danh mục'!$C$39:$C$78,MATCH(D1428,'Danh mục'!$A$39:$A$78,0))&amp;"",""))</f>
      </c>
      <c r="H1428" s="11"/>
      <c r="I1428" s="20"/>
      <c r="J1428" s="11"/>
      <c r="K1428" s="11"/>
      <c r="L1428" s="11"/>
    </row>
    <row r="1429" spans="1:12" x14ac:dyDescent="0.3">
      <c r="A1429" s="31"/>
      <c r="B1429" s="32">
        <f>IF(A1429="","",DATE(YEAR(A1429),MONTH(A1429),1))</f>
      </c>
      <c r="C1429" s="11"/>
      <c r="D1429" s="11"/>
      <c r="E1429" s="16">
        <f>IF(OR(D1429="",C1429&lt;&gt;"Chi"),"",IFERROR(INDEX('Danh mục'!$B$39:$B$78,MATCH(D1429,'Danh mục'!$A$39:$A$78,0))&amp;"","?"))</f>
      </c>
      <c r="F1429" s="16">
        <f>IF(D1429="","",IF(C1429="Thu",IFERROR(INDEX('Danh mục'!$B$26:$B$35,MATCH(D1429,'Danh mục'!$A$26:$A$35,0))&amp;"","?"),IFERROR(INDEX('Danh mục'!$D$39:$D$78,MATCH(D1429,'Danh mục'!$A$39:$A$78,0))&amp;"","?")))</f>
      </c>
      <c r="G1429" s="16">
        <f>IF(OR(D1429="",C1429&lt;&gt;"Chi"),"",IFERROR(INDEX('Danh mục'!$C$39:$C$78,MATCH(D1429,'Danh mục'!$A$39:$A$78,0))&amp;"",""))</f>
      </c>
      <c r="H1429" s="11"/>
      <c r="I1429" s="20"/>
      <c r="J1429" s="11"/>
      <c r="K1429" s="11"/>
      <c r="L1429" s="11"/>
    </row>
    <row r="1430" spans="1:12" x14ac:dyDescent="0.3">
      <c r="A1430" s="31"/>
      <c r="B1430" s="32">
        <f>IF(A1430="","",DATE(YEAR(A1430),MONTH(A1430),1))</f>
      </c>
      <c r="C1430" s="11"/>
      <c r="D1430" s="11"/>
      <c r="E1430" s="16">
        <f>IF(OR(D1430="",C1430&lt;&gt;"Chi"),"",IFERROR(INDEX('Danh mục'!$B$39:$B$78,MATCH(D1430,'Danh mục'!$A$39:$A$78,0))&amp;"","?"))</f>
      </c>
      <c r="F1430" s="16">
        <f>IF(D1430="","",IF(C1430="Thu",IFERROR(INDEX('Danh mục'!$B$26:$B$35,MATCH(D1430,'Danh mục'!$A$26:$A$35,0))&amp;"","?"),IFERROR(INDEX('Danh mục'!$D$39:$D$78,MATCH(D1430,'Danh mục'!$A$39:$A$78,0))&amp;"","?")))</f>
      </c>
      <c r="G1430" s="16">
        <f>IF(OR(D1430="",C1430&lt;&gt;"Chi"),"",IFERROR(INDEX('Danh mục'!$C$39:$C$78,MATCH(D1430,'Danh mục'!$A$39:$A$78,0))&amp;"",""))</f>
      </c>
      <c r="H1430" s="11"/>
      <c r="I1430" s="20"/>
      <c r="J1430" s="11"/>
      <c r="K1430" s="11"/>
      <c r="L1430" s="11"/>
    </row>
    <row r="1431" spans="1:12" x14ac:dyDescent="0.3">
      <c r="A1431" s="31"/>
      <c r="B1431" s="32">
        <f>IF(A1431="","",DATE(YEAR(A1431),MONTH(A1431),1))</f>
      </c>
      <c r="C1431" s="11"/>
      <c r="D1431" s="11"/>
      <c r="E1431" s="16">
        <f>IF(OR(D1431="",C1431&lt;&gt;"Chi"),"",IFERROR(INDEX('Danh mục'!$B$39:$B$78,MATCH(D1431,'Danh mục'!$A$39:$A$78,0))&amp;"","?"))</f>
      </c>
      <c r="F1431" s="16">
        <f>IF(D1431="","",IF(C1431="Thu",IFERROR(INDEX('Danh mục'!$B$26:$B$35,MATCH(D1431,'Danh mục'!$A$26:$A$35,0))&amp;"","?"),IFERROR(INDEX('Danh mục'!$D$39:$D$78,MATCH(D1431,'Danh mục'!$A$39:$A$78,0))&amp;"","?")))</f>
      </c>
      <c r="G1431" s="16">
        <f>IF(OR(D1431="",C1431&lt;&gt;"Chi"),"",IFERROR(INDEX('Danh mục'!$C$39:$C$78,MATCH(D1431,'Danh mục'!$A$39:$A$78,0))&amp;"",""))</f>
      </c>
      <c r="H1431" s="11"/>
      <c r="I1431" s="20"/>
      <c r="J1431" s="11"/>
      <c r="K1431" s="11"/>
      <c r="L1431" s="11"/>
    </row>
    <row r="1432" spans="1:12" x14ac:dyDescent="0.3">
      <c r="A1432" s="31"/>
      <c r="B1432" s="32">
        <f>IF(A1432="","",DATE(YEAR(A1432),MONTH(A1432),1))</f>
      </c>
      <c r="C1432" s="11"/>
      <c r="D1432" s="11"/>
      <c r="E1432" s="16">
        <f>IF(OR(D1432="",C1432&lt;&gt;"Chi"),"",IFERROR(INDEX('Danh mục'!$B$39:$B$78,MATCH(D1432,'Danh mục'!$A$39:$A$78,0))&amp;"","?"))</f>
      </c>
      <c r="F1432" s="16">
        <f>IF(D1432="","",IF(C1432="Thu",IFERROR(INDEX('Danh mục'!$B$26:$B$35,MATCH(D1432,'Danh mục'!$A$26:$A$35,0))&amp;"","?"),IFERROR(INDEX('Danh mục'!$D$39:$D$78,MATCH(D1432,'Danh mục'!$A$39:$A$78,0))&amp;"","?")))</f>
      </c>
      <c r="G1432" s="16">
        <f>IF(OR(D1432="",C1432&lt;&gt;"Chi"),"",IFERROR(INDEX('Danh mục'!$C$39:$C$78,MATCH(D1432,'Danh mục'!$A$39:$A$78,0))&amp;"",""))</f>
      </c>
      <c r="H1432" s="11"/>
      <c r="I1432" s="20"/>
      <c r="J1432" s="11"/>
      <c r="K1432" s="11"/>
      <c r="L1432" s="11"/>
    </row>
    <row r="1433" spans="1:12" x14ac:dyDescent="0.3">
      <c r="A1433" s="31"/>
      <c r="B1433" s="32">
        <f>IF(A1433="","",DATE(YEAR(A1433),MONTH(A1433),1))</f>
      </c>
      <c r="C1433" s="11"/>
      <c r="D1433" s="11"/>
      <c r="E1433" s="16">
        <f>IF(OR(D1433="",C1433&lt;&gt;"Chi"),"",IFERROR(INDEX('Danh mục'!$B$39:$B$78,MATCH(D1433,'Danh mục'!$A$39:$A$78,0))&amp;"","?"))</f>
      </c>
      <c r="F1433" s="16">
        <f>IF(D1433="","",IF(C1433="Thu",IFERROR(INDEX('Danh mục'!$B$26:$B$35,MATCH(D1433,'Danh mục'!$A$26:$A$35,0))&amp;"","?"),IFERROR(INDEX('Danh mục'!$D$39:$D$78,MATCH(D1433,'Danh mục'!$A$39:$A$78,0))&amp;"","?")))</f>
      </c>
      <c r="G1433" s="16">
        <f>IF(OR(D1433="",C1433&lt;&gt;"Chi"),"",IFERROR(INDEX('Danh mục'!$C$39:$C$78,MATCH(D1433,'Danh mục'!$A$39:$A$78,0))&amp;"",""))</f>
      </c>
      <c r="H1433" s="11"/>
      <c r="I1433" s="20"/>
      <c r="J1433" s="11"/>
      <c r="K1433" s="11"/>
      <c r="L1433" s="11"/>
    </row>
    <row r="1434" spans="1:12" x14ac:dyDescent="0.3">
      <c r="A1434" s="31"/>
      <c r="B1434" s="32">
        <f>IF(A1434="","",DATE(YEAR(A1434),MONTH(A1434),1))</f>
      </c>
      <c r="C1434" s="11"/>
      <c r="D1434" s="11"/>
      <c r="E1434" s="16">
        <f>IF(OR(D1434="",C1434&lt;&gt;"Chi"),"",IFERROR(INDEX('Danh mục'!$B$39:$B$78,MATCH(D1434,'Danh mục'!$A$39:$A$78,0))&amp;"","?"))</f>
      </c>
      <c r="F1434" s="16">
        <f>IF(D1434="","",IF(C1434="Thu",IFERROR(INDEX('Danh mục'!$B$26:$B$35,MATCH(D1434,'Danh mục'!$A$26:$A$35,0))&amp;"","?"),IFERROR(INDEX('Danh mục'!$D$39:$D$78,MATCH(D1434,'Danh mục'!$A$39:$A$78,0))&amp;"","?")))</f>
      </c>
      <c r="G1434" s="16">
        <f>IF(OR(D1434="",C1434&lt;&gt;"Chi"),"",IFERROR(INDEX('Danh mục'!$C$39:$C$78,MATCH(D1434,'Danh mục'!$A$39:$A$78,0))&amp;"",""))</f>
      </c>
      <c r="H1434" s="11"/>
      <c r="I1434" s="20"/>
      <c r="J1434" s="11"/>
      <c r="K1434" s="11"/>
      <c r="L1434" s="11"/>
    </row>
    <row r="1435" spans="1:12" x14ac:dyDescent="0.3">
      <c r="A1435" s="31"/>
      <c r="B1435" s="32">
        <f>IF(A1435="","",DATE(YEAR(A1435),MONTH(A1435),1))</f>
      </c>
      <c r="C1435" s="11"/>
      <c r="D1435" s="11"/>
      <c r="E1435" s="16">
        <f>IF(OR(D1435="",C1435&lt;&gt;"Chi"),"",IFERROR(INDEX('Danh mục'!$B$39:$B$78,MATCH(D1435,'Danh mục'!$A$39:$A$78,0))&amp;"","?"))</f>
      </c>
      <c r="F1435" s="16">
        <f>IF(D1435="","",IF(C1435="Thu",IFERROR(INDEX('Danh mục'!$B$26:$B$35,MATCH(D1435,'Danh mục'!$A$26:$A$35,0))&amp;"","?"),IFERROR(INDEX('Danh mục'!$D$39:$D$78,MATCH(D1435,'Danh mục'!$A$39:$A$78,0))&amp;"","?")))</f>
      </c>
      <c r="G1435" s="16">
        <f>IF(OR(D1435="",C1435&lt;&gt;"Chi"),"",IFERROR(INDEX('Danh mục'!$C$39:$C$78,MATCH(D1435,'Danh mục'!$A$39:$A$78,0))&amp;"",""))</f>
      </c>
      <c r="H1435" s="11"/>
      <c r="I1435" s="20"/>
      <c r="J1435" s="11"/>
      <c r="K1435" s="11"/>
      <c r="L1435" s="11"/>
    </row>
    <row r="1436" spans="1:12" x14ac:dyDescent="0.3">
      <c r="A1436" s="31"/>
      <c r="B1436" s="32">
        <f>IF(A1436="","",DATE(YEAR(A1436),MONTH(A1436),1))</f>
      </c>
      <c r="C1436" s="11"/>
      <c r="D1436" s="11"/>
      <c r="E1436" s="16">
        <f>IF(OR(D1436="",C1436&lt;&gt;"Chi"),"",IFERROR(INDEX('Danh mục'!$B$39:$B$78,MATCH(D1436,'Danh mục'!$A$39:$A$78,0))&amp;"","?"))</f>
      </c>
      <c r="F1436" s="16">
        <f>IF(D1436="","",IF(C1436="Thu",IFERROR(INDEX('Danh mục'!$B$26:$B$35,MATCH(D1436,'Danh mục'!$A$26:$A$35,0))&amp;"","?"),IFERROR(INDEX('Danh mục'!$D$39:$D$78,MATCH(D1436,'Danh mục'!$A$39:$A$78,0))&amp;"","?")))</f>
      </c>
      <c r="G1436" s="16">
        <f>IF(OR(D1436="",C1436&lt;&gt;"Chi"),"",IFERROR(INDEX('Danh mục'!$C$39:$C$78,MATCH(D1436,'Danh mục'!$A$39:$A$78,0))&amp;"",""))</f>
      </c>
      <c r="H1436" s="11"/>
      <c r="I1436" s="20"/>
      <c r="J1436" s="11"/>
      <c r="K1436" s="11"/>
      <c r="L1436" s="11"/>
    </row>
    <row r="1437" spans="1:12" x14ac:dyDescent="0.3">
      <c r="A1437" s="31"/>
      <c r="B1437" s="32">
        <f>IF(A1437="","",DATE(YEAR(A1437),MONTH(A1437),1))</f>
      </c>
      <c r="C1437" s="11"/>
      <c r="D1437" s="11"/>
      <c r="E1437" s="16">
        <f>IF(OR(D1437="",C1437&lt;&gt;"Chi"),"",IFERROR(INDEX('Danh mục'!$B$39:$B$78,MATCH(D1437,'Danh mục'!$A$39:$A$78,0))&amp;"","?"))</f>
      </c>
      <c r="F1437" s="16">
        <f>IF(D1437="","",IF(C1437="Thu",IFERROR(INDEX('Danh mục'!$B$26:$B$35,MATCH(D1437,'Danh mục'!$A$26:$A$35,0))&amp;"","?"),IFERROR(INDEX('Danh mục'!$D$39:$D$78,MATCH(D1437,'Danh mục'!$A$39:$A$78,0))&amp;"","?")))</f>
      </c>
      <c r="G1437" s="16">
        <f>IF(OR(D1437="",C1437&lt;&gt;"Chi"),"",IFERROR(INDEX('Danh mục'!$C$39:$C$78,MATCH(D1437,'Danh mục'!$A$39:$A$78,0))&amp;"",""))</f>
      </c>
      <c r="H1437" s="11"/>
      <c r="I1437" s="20"/>
      <c r="J1437" s="11"/>
      <c r="K1437" s="11"/>
      <c r="L1437" s="11"/>
    </row>
    <row r="1438" spans="1:12" x14ac:dyDescent="0.3">
      <c r="A1438" s="31"/>
      <c r="B1438" s="32">
        <f>IF(A1438="","",DATE(YEAR(A1438),MONTH(A1438),1))</f>
      </c>
      <c r="C1438" s="11"/>
      <c r="D1438" s="11"/>
      <c r="E1438" s="16">
        <f>IF(OR(D1438="",C1438&lt;&gt;"Chi"),"",IFERROR(INDEX('Danh mục'!$B$39:$B$78,MATCH(D1438,'Danh mục'!$A$39:$A$78,0))&amp;"","?"))</f>
      </c>
      <c r="F1438" s="16">
        <f>IF(D1438="","",IF(C1438="Thu",IFERROR(INDEX('Danh mục'!$B$26:$B$35,MATCH(D1438,'Danh mục'!$A$26:$A$35,0))&amp;"","?"),IFERROR(INDEX('Danh mục'!$D$39:$D$78,MATCH(D1438,'Danh mục'!$A$39:$A$78,0))&amp;"","?")))</f>
      </c>
      <c r="G1438" s="16">
        <f>IF(OR(D1438="",C1438&lt;&gt;"Chi"),"",IFERROR(INDEX('Danh mục'!$C$39:$C$78,MATCH(D1438,'Danh mục'!$A$39:$A$78,0))&amp;"",""))</f>
      </c>
      <c r="H1438" s="11"/>
      <c r="I1438" s="20"/>
      <c r="J1438" s="11"/>
      <c r="K1438" s="11"/>
      <c r="L1438" s="11"/>
    </row>
    <row r="1439" spans="1:12" x14ac:dyDescent="0.3">
      <c r="A1439" s="31"/>
      <c r="B1439" s="32">
        <f>IF(A1439="","",DATE(YEAR(A1439),MONTH(A1439),1))</f>
      </c>
      <c r="C1439" s="11"/>
      <c r="D1439" s="11"/>
      <c r="E1439" s="16">
        <f>IF(OR(D1439="",C1439&lt;&gt;"Chi"),"",IFERROR(INDEX('Danh mục'!$B$39:$B$78,MATCH(D1439,'Danh mục'!$A$39:$A$78,0))&amp;"","?"))</f>
      </c>
      <c r="F1439" s="16">
        <f>IF(D1439="","",IF(C1439="Thu",IFERROR(INDEX('Danh mục'!$B$26:$B$35,MATCH(D1439,'Danh mục'!$A$26:$A$35,0))&amp;"","?"),IFERROR(INDEX('Danh mục'!$D$39:$D$78,MATCH(D1439,'Danh mục'!$A$39:$A$78,0))&amp;"","?")))</f>
      </c>
      <c r="G1439" s="16">
        <f>IF(OR(D1439="",C1439&lt;&gt;"Chi"),"",IFERROR(INDEX('Danh mục'!$C$39:$C$78,MATCH(D1439,'Danh mục'!$A$39:$A$78,0))&amp;"",""))</f>
      </c>
      <c r="H1439" s="11"/>
      <c r="I1439" s="20"/>
      <c r="J1439" s="11"/>
      <c r="K1439" s="11"/>
      <c r="L1439" s="11"/>
    </row>
    <row r="1440" spans="1:12" x14ac:dyDescent="0.3">
      <c r="A1440" s="31"/>
      <c r="B1440" s="32">
        <f>IF(A1440="","",DATE(YEAR(A1440),MONTH(A1440),1))</f>
      </c>
      <c r="C1440" s="11"/>
      <c r="D1440" s="11"/>
      <c r="E1440" s="16">
        <f>IF(OR(D1440="",C1440&lt;&gt;"Chi"),"",IFERROR(INDEX('Danh mục'!$B$39:$B$78,MATCH(D1440,'Danh mục'!$A$39:$A$78,0))&amp;"","?"))</f>
      </c>
      <c r="F1440" s="16">
        <f>IF(D1440="","",IF(C1440="Thu",IFERROR(INDEX('Danh mục'!$B$26:$B$35,MATCH(D1440,'Danh mục'!$A$26:$A$35,0))&amp;"","?"),IFERROR(INDEX('Danh mục'!$D$39:$D$78,MATCH(D1440,'Danh mục'!$A$39:$A$78,0))&amp;"","?")))</f>
      </c>
      <c r="G1440" s="16">
        <f>IF(OR(D1440="",C1440&lt;&gt;"Chi"),"",IFERROR(INDEX('Danh mục'!$C$39:$C$78,MATCH(D1440,'Danh mục'!$A$39:$A$78,0))&amp;"",""))</f>
      </c>
      <c r="H1440" s="11"/>
      <c r="I1440" s="20"/>
      <c r="J1440" s="11"/>
      <c r="K1440" s="11"/>
      <c r="L1440" s="11"/>
    </row>
    <row r="1441" spans="1:12" x14ac:dyDescent="0.3">
      <c r="A1441" s="31"/>
      <c r="B1441" s="32">
        <f>IF(A1441="","",DATE(YEAR(A1441),MONTH(A1441),1))</f>
      </c>
      <c r="C1441" s="11"/>
      <c r="D1441" s="11"/>
      <c r="E1441" s="16">
        <f>IF(OR(D1441="",C1441&lt;&gt;"Chi"),"",IFERROR(INDEX('Danh mục'!$B$39:$B$78,MATCH(D1441,'Danh mục'!$A$39:$A$78,0))&amp;"","?"))</f>
      </c>
      <c r="F1441" s="16">
        <f>IF(D1441="","",IF(C1441="Thu",IFERROR(INDEX('Danh mục'!$B$26:$B$35,MATCH(D1441,'Danh mục'!$A$26:$A$35,0))&amp;"","?"),IFERROR(INDEX('Danh mục'!$D$39:$D$78,MATCH(D1441,'Danh mục'!$A$39:$A$78,0))&amp;"","?")))</f>
      </c>
      <c r="G1441" s="16">
        <f>IF(OR(D1441="",C1441&lt;&gt;"Chi"),"",IFERROR(INDEX('Danh mục'!$C$39:$C$78,MATCH(D1441,'Danh mục'!$A$39:$A$78,0))&amp;"",""))</f>
      </c>
      <c r="H1441" s="11"/>
      <c r="I1441" s="20"/>
      <c r="J1441" s="11"/>
      <c r="K1441" s="11"/>
      <c r="L1441" s="11"/>
    </row>
    <row r="1442" spans="1:12" x14ac:dyDescent="0.3">
      <c r="A1442" s="31"/>
      <c r="B1442" s="32">
        <f>IF(A1442="","",DATE(YEAR(A1442),MONTH(A1442),1))</f>
      </c>
      <c r="C1442" s="11"/>
      <c r="D1442" s="11"/>
      <c r="E1442" s="16">
        <f>IF(OR(D1442="",C1442&lt;&gt;"Chi"),"",IFERROR(INDEX('Danh mục'!$B$39:$B$78,MATCH(D1442,'Danh mục'!$A$39:$A$78,0))&amp;"","?"))</f>
      </c>
      <c r="F1442" s="16">
        <f>IF(D1442="","",IF(C1442="Thu",IFERROR(INDEX('Danh mục'!$B$26:$B$35,MATCH(D1442,'Danh mục'!$A$26:$A$35,0))&amp;"","?"),IFERROR(INDEX('Danh mục'!$D$39:$D$78,MATCH(D1442,'Danh mục'!$A$39:$A$78,0))&amp;"","?")))</f>
      </c>
      <c r="G1442" s="16">
        <f>IF(OR(D1442="",C1442&lt;&gt;"Chi"),"",IFERROR(INDEX('Danh mục'!$C$39:$C$78,MATCH(D1442,'Danh mục'!$A$39:$A$78,0))&amp;"",""))</f>
      </c>
      <c r="H1442" s="11"/>
      <c r="I1442" s="20"/>
      <c r="J1442" s="11"/>
      <c r="K1442" s="11"/>
      <c r="L1442" s="11"/>
    </row>
    <row r="1443" spans="1:12" x14ac:dyDescent="0.3">
      <c r="A1443" s="31"/>
      <c r="B1443" s="32">
        <f>IF(A1443="","",DATE(YEAR(A1443),MONTH(A1443),1))</f>
      </c>
      <c r="C1443" s="11"/>
      <c r="D1443" s="11"/>
      <c r="E1443" s="16">
        <f>IF(OR(D1443="",C1443&lt;&gt;"Chi"),"",IFERROR(INDEX('Danh mục'!$B$39:$B$78,MATCH(D1443,'Danh mục'!$A$39:$A$78,0))&amp;"","?"))</f>
      </c>
      <c r="F1443" s="16">
        <f>IF(D1443="","",IF(C1443="Thu",IFERROR(INDEX('Danh mục'!$B$26:$B$35,MATCH(D1443,'Danh mục'!$A$26:$A$35,0))&amp;"","?"),IFERROR(INDEX('Danh mục'!$D$39:$D$78,MATCH(D1443,'Danh mục'!$A$39:$A$78,0))&amp;"","?")))</f>
      </c>
      <c r="G1443" s="16">
        <f>IF(OR(D1443="",C1443&lt;&gt;"Chi"),"",IFERROR(INDEX('Danh mục'!$C$39:$C$78,MATCH(D1443,'Danh mục'!$A$39:$A$78,0))&amp;"",""))</f>
      </c>
      <c r="H1443" s="11"/>
      <c r="I1443" s="20"/>
      <c r="J1443" s="11"/>
      <c r="K1443" s="11"/>
      <c r="L1443" s="11"/>
    </row>
    <row r="1444" spans="1:12" x14ac:dyDescent="0.3">
      <c r="A1444" s="31"/>
      <c r="B1444" s="32">
        <f>IF(A1444="","",DATE(YEAR(A1444),MONTH(A1444),1))</f>
      </c>
      <c r="C1444" s="11"/>
      <c r="D1444" s="11"/>
      <c r="E1444" s="16">
        <f>IF(OR(D1444="",C1444&lt;&gt;"Chi"),"",IFERROR(INDEX('Danh mục'!$B$39:$B$78,MATCH(D1444,'Danh mục'!$A$39:$A$78,0))&amp;"","?"))</f>
      </c>
      <c r="F1444" s="16">
        <f>IF(D1444="","",IF(C1444="Thu",IFERROR(INDEX('Danh mục'!$B$26:$B$35,MATCH(D1444,'Danh mục'!$A$26:$A$35,0))&amp;"","?"),IFERROR(INDEX('Danh mục'!$D$39:$D$78,MATCH(D1444,'Danh mục'!$A$39:$A$78,0))&amp;"","?")))</f>
      </c>
      <c r="G1444" s="16">
        <f>IF(OR(D1444="",C1444&lt;&gt;"Chi"),"",IFERROR(INDEX('Danh mục'!$C$39:$C$78,MATCH(D1444,'Danh mục'!$A$39:$A$78,0))&amp;"",""))</f>
      </c>
      <c r="H1444" s="11"/>
      <c r="I1444" s="20"/>
      <c r="J1444" s="11"/>
      <c r="K1444" s="11"/>
      <c r="L1444" s="11"/>
    </row>
    <row r="1445" spans="1:12" x14ac:dyDescent="0.3">
      <c r="A1445" s="31"/>
      <c r="B1445" s="32">
        <f>IF(A1445="","",DATE(YEAR(A1445),MONTH(A1445),1))</f>
      </c>
      <c r="C1445" s="11"/>
      <c r="D1445" s="11"/>
      <c r="E1445" s="16">
        <f>IF(OR(D1445="",C1445&lt;&gt;"Chi"),"",IFERROR(INDEX('Danh mục'!$B$39:$B$78,MATCH(D1445,'Danh mục'!$A$39:$A$78,0))&amp;"","?"))</f>
      </c>
      <c r="F1445" s="16">
        <f>IF(D1445="","",IF(C1445="Thu",IFERROR(INDEX('Danh mục'!$B$26:$B$35,MATCH(D1445,'Danh mục'!$A$26:$A$35,0))&amp;"","?"),IFERROR(INDEX('Danh mục'!$D$39:$D$78,MATCH(D1445,'Danh mục'!$A$39:$A$78,0))&amp;"","?")))</f>
      </c>
      <c r="G1445" s="16">
        <f>IF(OR(D1445="",C1445&lt;&gt;"Chi"),"",IFERROR(INDEX('Danh mục'!$C$39:$C$78,MATCH(D1445,'Danh mục'!$A$39:$A$78,0))&amp;"",""))</f>
      </c>
      <c r="H1445" s="11"/>
      <c r="I1445" s="20"/>
      <c r="J1445" s="11"/>
      <c r="K1445" s="11"/>
      <c r="L1445" s="11"/>
    </row>
    <row r="1446" spans="1:12" x14ac:dyDescent="0.3">
      <c r="A1446" s="31"/>
      <c r="B1446" s="32">
        <f>IF(A1446="","",DATE(YEAR(A1446),MONTH(A1446),1))</f>
      </c>
      <c r="C1446" s="11"/>
      <c r="D1446" s="11"/>
      <c r="E1446" s="16">
        <f>IF(OR(D1446="",C1446&lt;&gt;"Chi"),"",IFERROR(INDEX('Danh mục'!$B$39:$B$78,MATCH(D1446,'Danh mục'!$A$39:$A$78,0))&amp;"","?"))</f>
      </c>
      <c r="F1446" s="16">
        <f>IF(D1446="","",IF(C1446="Thu",IFERROR(INDEX('Danh mục'!$B$26:$B$35,MATCH(D1446,'Danh mục'!$A$26:$A$35,0))&amp;"","?"),IFERROR(INDEX('Danh mục'!$D$39:$D$78,MATCH(D1446,'Danh mục'!$A$39:$A$78,0))&amp;"","?")))</f>
      </c>
      <c r="G1446" s="16">
        <f>IF(OR(D1446="",C1446&lt;&gt;"Chi"),"",IFERROR(INDEX('Danh mục'!$C$39:$C$78,MATCH(D1446,'Danh mục'!$A$39:$A$78,0))&amp;"",""))</f>
      </c>
      <c r="H1446" s="11"/>
      <c r="I1446" s="20"/>
      <c r="J1446" s="11"/>
      <c r="K1446" s="11"/>
      <c r="L1446" s="11"/>
    </row>
    <row r="1447" spans="1:12" x14ac:dyDescent="0.3">
      <c r="A1447" s="31"/>
      <c r="B1447" s="32">
        <f>IF(A1447="","",DATE(YEAR(A1447),MONTH(A1447),1))</f>
      </c>
      <c r="C1447" s="11"/>
      <c r="D1447" s="11"/>
      <c r="E1447" s="16">
        <f>IF(OR(D1447="",C1447&lt;&gt;"Chi"),"",IFERROR(INDEX('Danh mục'!$B$39:$B$78,MATCH(D1447,'Danh mục'!$A$39:$A$78,0))&amp;"","?"))</f>
      </c>
      <c r="F1447" s="16">
        <f>IF(D1447="","",IF(C1447="Thu",IFERROR(INDEX('Danh mục'!$B$26:$B$35,MATCH(D1447,'Danh mục'!$A$26:$A$35,0))&amp;"","?"),IFERROR(INDEX('Danh mục'!$D$39:$D$78,MATCH(D1447,'Danh mục'!$A$39:$A$78,0))&amp;"","?")))</f>
      </c>
      <c r="G1447" s="16">
        <f>IF(OR(D1447="",C1447&lt;&gt;"Chi"),"",IFERROR(INDEX('Danh mục'!$C$39:$C$78,MATCH(D1447,'Danh mục'!$A$39:$A$78,0))&amp;"",""))</f>
      </c>
      <c r="H1447" s="11"/>
      <c r="I1447" s="20"/>
      <c r="J1447" s="11"/>
      <c r="K1447" s="11"/>
      <c r="L1447" s="11"/>
    </row>
    <row r="1448" spans="1:12" x14ac:dyDescent="0.3">
      <c r="A1448" s="31"/>
      <c r="B1448" s="32">
        <f>IF(A1448="","",DATE(YEAR(A1448),MONTH(A1448),1))</f>
      </c>
      <c r="C1448" s="11"/>
      <c r="D1448" s="11"/>
      <c r="E1448" s="16">
        <f>IF(OR(D1448="",C1448&lt;&gt;"Chi"),"",IFERROR(INDEX('Danh mục'!$B$39:$B$78,MATCH(D1448,'Danh mục'!$A$39:$A$78,0))&amp;"","?"))</f>
      </c>
      <c r="F1448" s="16">
        <f>IF(D1448="","",IF(C1448="Thu",IFERROR(INDEX('Danh mục'!$B$26:$B$35,MATCH(D1448,'Danh mục'!$A$26:$A$35,0))&amp;"","?"),IFERROR(INDEX('Danh mục'!$D$39:$D$78,MATCH(D1448,'Danh mục'!$A$39:$A$78,0))&amp;"","?")))</f>
      </c>
      <c r="G1448" s="16">
        <f>IF(OR(D1448="",C1448&lt;&gt;"Chi"),"",IFERROR(INDEX('Danh mục'!$C$39:$C$78,MATCH(D1448,'Danh mục'!$A$39:$A$78,0))&amp;"",""))</f>
      </c>
      <c r="H1448" s="11"/>
      <c r="I1448" s="20"/>
      <c r="J1448" s="11"/>
      <c r="K1448" s="11"/>
      <c r="L1448" s="11"/>
    </row>
    <row r="1449" spans="1:12" x14ac:dyDescent="0.3">
      <c r="A1449" s="31"/>
      <c r="B1449" s="32">
        <f>IF(A1449="","",DATE(YEAR(A1449),MONTH(A1449),1))</f>
      </c>
      <c r="C1449" s="11"/>
      <c r="D1449" s="11"/>
      <c r="E1449" s="16">
        <f>IF(OR(D1449="",C1449&lt;&gt;"Chi"),"",IFERROR(INDEX('Danh mục'!$B$39:$B$78,MATCH(D1449,'Danh mục'!$A$39:$A$78,0))&amp;"","?"))</f>
      </c>
      <c r="F1449" s="16">
        <f>IF(D1449="","",IF(C1449="Thu",IFERROR(INDEX('Danh mục'!$B$26:$B$35,MATCH(D1449,'Danh mục'!$A$26:$A$35,0))&amp;"","?"),IFERROR(INDEX('Danh mục'!$D$39:$D$78,MATCH(D1449,'Danh mục'!$A$39:$A$78,0))&amp;"","?")))</f>
      </c>
      <c r="G1449" s="16">
        <f>IF(OR(D1449="",C1449&lt;&gt;"Chi"),"",IFERROR(INDEX('Danh mục'!$C$39:$C$78,MATCH(D1449,'Danh mục'!$A$39:$A$78,0))&amp;"",""))</f>
      </c>
      <c r="H1449" s="11"/>
      <c r="I1449" s="20"/>
      <c r="J1449" s="11"/>
      <c r="K1449" s="11"/>
      <c r="L1449" s="11"/>
    </row>
    <row r="1450" spans="1:12" x14ac:dyDescent="0.3">
      <c r="A1450" s="31"/>
      <c r="B1450" s="32">
        <f>IF(A1450="","",DATE(YEAR(A1450),MONTH(A1450),1))</f>
      </c>
      <c r="C1450" s="11"/>
      <c r="D1450" s="11"/>
      <c r="E1450" s="16">
        <f>IF(OR(D1450="",C1450&lt;&gt;"Chi"),"",IFERROR(INDEX('Danh mục'!$B$39:$B$78,MATCH(D1450,'Danh mục'!$A$39:$A$78,0))&amp;"","?"))</f>
      </c>
      <c r="F1450" s="16">
        <f>IF(D1450="","",IF(C1450="Thu",IFERROR(INDEX('Danh mục'!$B$26:$B$35,MATCH(D1450,'Danh mục'!$A$26:$A$35,0))&amp;"","?"),IFERROR(INDEX('Danh mục'!$D$39:$D$78,MATCH(D1450,'Danh mục'!$A$39:$A$78,0))&amp;"","?")))</f>
      </c>
      <c r="G1450" s="16">
        <f>IF(OR(D1450="",C1450&lt;&gt;"Chi"),"",IFERROR(INDEX('Danh mục'!$C$39:$C$78,MATCH(D1450,'Danh mục'!$A$39:$A$78,0))&amp;"",""))</f>
      </c>
      <c r="H1450" s="11"/>
      <c r="I1450" s="20"/>
      <c r="J1450" s="11"/>
      <c r="K1450" s="11"/>
      <c r="L1450" s="11"/>
    </row>
    <row r="1451" spans="1:12" x14ac:dyDescent="0.3">
      <c r="A1451" s="31"/>
      <c r="B1451" s="32">
        <f>IF(A1451="","",DATE(YEAR(A1451),MONTH(A1451),1))</f>
      </c>
      <c r="C1451" s="11"/>
      <c r="D1451" s="11"/>
      <c r="E1451" s="16">
        <f>IF(OR(D1451="",C1451&lt;&gt;"Chi"),"",IFERROR(INDEX('Danh mục'!$B$39:$B$78,MATCH(D1451,'Danh mục'!$A$39:$A$78,0))&amp;"","?"))</f>
      </c>
      <c r="F1451" s="16">
        <f>IF(D1451="","",IF(C1451="Thu",IFERROR(INDEX('Danh mục'!$B$26:$B$35,MATCH(D1451,'Danh mục'!$A$26:$A$35,0))&amp;"","?"),IFERROR(INDEX('Danh mục'!$D$39:$D$78,MATCH(D1451,'Danh mục'!$A$39:$A$78,0))&amp;"","?")))</f>
      </c>
      <c r="G1451" s="16">
        <f>IF(OR(D1451="",C1451&lt;&gt;"Chi"),"",IFERROR(INDEX('Danh mục'!$C$39:$C$78,MATCH(D1451,'Danh mục'!$A$39:$A$78,0))&amp;"",""))</f>
      </c>
      <c r="H1451" s="11"/>
      <c r="I1451" s="20"/>
      <c r="J1451" s="11"/>
      <c r="K1451" s="11"/>
      <c r="L1451" s="11"/>
    </row>
    <row r="1452" spans="1:12" x14ac:dyDescent="0.3">
      <c r="A1452" s="31"/>
      <c r="B1452" s="32">
        <f>IF(A1452="","",DATE(YEAR(A1452),MONTH(A1452),1))</f>
      </c>
      <c r="C1452" s="11"/>
      <c r="D1452" s="11"/>
      <c r="E1452" s="16">
        <f>IF(OR(D1452="",C1452&lt;&gt;"Chi"),"",IFERROR(INDEX('Danh mục'!$B$39:$B$78,MATCH(D1452,'Danh mục'!$A$39:$A$78,0))&amp;"","?"))</f>
      </c>
      <c r="F1452" s="16">
        <f>IF(D1452="","",IF(C1452="Thu",IFERROR(INDEX('Danh mục'!$B$26:$B$35,MATCH(D1452,'Danh mục'!$A$26:$A$35,0))&amp;"","?"),IFERROR(INDEX('Danh mục'!$D$39:$D$78,MATCH(D1452,'Danh mục'!$A$39:$A$78,0))&amp;"","?")))</f>
      </c>
      <c r="G1452" s="16">
        <f>IF(OR(D1452="",C1452&lt;&gt;"Chi"),"",IFERROR(INDEX('Danh mục'!$C$39:$C$78,MATCH(D1452,'Danh mục'!$A$39:$A$78,0))&amp;"",""))</f>
      </c>
      <c r="H1452" s="11"/>
      <c r="I1452" s="20"/>
      <c r="J1452" s="11"/>
      <c r="K1452" s="11"/>
      <c r="L1452" s="11"/>
    </row>
    <row r="1453" spans="1:12" x14ac:dyDescent="0.3">
      <c r="A1453" s="31"/>
      <c r="B1453" s="32">
        <f>IF(A1453="","",DATE(YEAR(A1453),MONTH(A1453),1))</f>
      </c>
      <c r="C1453" s="11"/>
      <c r="D1453" s="11"/>
      <c r="E1453" s="16">
        <f>IF(OR(D1453="",C1453&lt;&gt;"Chi"),"",IFERROR(INDEX('Danh mục'!$B$39:$B$78,MATCH(D1453,'Danh mục'!$A$39:$A$78,0))&amp;"","?"))</f>
      </c>
      <c r="F1453" s="16">
        <f>IF(D1453="","",IF(C1453="Thu",IFERROR(INDEX('Danh mục'!$B$26:$B$35,MATCH(D1453,'Danh mục'!$A$26:$A$35,0))&amp;"","?"),IFERROR(INDEX('Danh mục'!$D$39:$D$78,MATCH(D1453,'Danh mục'!$A$39:$A$78,0))&amp;"","?")))</f>
      </c>
      <c r="G1453" s="16">
        <f>IF(OR(D1453="",C1453&lt;&gt;"Chi"),"",IFERROR(INDEX('Danh mục'!$C$39:$C$78,MATCH(D1453,'Danh mục'!$A$39:$A$78,0))&amp;"",""))</f>
      </c>
      <c r="H1453" s="11"/>
      <c r="I1453" s="20"/>
      <c r="J1453" s="11"/>
      <c r="K1453" s="11"/>
      <c r="L1453" s="11"/>
    </row>
    <row r="1454" spans="1:12" x14ac:dyDescent="0.3">
      <c r="A1454" s="31"/>
      <c r="B1454" s="32">
        <f>IF(A1454="","",DATE(YEAR(A1454),MONTH(A1454),1))</f>
      </c>
      <c r="C1454" s="11"/>
      <c r="D1454" s="11"/>
      <c r="E1454" s="16">
        <f>IF(OR(D1454="",C1454&lt;&gt;"Chi"),"",IFERROR(INDEX('Danh mục'!$B$39:$B$78,MATCH(D1454,'Danh mục'!$A$39:$A$78,0))&amp;"","?"))</f>
      </c>
      <c r="F1454" s="16">
        <f>IF(D1454="","",IF(C1454="Thu",IFERROR(INDEX('Danh mục'!$B$26:$B$35,MATCH(D1454,'Danh mục'!$A$26:$A$35,0))&amp;"","?"),IFERROR(INDEX('Danh mục'!$D$39:$D$78,MATCH(D1454,'Danh mục'!$A$39:$A$78,0))&amp;"","?")))</f>
      </c>
      <c r="G1454" s="16">
        <f>IF(OR(D1454="",C1454&lt;&gt;"Chi"),"",IFERROR(INDEX('Danh mục'!$C$39:$C$78,MATCH(D1454,'Danh mục'!$A$39:$A$78,0))&amp;"",""))</f>
      </c>
      <c r="H1454" s="11"/>
      <c r="I1454" s="20"/>
      <c r="J1454" s="11"/>
      <c r="K1454" s="11"/>
      <c r="L1454" s="11"/>
    </row>
    <row r="1455" spans="1:12" x14ac:dyDescent="0.3">
      <c r="A1455" s="31"/>
      <c r="B1455" s="32">
        <f>IF(A1455="","",DATE(YEAR(A1455),MONTH(A1455),1))</f>
      </c>
      <c r="C1455" s="11"/>
      <c r="D1455" s="11"/>
      <c r="E1455" s="16">
        <f>IF(OR(D1455="",C1455&lt;&gt;"Chi"),"",IFERROR(INDEX('Danh mục'!$B$39:$B$78,MATCH(D1455,'Danh mục'!$A$39:$A$78,0))&amp;"","?"))</f>
      </c>
      <c r="F1455" s="16">
        <f>IF(D1455="","",IF(C1455="Thu",IFERROR(INDEX('Danh mục'!$B$26:$B$35,MATCH(D1455,'Danh mục'!$A$26:$A$35,0))&amp;"","?"),IFERROR(INDEX('Danh mục'!$D$39:$D$78,MATCH(D1455,'Danh mục'!$A$39:$A$78,0))&amp;"","?")))</f>
      </c>
      <c r="G1455" s="16">
        <f>IF(OR(D1455="",C1455&lt;&gt;"Chi"),"",IFERROR(INDEX('Danh mục'!$C$39:$C$78,MATCH(D1455,'Danh mục'!$A$39:$A$78,0))&amp;"",""))</f>
      </c>
      <c r="H1455" s="11"/>
      <c r="I1455" s="20"/>
      <c r="J1455" s="11"/>
      <c r="K1455" s="11"/>
      <c r="L1455" s="11"/>
    </row>
    <row r="1456" spans="1:12" x14ac:dyDescent="0.3">
      <c r="A1456" s="31"/>
      <c r="B1456" s="32">
        <f>IF(A1456="","",DATE(YEAR(A1456),MONTH(A1456),1))</f>
      </c>
      <c r="C1456" s="11"/>
      <c r="D1456" s="11"/>
      <c r="E1456" s="16">
        <f>IF(OR(D1456="",C1456&lt;&gt;"Chi"),"",IFERROR(INDEX('Danh mục'!$B$39:$B$78,MATCH(D1456,'Danh mục'!$A$39:$A$78,0))&amp;"","?"))</f>
      </c>
      <c r="F1456" s="16">
        <f>IF(D1456="","",IF(C1456="Thu",IFERROR(INDEX('Danh mục'!$B$26:$B$35,MATCH(D1456,'Danh mục'!$A$26:$A$35,0))&amp;"","?"),IFERROR(INDEX('Danh mục'!$D$39:$D$78,MATCH(D1456,'Danh mục'!$A$39:$A$78,0))&amp;"","?")))</f>
      </c>
      <c r="G1456" s="16">
        <f>IF(OR(D1456="",C1456&lt;&gt;"Chi"),"",IFERROR(INDEX('Danh mục'!$C$39:$C$78,MATCH(D1456,'Danh mục'!$A$39:$A$78,0))&amp;"",""))</f>
      </c>
      <c r="H1456" s="11"/>
      <c r="I1456" s="20"/>
      <c r="J1456" s="11"/>
      <c r="K1456" s="11"/>
      <c r="L1456" s="11"/>
    </row>
    <row r="1457" spans="1:12" x14ac:dyDescent="0.3">
      <c r="A1457" s="31"/>
      <c r="B1457" s="32">
        <f>IF(A1457="","",DATE(YEAR(A1457),MONTH(A1457),1))</f>
      </c>
      <c r="C1457" s="11"/>
      <c r="D1457" s="11"/>
      <c r="E1457" s="16">
        <f>IF(OR(D1457="",C1457&lt;&gt;"Chi"),"",IFERROR(INDEX('Danh mục'!$B$39:$B$78,MATCH(D1457,'Danh mục'!$A$39:$A$78,0))&amp;"","?"))</f>
      </c>
      <c r="F1457" s="16">
        <f>IF(D1457="","",IF(C1457="Thu",IFERROR(INDEX('Danh mục'!$B$26:$B$35,MATCH(D1457,'Danh mục'!$A$26:$A$35,0))&amp;"","?"),IFERROR(INDEX('Danh mục'!$D$39:$D$78,MATCH(D1457,'Danh mục'!$A$39:$A$78,0))&amp;"","?")))</f>
      </c>
      <c r="G1457" s="16">
        <f>IF(OR(D1457="",C1457&lt;&gt;"Chi"),"",IFERROR(INDEX('Danh mục'!$C$39:$C$78,MATCH(D1457,'Danh mục'!$A$39:$A$78,0))&amp;"",""))</f>
      </c>
      <c r="H1457" s="11"/>
      <c r="I1457" s="20"/>
      <c r="J1457" s="11"/>
      <c r="K1457" s="11"/>
      <c r="L1457" s="11"/>
    </row>
    <row r="1458" spans="1:12" x14ac:dyDescent="0.3">
      <c r="A1458" s="31"/>
      <c r="B1458" s="32">
        <f>IF(A1458="","",DATE(YEAR(A1458),MONTH(A1458),1))</f>
      </c>
      <c r="C1458" s="11"/>
      <c r="D1458" s="11"/>
      <c r="E1458" s="16">
        <f>IF(OR(D1458="",C1458&lt;&gt;"Chi"),"",IFERROR(INDEX('Danh mục'!$B$39:$B$78,MATCH(D1458,'Danh mục'!$A$39:$A$78,0))&amp;"","?"))</f>
      </c>
      <c r="F1458" s="16">
        <f>IF(D1458="","",IF(C1458="Thu",IFERROR(INDEX('Danh mục'!$B$26:$B$35,MATCH(D1458,'Danh mục'!$A$26:$A$35,0))&amp;"","?"),IFERROR(INDEX('Danh mục'!$D$39:$D$78,MATCH(D1458,'Danh mục'!$A$39:$A$78,0))&amp;"","?")))</f>
      </c>
      <c r="G1458" s="16">
        <f>IF(OR(D1458="",C1458&lt;&gt;"Chi"),"",IFERROR(INDEX('Danh mục'!$C$39:$C$78,MATCH(D1458,'Danh mục'!$A$39:$A$78,0))&amp;"",""))</f>
      </c>
      <c r="H1458" s="11"/>
      <c r="I1458" s="20"/>
      <c r="J1458" s="11"/>
      <c r="K1458" s="11"/>
      <c r="L1458" s="11"/>
    </row>
    <row r="1459" spans="1:12" x14ac:dyDescent="0.3">
      <c r="A1459" s="31"/>
      <c r="B1459" s="32">
        <f>IF(A1459="","",DATE(YEAR(A1459),MONTH(A1459),1))</f>
      </c>
      <c r="C1459" s="11"/>
      <c r="D1459" s="11"/>
      <c r="E1459" s="16">
        <f>IF(OR(D1459="",C1459&lt;&gt;"Chi"),"",IFERROR(INDEX('Danh mục'!$B$39:$B$78,MATCH(D1459,'Danh mục'!$A$39:$A$78,0))&amp;"","?"))</f>
      </c>
      <c r="F1459" s="16">
        <f>IF(D1459="","",IF(C1459="Thu",IFERROR(INDEX('Danh mục'!$B$26:$B$35,MATCH(D1459,'Danh mục'!$A$26:$A$35,0))&amp;"","?"),IFERROR(INDEX('Danh mục'!$D$39:$D$78,MATCH(D1459,'Danh mục'!$A$39:$A$78,0))&amp;"","?")))</f>
      </c>
      <c r="G1459" s="16">
        <f>IF(OR(D1459="",C1459&lt;&gt;"Chi"),"",IFERROR(INDEX('Danh mục'!$C$39:$C$78,MATCH(D1459,'Danh mục'!$A$39:$A$78,0))&amp;"",""))</f>
      </c>
      <c r="H1459" s="11"/>
      <c r="I1459" s="20"/>
      <c r="J1459" s="11"/>
      <c r="K1459" s="11"/>
      <c r="L1459" s="11"/>
    </row>
    <row r="1460" spans="1:12" x14ac:dyDescent="0.3">
      <c r="A1460" s="31"/>
      <c r="B1460" s="32">
        <f>IF(A1460="","",DATE(YEAR(A1460),MONTH(A1460),1))</f>
      </c>
      <c r="C1460" s="11"/>
      <c r="D1460" s="11"/>
      <c r="E1460" s="16">
        <f>IF(OR(D1460="",C1460&lt;&gt;"Chi"),"",IFERROR(INDEX('Danh mục'!$B$39:$B$78,MATCH(D1460,'Danh mục'!$A$39:$A$78,0))&amp;"","?"))</f>
      </c>
      <c r="F1460" s="16">
        <f>IF(D1460="","",IF(C1460="Thu",IFERROR(INDEX('Danh mục'!$B$26:$B$35,MATCH(D1460,'Danh mục'!$A$26:$A$35,0))&amp;"","?"),IFERROR(INDEX('Danh mục'!$D$39:$D$78,MATCH(D1460,'Danh mục'!$A$39:$A$78,0))&amp;"","?")))</f>
      </c>
      <c r="G1460" s="16">
        <f>IF(OR(D1460="",C1460&lt;&gt;"Chi"),"",IFERROR(INDEX('Danh mục'!$C$39:$C$78,MATCH(D1460,'Danh mục'!$A$39:$A$78,0))&amp;"",""))</f>
      </c>
      <c r="H1460" s="11"/>
      <c r="I1460" s="20"/>
      <c r="J1460" s="11"/>
      <c r="K1460" s="11"/>
      <c r="L1460" s="11"/>
    </row>
    <row r="1461" spans="1:12" x14ac:dyDescent="0.3">
      <c r="A1461" s="31"/>
      <c r="B1461" s="32">
        <f>IF(A1461="","",DATE(YEAR(A1461),MONTH(A1461),1))</f>
      </c>
      <c r="C1461" s="11"/>
      <c r="D1461" s="11"/>
      <c r="E1461" s="16">
        <f>IF(OR(D1461="",C1461&lt;&gt;"Chi"),"",IFERROR(INDEX('Danh mục'!$B$39:$B$78,MATCH(D1461,'Danh mục'!$A$39:$A$78,0))&amp;"","?"))</f>
      </c>
      <c r="F1461" s="16">
        <f>IF(D1461="","",IF(C1461="Thu",IFERROR(INDEX('Danh mục'!$B$26:$B$35,MATCH(D1461,'Danh mục'!$A$26:$A$35,0))&amp;"","?"),IFERROR(INDEX('Danh mục'!$D$39:$D$78,MATCH(D1461,'Danh mục'!$A$39:$A$78,0))&amp;"","?")))</f>
      </c>
      <c r="G1461" s="16">
        <f>IF(OR(D1461="",C1461&lt;&gt;"Chi"),"",IFERROR(INDEX('Danh mục'!$C$39:$C$78,MATCH(D1461,'Danh mục'!$A$39:$A$78,0))&amp;"",""))</f>
      </c>
      <c r="H1461" s="11"/>
      <c r="I1461" s="20"/>
      <c r="J1461" s="11"/>
      <c r="K1461" s="11"/>
      <c r="L1461" s="11"/>
    </row>
    <row r="1462" spans="1:12" x14ac:dyDescent="0.3">
      <c r="A1462" s="31"/>
      <c r="B1462" s="32">
        <f>IF(A1462="","",DATE(YEAR(A1462),MONTH(A1462),1))</f>
      </c>
      <c r="C1462" s="11"/>
      <c r="D1462" s="11"/>
      <c r="E1462" s="16">
        <f>IF(OR(D1462="",C1462&lt;&gt;"Chi"),"",IFERROR(INDEX('Danh mục'!$B$39:$B$78,MATCH(D1462,'Danh mục'!$A$39:$A$78,0))&amp;"","?"))</f>
      </c>
      <c r="F1462" s="16">
        <f>IF(D1462="","",IF(C1462="Thu",IFERROR(INDEX('Danh mục'!$B$26:$B$35,MATCH(D1462,'Danh mục'!$A$26:$A$35,0))&amp;"","?"),IFERROR(INDEX('Danh mục'!$D$39:$D$78,MATCH(D1462,'Danh mục'!$A$39:$A$78,0))&amp;"","?")))</f>
      </c>
      <c r="G1462" s="16">
        <f>IF(OR(D1462="",C1462&lt;&gt;"Chi"),"",IFERROR(INDEX('Danh mục'!$C$39:$C$78,MATCH(D1462,'Danh mục'!$A$39:$A$78,0))&amp;"",""))</f>
      </c>
      <c r="H1462" s="11"/>
      <c r="I1462" s="20"/>
      <c r="J1462" s="11"/>
      <c r="K1462" s="11"/>
      <c r="L1462" s="11"/>
    </row>
    <row r="1463" spans="1:12" x14ac:dyDescent="0.3">
      <c r="A1463" s="31"/>
      <c r="B1463" s="32">
        <f>IF(A1463="","",DATE(YEAR(A1463),MONTH(A1463),1))</f>
      </c>
      <c r="C1463" s="11"/>
      <c r="D1463" s="11"/>
      <c r="E1463" s="16">
        <f>IF(OR(D1463="",C1463&lt;&gt;"Chi"),"",IFERROR(INDEX('Danh mục'!$B$39:$B$78,MATCH(D1463,'Danh mục'!$A$39:$A$78,0))&amp;"","?"))</f>
      </c>
      <c r="F1463" s="16">
        <f>IF(D1463="","",IF(C1463="Thu",IFERROR(INDEX('Danh mục'!$B$26:$B$35,MATCH(D1463,'Danh mục'!$A$26:$A$35,0))&amp;"","?"),IFERROR(INDEX('Danh mục'!$D$39:$D$78,MATCH(D1463,'Danh mục'!$A$39:$A$78,0))&amp;"","?")))</f>
      </c>
      <c r="G1463" s="16">
        <f>IF(OR(D1463="",C1463&lt;&gt;"Chi"),"",IFERROR(INDEX('Danh mục'!$C$39:$C$78,MATCH(D1463,'Danh mục'!$A$39:$A$78,0))&amp;"",""))</f>
      </c>
      <c r="H1463" s="11"/>
      <c r="I1463" s="20"/>
      <c r="J1463" s="11"/>
      <c r="K1463" s="11"/>
      <c r="L1463" s="11"/>
    </row>
    <row r="1464" spans="1:12" x14ac:dyDescent="0.3">
      <c r="A1464" s="31"/>
      <c r="B1464" s="32">
        <f>IF(A1464="","",DATE(YEAR(A1464),MONTH(A1464),1))</f>
      </c>
      <c r="C1464" s="11"/>
      <c r="D1464" s="11"/>
      <c r="E1464" s="16">
        <f>IF(OR(D1464="",C1464&lt;&gt;"Chi"),"",IFERROR(INDEX('Danh mục'!$B$39:$B$78,MATCH(D1464,'Danh mục'!$A$39:$A$78,0))&amp;"","?"))</f>
      </c>
      <c r="F1464" s="16">
        <f>IF(D1464="","",IF(C1464="Thu",IFERROR(INDEX('Danh mục'!$B$26:$B$35,MATCH(D1464,'Danh mục'!$A$26:$A$35,0))&amp;"","?"),IFERROR(INDEX('Danh mục'!$D$39:$D$78,MATCH(D1464,'Danh mục'!$A$39:$A$78,0))&amp;"","?")))</f>
      </c>
      <c r="G1464" s="16">
        <f>IF(OR(D1464="",C1464&lt;&gt;"Chi"),"",IFERROR(INDEX('Danh mục'!$C$39:$C$78,MATCH(D1464,'Danh mục'!$A$39:$A$78,0))&amp;"",""))</f>
      </c>
      <c r="H1464" s="11"/>
      <c r="I1464" s="20"/>
      <c r="J1464" s="11"/>
      <c r="K1464" s="11"/>
      <c r="L1464" s="11"/>
    </row>
    <row r="1465" spans="1:12" x14ac:dyDescent="0.3">
      <c r="A1465" s="31"/>
      <c r="B1465" s="32">
        <f>IF(A1465="","",DATE(YEAR(A1465),MONTH(A1465),1))</f>
      </c>
      <c r="C1465" s="11"/>
      <c r="D1465" s="11"/>
      <c r="E1465" s="16">
        <f>IF(OR(D1465="",C1465&lt;&gt;"Chi"),"",IFERROR(INDEX('Danh mục'!$B$39:$B$78,MATCH(D1465,'Danh mục'!$A$39:$A$78,0))&amp;"","?"))</f>
      </c>
      <c r="F1465" s="16">
        <f>IF(D1465="","",IF(C1465="Thu",IFERROR(INDEX('Danh mục'!$B$26:$B$35,MATCH(D1465,'Danh mục'!$A$26:$A$35,0))&amp;"","?"),IFERROR(INDEX('Danh mục'!$D$39:$D$78,MATCH(D1465,'Danh mục'!$A$39:$A$78,0))&amp;"","?")))</f>
      </c>
      <c r="G1465" s="16">
        <f>IF(OR(D1465="",C1465&lt;&gt;"Chi"),"",IFERROR(INDEX('Danh mục'!$C$39:$C$78,MATCH(D1465,'Danh mục'!$A$39:$A$78,0))&amp;"",""))</f>
      </c>
      <c r="H1465" s="11"/>
      <c r="I1465" s="20"/>
      <c r="J1465" s="11"/>
      <c r="K1465" s="11"/>
      <c r="L1465" s="11"/>
    </row>
    <row r="1466" spans="1:12" x14ac:dyDescent="0.3">
      <c r="A1466" s="31"/>
      <c r="B1466" s="32">
        <f>IF(A1466="","",DATE(YEAR(A1466),MONTH(A1466),1))</f>
      </c>
      <c r="C1466" s="11"/>
      <c r="D1466" s="11"/>
      <c r="E1466" s="16">
        <f>IF(OR(D1466="",C1466&lt;&gt;"Chi"),"",IFERROR(INDEX('Danh mục'!$B$39:$B$78,MATCH(D1466,'Danh mục'!$A$39:$A$78,0))&amp;"","?"))</f>
      </c>
      <c r="F1466" s="16">
        <f>IF(D1466="","",IF(C1466="Thu",IFERROR(INDEX('Danh mục'!$B$26:$B$35,MATCH(D1466,'Danh mục'!$A$26:$A$35,0))&amp;"","?"),IFERROR(INDEX('Danh mục'!$D$39:$D$78,MATCH(D1466,'Danh mục'!$A$39:$A$78,0))&amp;"","?")))</f>
      </c>
      <c r="G1466" s="16">
        <f>IF(OR(D1466="",C1466&lt;&gt;"Chi"),"",IFERROR(INDEX('Danh mục'!$C$39:$C$78,MATCH(D1466,'Danh mục'!$A$39:$A$78,0))&amp;"",""))</f>
      </c>
      <c r="H1466" s="11"/>
      <c r="I1466" s="20"/>
      <c r="J1466" s="11"/>
      <c r="K1466" s="11"/>
      <c r="L1466" s="11"/>
    </row>
    <row r="1467" spans="1:12" x14ac:dyDescent="0.3">
      <c r="A1467" s="31"/>
      <c r="B1467" s="32">
        <f>IF(A1467="","",DATE(YEAR(A1467),MONTH(A1467),1))</f>
      </c>
      <c r="C1467" s="11"/>
      <c r="D1467" s="11"/>
      <c r="E1467" s="16">
        <f>IF(OR(D1467="",C1467&lt;&gt;"Chi"),"",IFERROR(INDEX('Danh mục'!$B$39:$B$78,MATCH(D1467,'Danh mục'!$A$39:$A$78,0))&amp;"","?"))</f>
      </c>
      <c r="F1467" s="16">
        <f>IF(D1467="","",IF(C1467="Thu",IFERROR(INDEX('Danh mục'!$B$26:$B$35,MATCH(D1467,'Danh mục'!$A$26:$A$35,0))&amp;"","?"),IFERROR(INDEX('Danh mục'!$D$39:$D$78,MATCH(D1467,'Danh mục'!$A$39:$A$78,0))&amp;"","?")))</f>
      </c>
      <c r="G1467" s="16">
        <f>IF(OR(D1467="",C1467&lt;&gt;"Chi"),"",IFERROR(INDEX('Danh mục'!$C$39:$C$78,MATCH(D1467,'Danh mục'!$A$39:$A$78,0))&amp;"",""))</f>
      </c>
      <c r="H1467" s="11"/>
      <c r="I1467" s="20"/>
      <c r="J1467" s="11"/>
      <c r="K1467" s="11"/>
      <c r="L1467" s="11"/>
    </row>
    <row r="1468" spans="1:12" x14ac:dyDescent="0.3">
      <c r="A1468" s="31"/>
      <c r="B1468" s="32">
        <f>IF(A1468="","",DATE(YEAR(A1468),MONTH(A1468),1))</f>
      </c>
      <c r="C1468" s="11"/>
      <c r="D1468" s="11"/>
      <c r="E1468" s="16">
        <f>IF(OR(D1468="",C1468&lt;&gt;"Chi"),"",IFERROR(INDEX('Danh mục'!$B$39:$B$78,MATCH(D1468,'Danh mục'!$A$39:$A$78,0))&amp;"","?"))</f>
      </c>
      <c r="F1468" s="16">
        <f>IF(D1468="","",IF(C1468="Thu",IFERROR(INDEX('Danh mục'!$B$26:$B$35,MATCH(D1468,'Danh mục'!$A$26:$A$35,0))&amp;"","?"),IFERROR(INDEX('Danh mục'!$D$39:$D$78,MATCH(D1468,'Danh mục'!$A$39:$A$78,0))&amp;"","?")))</f>
      </c>
      <c r="G1468" s="16">
        <f>IF(OR(D1468="",C1468&lt;&gt;"Chi"),"",IFERROR(INDEX('Danh mục'!$C$39:$C$78,MATCH(D1468,'Danh mục'!$A$39:$A$78,0))&amp;"",""))</f>
      </c>
      <c r="H1468" s="11"/>
      <c r="I1468" s="20"/>
      <c r="J1468" s="11"/>
      <c r="K1468" s="11"/>
      <c r="L1468" s="11"/>
    </row>
    <row r="1469" spans="1:12" x14ac:dyDescent="0.3">
      <c r="A1469" s="31"/>
      <c r="B1469" s="32">
        <f>IF(A1469="","",DATE(YEAR(A1469),MONTH(A1469),1))</f>
      </c>
      <c r="C1469" s="11"/>
      <c r="D1469" s="11"/>
      <c r="E1469" s="16">
        <f>IF(OR(D1469="",C1469&lt;&gt;"Chi"),"",IFERROR(INDEX('Danh mục'!$B$39:$B$78,MATCH(D1469,'Danh mục'!$A$39:$A$78,0))&amp;"","?"))</f>
      </c>
      <c r="F1469" s="16">
        <f>IF(D1469="","",IF(C1469="Thu",IFERROR(INDEX('Danh mục'!$B$26:$B$35,MATCH(D1469,'Danh mục'!$A$26:$A$35,0))&amp;"","?"),IFERROR(INDEX('Danh mục'!$D$39:$D$78,MATCH(D1469,'Danh mục'!$A$39:$A$78,0))&amp;"","?")))</f>
      </c>
      <c r="G1469" s="16">
        <f>IF(OR(D1469="",C1469&lt;&gt;"Chi"),"",IFERROR(INDEX('Danh mục'!$C$39:$C$78,MATCH(D1469,'Danh mục'!$A$39:$A$78,0))&amp;"",""))</f>
      </c>
      <c r="H1469" s="11"/>
      <c r="I1469" s="20"/>
      <c r="J1469" s="11"/>
      <c r="K1469" s="11"/>
      <c r="L1469" s="11"/>
    </row>
    <row r="1470" spans="1:12" x14ac:dyDescent="0.3">
      <c r="A1470" s="31"/>
      <c r="B1470" s="32">
        <f>IF(A1470="","",DATE(YEAR(A1470),MONTH(A1470),1))</f>
      </c>
      <c r="C1470" s="11"/>
      <c r="D1470" s="11"/>
      <c r="E1470" s="16">
        <f>IF(OR(D1470="",C1470&lt;&gt;"Chi"),"",IFERROR(INDEX('Danh mục'!$B$39:$B$78,MATCH(D1470,'Danh mục'!$A$39:$A$78,0))&amp;"","?"))</f>
      </c>
      <c r="F1470" s="16">
        <f>IF(D1470="","",IF(C1470="Thu",IFERROR(INDEX('Danh mục'!$B$26:$B$35,MATCH(D1470,'Danh mục'!$A$26:$A$35,0))&amp;"","?"),IFERROR(INDEX('Danh mục'!$D$39:$D$78,MATCH(D1470,'Danh mục'!$A$39:$A$78,0))&amp;"","?")))</f>
      </c>
      <c r="G1470" s="16">
        <f>IF(OR(D1470="",C1470&lt;&gt;"Chi"),"",IFERROR(INDEX('Danh mục'!$C$39:$C$78,MATCH(D1470,'Danh mục'!$A$39:$A$78,0))&amp;"",""))</f>
      </c>
      <c r="H1470" s="11"/>
      <c r="I1470" s="20"/>
      <c r="J1470" s="11"/>
      <c r="K1470" s="11"/>
      <c r="L1470" s="11"/>
    </row>
    <row r="1471" spans="1:12" x14ac:dyDescent="0.3">
      <c r="A1471" s="31"/>
      <c r="B1471" s="32">
        <f>IF(A1471="","",DATE(YEAR(A1471),MONTH(A1471),1))</f>
      </c>
      <c r="C1471" s="11"/>
      <c r="D1471" s="11"/>
      <c r="E1471" s="16">
        <f>IF(OR(D1471="",C1471&lt;&gt;"Chi"),"",IFERROR(INDEX('Danh mục'!$B$39:$B$78,MATCH(D1471,'Danh mục'!$A$39:$A$78,0))&amp;"","?"))</f>
      </c>
      <c r="F1471" s="16">
        <f>IF(D1471="","",IF(C1471="Thu",IFERROR(INDEX('Danh mục'!$B$26:$B$35,MATCH(D1471,'Danh mục'!$A$26:$A$35,0))&amp;"","?"),IFERROR(INDEX('Danh mục'!$D$39:$D$78,MATCH(D1471,'Danh mục'!$A$39:$A$78,0))&amp;"","?")))</f>
      </c>
      <c r="G1471" s="16">
        <f>IF(OR(D1471="",C1471&lt;&gt;"Chi"),"",IFERROR(INDEX('Danh mục'!$C$39:$C$78,MATCH(D1471,'Danh mục'!$A$39:$A$78,0))&amp;"",""))</f>
      </c>
      <c r="H1471" s="11"/>
      <c r="I1471" s="20"/>
      <c r="J1471" s="11"/>
      <c r="K1471" s="11"/>
      <c r="L1471" s="11"/>
    </row>
    <row r="1472" spans="1:12" x14ac:dyDescent="0.3">
      <c r="A1472" s="31"/>
      <c r="B1472" s="32">
        <f>IF(A1472="","",DATE(YEAR(A1472),MONTH(A1472),1))</f>
      </c>
      <c r="C1472" s="11"/>
      <c r="D1472" s="11"/>
      <c r="E1472" s="16">
        <f>IF(OR(D1472="",C1472&lt;&gt;"Chi"),"",IFERROR(INDEX('Danh mục'!$B$39:$B$78,MATCH(D1472,'Danh mục'!$A$39:$A$78,0))&amp;"","?"))</f>
      </c>
      <c r="F1472" s="16">
        <f>IF(D1472="","",IF(C1472="Thu",IFERROR(INDEX('Danh mục'!$B$26:$B$35,MATCH(D1472,'Danh mục'!$A$26:$A$35,0))&amp;"","?"),IFERROR(INDEX('Danh mục'!$D$39:$D$78,MATCH(D1472,'Danh mục'!$A$39:$A$78,0))&amp;"","?")))</f>
      </c>
      <c r="G1472" s="16">
        <f>IF(OR(D1472="",C1472&lt;&gt;"Chi"),"",IFERROR(INDEX('Danh mục'!$C$39:$C$78,MATCH(D1472,'Danh mục'!$A$39:$A$78,0))&amp;"",""))</f>
      </c>
      <c r="H1472" s="11"/>
      <c r="I1472" s="20"/>
      <c r="J1472" s="11"/>
      <c r="K1472" s="11"/>
      <c r="L1472" s="11"/>
    </row>
    <row r="1473" spans="1:12" x14ac:dyDescent="0.3">
      <c r="A1473" s="31"/>
      <c r="B1473" s="32">
        <f>IF(A1473="","",DATE(YEAR(A1473),MONTH(A1473),1))</f>
      </c>
      <c r="C1473" s="11"/>
      <c r="D1473" s="11"/>
      <c r="E1473" s="16">
        <f>IF(OR(D1473="",C1473&lt;&gt;"Chi"),"",IFERROR(INDEX('Danh mục'!$B$39:$B$78,MATCH(D1473,'Danh mục'!$A$39:$A$78,0))&amp;"","?"))</f>
      </c>
      <c r="F1473" s="16">
        <f>IF(D1473="","",IF(C1473="Thu",IFERROR(INDEX('Danh mục'!$B$26:$B$35,MATCH(D1473,'Danh mục'!$A$26:$A$35,0))&amp;"","?"),IFERROR(INDEX('Danh mục'!$D$39:$D$78,MATCH(D1473,'Danh mục'!$A$39:$A$78,0))&amp;"","?")))</f>
      </c>
      <c r="G1473" s="16">
        <f>IF(OR(D1473="",C1473&lt;&gt;"Chi"),"",IFERROR(INDEX('Danh mục'!$C$39:$C$78,MATCH(D1473,'Danh mục'!$A$39:$A$78,0))&amp;"",""))</f>
      </c>
      <c r="H1473" s="11"/>
      <c r="I1473" s="20"/>
      <c r="J1473" s="11"/>
      <c r="K1473" s="11"/>
      <c r="L1473" s="11"/>
    </row>
    <row r="1474" spans="1:12" x14ac:dyDescent="0.3">
      <c r="A1474" s="31"/>
      <c r="B1474" s="32">
        <f>IF(A1474="","",DATE(YEAR(A1474),MONTH(A1474),1))</f>
      </c>
      <c r="C1474" s="11"/>
      <c r="D1474" s="11"/>
      <c r="E1474" s="16">
        <f>IF(OR(D1474="",C1474&lt;&gt;"Chi"),"",IFERROR(INDEX('Danh mục'!$B$39:$B$78,MATCH(D1474,'Danh mục'!$A$39:$A$78,0))&amp;"","?"))</f>
      </c>
      <c r="F1474" s="16">
        <f>IF(D1474="","",IF(C1474="Thu",IFERROR(INDEX('Danh mục'!$B$26:$B$35,MATCH(D1474,'Danh mục'!$A$26:$A$35,0))&amp;"","?"),IFERROR(INDEX('Danh mục'!$D$39:$D$78,MATCH(D1474,'Danh mục'!$A$39:$A$78,0))&amp;"","?")))</f>
      </c>
      <c r="G1474" s="16">
        <f>IF(OR(D1474="",C1474&lt;&gt;"Chi"),"",IFERROR(INDEX('Danh mục'!$C$39:$C$78,MATCH(D1474,'Danh mục'!$A$39:$A$78,0))&amp;"",""))</f>
      </c>
      <c r="H1474" s="11"/>
      <c r="I1474" s="20"/>
      <c r="J1474" s="11"/>
      <c r="K1474" s="11"/>
      <c r="L1474" s="11"/>
    </row>
    <row r="1475" spans="1:12" x14ac:dyDescent="0.3">
      <c r="A1475" s="31"/>
      <c r="B1475" s="32">
        <f>IF(A1475="","",DATE(YEAR(A1475),MONTH(A1475),1))</f>
      </c>
      <c r="C1475" s="11"/>
      <c r="D1475" s="11"/>
      <c r="E1475" s="16">
        <f>IF(OR(D1475="",C1475&lt;&gt;"Chi"),"",IFERROR(INDEX('Danh mục'!$B$39:$B$78,MATCH(D1475,'Danh mục'!$A$39:$A$78,0))&amp;"","?"))</f>
      </c>
      <c r="F1475" s="16">
        <f>IF(D1475="","",IF(C1475="Thu",IFERROR(INDEX('Danh mục'!$B$26:$B$35,MATCH(D1475,'Danh mục'!$A$26:$A$35,0))&amp;"","?"),IFERROR(INDEX('Danh mục'!$D$39:$D$78,MATCH(D1475,'Danh mục'!$A$39:$A$78,0))&amp;"","?")))</f>
      </c>
      <c r="G1475" s="16">
        <f>IF(OR(D1475="",C1475&lt;&gt;"Chi"),"",IFERROR(INDEX('Danh mục'!$C$39:$C$78,MATCH(D1475,'Danh mục'!$A$39:$A$78,0))&amp;"",""))</f>
      </c>
      <c r="H1475" s="11"/>
      <c r="I1475" s="20"/>
      <c r="J1475" s="11"/>
      <c r="K1475" s="11"/>
      <c r="L1475" s="11"/>
    </row>
    <row r="1476" spans="1:12" x14ac:dyDescent="0.3">
      <c r="A1476" s="31"/>
      <c r="B1476" s="32">
        <f>IF(A1476="","",DATE(YEAR(A1476),MONTH(A1476),1))</f>
      </c>
      <c r="C1476" s="11"/>
      <c r="D1476" s="11"/>
      <c r="E1476" s="16">
        <f>IF(OR(D1476="",C1476&lt;&gt;"Chi"),"",IFERROR(INDEX('Danh mục'!$B$39:$B$78,MATCH(D1476,'Danh mục'!$A$39:$A$78,0))&amp;"","?"))</f>
      </c>
      <c r="F1476" s="16">
        <f>IF(D1476="","",IF(C1476="Thu",IFERROR(INDEX('Danh mục'!$B$26:$B$35,MATCH(D1476,'Danh mục'!$A$26:$A$35,0))&amp;"","?"),IFERROR(INDEX('Danh mục'!$D$39:$D$78,MATCH(D1476,'Danh mục'!$A$39:$A$78,0))&amp;"","?")))</f>
      </c>
      <c r="G1476" s="16">
        <f>IF(OR(D1476="",C1476&lt;&gt;"Chi"),"",IFERROR(INDEX('Danh mục'!$C$39:$C$78,MATCH(D1476,'Danh mục'!$A$39:$A$78,0))&amp;"",""))</f>
      </c>
      <c r="H1476" s="11"/>
      <c r="I1476" s="20"/>
      <c r="J1476" s="11"/>
      <c r="K1476" s="11"/>
      <c r="L1476" s="11"/>
    </row>
    <row r="1477" spans="1:12" x14ac:dyDescent="0.3">
      <c r="A1477" s="31"/>
      <c r="B1477" s="32">
        <f>IF(A1477="","",DATE(YEAR(A1477),MONTH(A1477),1))</f>
      </c>
      <c r="C1477" s="11"/>
      <c r="D1477" s="11"/>
      <c r="E1477" s="16">
        <f>IF(OR(D1477="",C1477&lt;&gt;"Chi"),"",IFERROR(INDEX('Danh mục'!$B$39:$B$78,MATCH(D1477,'Danh mục'!$A$39:$A$78,0))&amp;"","?"))</f>
      </c>
      <c r="F1477" s="16">
        <f>IF(D1477="","",IF(C1477="Thu",IFERROR(INDEX('Danh mục'!$B$26:$B$35,MATCH(D1477,'Danh mục'!$A$26:$A$35,0))&amp;"","?"),IFERROR(INDEX('Danh mục'!$D$39:$D$78,MATCH(D1477,'Danh mục'!$A$39:$A$78,0))&amp;"","?")))</f>
      </c>
      <c r="G1477" s="16">
        <f>IF(OR(D1477="",C1477&lt;&gt;"Chi"),"",IFERROR(INDEX('Danh mục'!$C$39:$C$78,MATCH(D1477,'Danh mục'!$A$39:$A$78,0))&amp;"",""))</f>
      </c>
      <c r="H1477" s="11"/>
      <c r="I1477" s="20"/>
      <c r="J1477" s="11"/>
      <c r="K1477" s="11"/>
      <c r="L1477" s="11"/>
    </row>
    <row r="1478" spans="1:12" x14ac:dyDescent="0.3">
      <c r="A1478" s="31"/>
      <c r="B1478" s="32">
        <f>IF(A1478="","",DATE(YEAR(A1478),MONTH(A1478),1))</f>
      </c>
      <c r="C1478" s="11"/>
      <c r="D1478" s="11"/>
      <c r="E1478" s="16">
        <f>IF(OR(D1478="",C1478&lt;&gt;"Chi"),"",IFERROR(INDEX('Danh mục'!$B$39:$B$78,MATCH(D1478,'Danh mục'!$A$39:$A$78,0))&amp;"","?"))</f>
      </c>
      <c r="F1478" s="16">
        <f>IF(D1478="","",IF(C1478="Thu",IFERROR(INDEX('Danh mục'!$B$26:$B$35,MATCH(D1478,'Danh mục'!$A$26:$A$35,0))&amp;"","?"),IFERROR(INDEX('Danh mục'!$D$39:$D$78,MATCH(D1478,'Danh mục'!$A$39:$A$78,0))&amp;"","?")))</f>
      </c>
      <c r="G1478" s="16">
        <f>IF(OR(D1478="",C1478&lt;&gt;"Chi"),"",IFERROR(INDEX('Danh mục'!$C$39:$C$78,MATCH(D1478,'Danh mục'!$A$39:$A$78,0))&amp;"",""))</f>
      </c>
      <c r="H1478" s="11"/>
      <c r="I1478" s="20"/>
      <c r="J1478" s="11"/>
      <c r="K1478" s="11"/>
      <c r="L1478" s="11"/>
    </row>
    <row r="1479" spans="1:12" x14ac:dyDescent="0.3">
      <c r="A1479" s="31"/>
      <c r="B1479" s="32">
        <f>IF(A1479="","",DATE(YEAR(A1479),MONTH(A1479),1))</f>
      </c>
      <c r="C1479" s="11"/>
      <c r="D1479" s="11"/>
      <c r="E1479" s="16">
        <f>IF(OR(D1479="",C1479&lt;&gt;"Chi"),"",IFERROR(INDEX('Danh mục'!$B$39:$B$78,MATCH(D1479,'Danh mục'!$A$39:$A$78,0))&amp;"","?"))</f>
      </c>
      <c r="F1479" s="16">
        <f>IF(D1479="","",IF(C1479="Thu",IFERROR(INDEX('Danh mục'!$B$26:$B$35,MATCH(D1479,'Danh mục'!$A$26:$A$35,0))&amp;"","?"),IFERROR(INDEX('Danh mục'!$D$39:$D$78,MATCH(D1479,'Danh mục'!$A$39:$A$78,0))&amp;"","?")))</f>
      </c>
      <c r="G1479" s="16">
        <f>IF(OR(D1479="",C1479&lt;&gt;"Chi"),"",IFERROR(INDEX('Danh mục'!$C$39:$C$78,MATCH(D1479,'Danh mục'!$A$39:$A$78,0))&amp;"",""))</f>
      </c>
      <c r="H1479" s="11"/>
      <c r="I1479" s="20"/>
      <c r="J1479" s="11"/>
      <c r="K1479" s="11"/>
      <c r="L1479" s="11"/>
    </row>
    <row r="1480" spans="1:12" x14ac:dyDescent="0.3">
      <c r="A1480" s="31"/>
      <c r="B1480" s="32">
        <f>IF(A1480="","",DATE(YEAR(A1480),MONTH(A1480),1))</f>
      </c>
      <c r="C1480" s="11"/>
      <c r="D1480" s="11"/>
      <c r="E1480" s="16">
        <f>IF(OR(D1480="",C1480&lt;&gt;"Chi"),"",IFERROR(INDEX('Danh mục'!$B$39:$B$78,MATCH(D1480,'Danh mục'!$A$39:$A$78,0))&amp;"","?"))</f>
      </c>
      <c r="F1480" s="16">
        <f>IF(D1480="","",IF(C1480="Thu",IFERROR(INDEX('Danh mục'!$B$26:$B$35,MATCH(D1480,'Danh mục'!$A$26:$A$35,0))&amp;"","?"),IFERROR(INDEX('Danh mục'!$D$39:$D$78,MATCH(D1480,'Danh mục'!$A$39:$A$78,0))&amp;"","?")))</f>
      </c>
      <c r="G1480" s="16">
        <f>IF(OR(D1480="",C1480&lt;&gt;"Chi"),"",IFERROR(INDEX('Danh mục'!$C$39:$C$78,MATCH(D1480,'Danh mục'!$A$39:$A$78,0))&amp;"",""))</f>
      </c>
      <c r="H1480" s="11"/>
      <c r="I1480" s="20"/>
      <c r="J1480" s="11"/>
      <c r="K1480" s="11"/>
      <c r="L1480" s="11"/>
    </row>
    <row r="1481" spans="1:12" x14ac:dyDescent="0.3">
      <c r="A1481" s="31"/>
      <c r="B1481" s="32">
        <f>IF(A1481="","",DATE(YEAR(A1481),MONTH(A1481),1))</f>
      </c>
      <c r="C1481" s="11"/>
      <c r="D1481" s="11"/>
      <c r="E1481" s="16">
        <f>IF(OR(D1481="",C1481&lt;&gt;"Chi"),"",IFERROR(INDEX('Danh mục'!$B$39:$B$78,MATCH(D1481,'Danh mục'!$A$39:$A$78,0))&amp;"","?"))</f>
      </c>
      <c r="F1481" s="16">
        <f>IF(D1481="","",IF(C1481="Thu",IFERROR(INDEX('Danh mục'!$B$26:$B$35,MATCH(D1481,'Danh mục'!$A$26:$A$35,0))&amp;"","?"),IFERROR(INDEX('Danh mục'!$D$39:$D$78,MATCH(D1481,'Danh mục'!$A$39:$A$78,0))&amp;"","?")))</f>
      </c>
      <c r="G1481" s="16">
        <f>IF(OR(D1481="",C1481&lt;&gt;"Chi"),"",IFERROR(INDEX('Danh mục'!$C$39:$C$78,MATCH(D1481,'Danh mục'!$A$39:$A$78,0))&amp;"",""))</f>
      </c>
      <c r="H1481" s="11"/>
      <c r="I1481" s="20"/>
      <c r="J1481" s="11"/>
      <c r="K1481" s="11"/>
      <c r="L1481" s="11"/>
    </row>
    <row r="1482" spans="1:12" x14ac:dyDescent="0.3">
      <c r="A1482" s="31"/>
      <c r="B1482" s="32">
        <f>IF(A1482="","",DATE(YEAR(A1482),MONTH(A1482),1))</f>
      </c>
      <c r="C1482" s="11"/>
      <c r="D1482" s="11"/>
      <c r="E1482" s="16">
        <f>IF(OR(D1482="",C1482&lt;&gt;"Chi"),"",IFERROR(INDEX('Danh mục'!$B$39:$B$78,MATCH(D1482,'Danh mục'!$A$39:$A$78,0))&amp;"","?"))</f>
      </c>
      <c r="F1482" s="16">
        <f>IF(D1482="","",IF(C1482="Thu",IFERROR(INDEX('Danh mục'!$B$26:$B$35,MATCH(D1482,'Danh mục'!$A$26:$A$35,0))&amp;"","?"),IFERROR(INDEX('Danh mục'!$D$39:$D$78,MATCH(D1482,'Danh mục'!$A$39:$A$78,0))&amp;"","?")))</f>
      </c>
      <c r="G1482" s="16">
        <f>IF(OR(D1482="",C1482&lt;&gt;"Chi"),"",IFERROR(INDEX('Danh mục'!$C$39:$C$78,MATCH(D1482,'Danh mục'!$A$39:$A$78,0))&amp;"",""))</f>
      </c>
      <c r="H1482" s="11"/>
      <c r="I1482" s="20"/>
      <c r="J1482" s="11"/>
      <c r="K1482" s="11"/>
      <c r="L1482" s="11"/>
    </row>
    <row r="1483" spans="1:12" x14ac:dyDescent="0.3">
      <c r="A1483" s="31"/>
      <c r="B1483" s="32">
        <f>IF(A1483="","",DATE(YEAR(A1483),MONTH(A1483),1))</f>
      </c>
      <c r="C1483" s="11"/>
      <c r="D1483" s="11"/>
      <c r="E1483" s="16">
        <f>IF(OR(D1483="",C1483&lt;&gt;"Chi"),"",IFERROR(INDEX('Danh mục'!$B$39:$B$78,MATCH(D1483,'Danh mục'!$A$39:$A$78,0))&amp;"","?"))</f>
      </c>
      <c r="F1483" s="16">
        <f>IF(D1483="","",IF(C1483="Thu",IFERROR(INDEX('Danh mục'!$B$26:$B$35,MATCH(D1483,'Danh mục'!$A$26:$A$35,0))&amp;"","?"),IFERROR(INDEX('Danh mục'!$D$39:$D$78,MATCH(D1483,'Danh mục'!$A$39:$A$78,0))&amp;"","?")))</f>
      </c>
      <c r="G1483" s="16">
        <f>IF(OR(D1483="",C1483&lt;&gt;"Chi"),"",IFERROR(INDEX('Danh mục'!$C$39:$C$78,MATCH(D1483,'Danh mục'!$A$39:$A$78,0))&amp;"",""))</f>
      </c>
      <c r="H1483" s="11"/>
      <c r="I1483" s="20"/>
      <c r="J1483" s="11"/>
      <c r="K1483" s="11"/>
      <c r="L1483" s="11"/>
    </row>
    <row r="1484" spans="1:12" x14ac:dyDescent="0.3">
      <c r="A1484" s="31"/>
      <c r="B1484" s="32">
        <f>IF(A1484="","",DATE(YEAR(A1484),MONTH(A1484),1))</f>
      </c>
      <c r="C1484" s="11"/>
      <c r="D1484" s="11"/>
      <c r="E1484" s="16">
        <f>IF(OR(D1484="",C1484&lt;&gt;"Chi"),"",IFERROR(INDEX('Danh mục'!$B$39:$B$78,MATCH(D1484,'Danh mục'!$A$39:$A$78,0))&amp;"","?"))</f>
      </c>
      <c r="F1484" s="16">
        <f>IF(D1484="","",IF(C1484="Thu",IFERROR(INDEX('Danh mục'!$B$26:$B$35,MATCH(D1484,'Danh mục'!$A$26:$A$35,0))&amp;"","?"),IFERROR(INDEX('Danh mục'!$D$39:$D$78,MATCH(D1484,'Danh mục'!$A$39:$A$78,0))&amp;"","?")))</f>
      </c>
      <c r="G1484" s="16">
        <f>IF(OR(D1484="",C1484&lt;&gt;"Chi"),"",IFERROR(INDEX('Danh mục'!$C$39:$C$78,MATCH(D1484,'Danh mục'!$A$39:$A$78,0))&amp;"",""))</f>
      </c>
      <c r="H1484" s="11"/>
      <c r="I1484" s="20"/>
      <c r="J1484" s="11"/>
      <c r="K1484" s="11"/>
      <c r="L1484" s="11"/>
    </row>
    <row r="1485" spans="1:12" x14ac:dyDescent="0.3">
      <c r="A1485" s="31"/>
      <c r="B1485" s="32">
        <f>IF(A1485="","",DATE(YEAR(A1485),MONTH(A1485),1))</f>
      </c>
      <c r="C1485" s="11"/>
      <c r="D1485" s="11"/>
      <c r="E1485" s="16">
        <f>IF(OR(D1485="",C1485&lt;&gt;"Chi"),"",IFERROR(INDEX('Danh mục'!$B$39:$B$78,MATCH(D1485,'Danh mục'!$A$39:$A$78,0))&amp;"","?"))</f>
      </c>
      <c r="F1485" s="16">
        <f>IF(D1485="","",IF(C1485="Thu",IFERROR(INDEX('Danh mục'!$B$26:$B$35,MATCH(D1485,'Danh mục'!$A$26:$A$35,0))&amp;"","?"),IFERROR(INDEX('Danh mục'!$D$39:$D$78,MATCH(D1485,'Danh mục'!$A$39:$A$78,0))&amp;"","?")))</f>
      </c>
      <c r="G1485" s="16">
        <f>IF(OR(D1485="",C1485&lt;&gt;"Chi"),"",IFERROR(INDEX('Danh mục'!$C$39:$C$78,MATCH(D1485,'Danh mục'!$A$39:$A$78,0))&amp;"",""))</f>
      </c>
      <c r="H1485" s="11"/>
      <c r="I1485" s="20"/>
      <c r="J1485" s="11"/>
      <c r="K1485" s="11"/>
      <c r="L1485" s="11"/>
    </row>
    <row r="1486" spans="1:12" x14ac:dyDescent="0.3">
      <c r="A1486" s="31"/>
      <c r="B1486" s="32">
        <f>IF(A1486="","",DATE(YEAR(A1486),MONTH(A1486),1))</f>
      </c>
      <c r="C1486" s="11"/>
      <c r="D1486" s="11"/>
      <c r="E1486" s="16">
        <f>IF(OR(D1486="",C1486&lt;&gt;"Chi"),"",IFERROR(INDEX('Danh mục'!$B$39:$B$78,MATCH(D1486,'Danh mục'!$A$39:$A$78,0))&amp;"","?"))</f>
      </c>
      <c r="F1486" s="16">
        <f>IF(D1486="","",IF(C1486="Thu",IFERROR(INDEX('Danh mục'!$B$26:$B$35,MATCH(D1486,'Danh mục'!$A$26:$A$35,0))&amp;"","?"),IFERROR(INDEX('Danh mục'!$D$39:$D$78,MATCH(D1486,'Danh mục'!$A$39:$A$78,0))&amp;"","?")))</f>
      </c>
      <c r="G1486" s="16">
        <f>IF(OR(D1486="",C1486&lt;&gt;"Chi"),"",IFERROR(INDEX('Danh mục'!$C$39:$C$78,MATCH(D1486,'Danh mục'!$A$39:$A$78,0))&amp;"",""))</f>
      </c>
      <c r="H1486" s="11"/>
      <c r="I1486" s="20"/>
      <c r="J1486" s="11"/>
      <c r="K1486" s="11"/>
      <c r="L1486" s="11"/>
    </row>
    <row r="1487" spans="1:12" x14ac:dyDescent="0.3">
      <c r="A1487" s="31"/>
      <c r="B1487" s="32">
        <f>IF(A1487="","",DATE(YEAR(A1487),MONTH(A1487),1))</f>
      </c>
      <c r="C1487" s="11"/>
      <c r="D1487" s="11"/>
      <c r="E1487" s="16">
        <f>IF(OR(D1487="",C1487&lt;&gt;"Chi"),"",IFERROR(INDEX('Danh mục'!$B$39:$B$78,MATCH(D1487,'Danh mục'!$A$39:$A$78,0))&amp;"","?"))</f>
      </c>
      <c r="F1487" s="16">
        <f>IF(D1487="","",IF(C1487="Thu",IFERROR(INDEX('Danh mục'!$B$26:$B$35,MATCH(D1487,'Danh mục'!$A$26:$A$35,0))&amp;"","?"),IFERROR(INDEX('Danh mục'!$D$39:$D$78,MATCH(D1487,'Danh mục'!$A$39:$A$78,0))&amp;"","?")))</f>
      </c>
      <c r="G1487" s="16">
        <f>IF(OR(D1487="",C1487&lt;&gt;"Chi"),"",IFERROR(INDEX('Danh mục'!$C$39:$C$78,MATCH(D1487,'Danh mục'!$A$39:$A$78,0))&amp;"",""))</f>
      </c>
      <c r="H1487" s="11"/>
      <c r="I1487" s="20"/>
      <c r="J1487" s="11"/>
      <c r="K1487" s="11"/>
      <c r="L1487" s="11"/>
    </row>
    <row r="1488" spans="1:12" x14ac:dyDescent="0.3">
      <c r="A1488" s="31"/>
      <c r="B1488" s="32">
        <f>IF(A1488="","",DATE(YEAR(A1488),MONTH(A1488),1))</f>
      </c>
      <c r="C1488" s="11"/>
      <c r="D1488" s="11"/>
      <c r="E1488" s="16">
        <f>IF(OR(D1488="",C1488&lt;&gt;"Chi"),"",IFERROR(INDEX('Danh mục'!$B$39:$B$78,MATCH(D1488,'Danh mục'!$A$39:$A$78,0))&amp;"","?"))</f>
      </c>
      <c r="F1488" s="16">
        <f>IF(D1488="","",IF(C1488="Thu",IFERROR(INDEX('Danh mục'!$B$26:$B$35,MATCH(D1488,'Danh mục'!$A$26:$A$35,0))&amp;"","?"),IFERROR(INDEX('Danh mục'!$D$39:$D$78,MATCH(D1488,'Danh mục'!$A$39:$A$78,0))&amp;"","?")))</f>
      </c>
      <c r="G1488" s="16">
        <f>IF(OR(D1488="",C1488&lt;&gt;"Chi"),"",IFERROR(INDEX('Danh mục'!$C$39:$C$78,MATCH(D1488,'Danh mục'!$A$39:$A$78,0))&amp;"",""))</f>
      </c>
      <c r="H1488" s="11"/>
      <c r="I1488" s="20"/>
      <c r="J1488" s="11"/>
      <c r="K1488" s="11"/>
      <c r="L1488" s="11"/>
    </row>
    <row r="1489" spans="1:12" x14ac:dyDescent="0.3">
      <c r="A1489" s="31"/>
      <c r="B1489" s="32">
        <f>IF(A1489="","",DATE(YEAR(A1489),MONTH(A1489),1))</f>
      </c>
      <c r="C1489" s="11"/>
      <c r="D1489" s="11"/>
      <c r="E1489" s="16">
        <f>IF(OR(D1489="",C1489&lt;&gt;"Chi"),"",IFERROR(INDEX('Danh mục'!$B$39:$B$78,MATCH(D1489,'Danh mục'!$A$39:$A$78,0))&amp;"","?"))</f>
      </c>
      <c r="F1489" s="16">
        <f>IF(D1489="","",IF(C1489="Thu",IFERROR(INDEX('Danh mục'!$B$26:$B$35,MATCH(D1489,'Danh mục'!$A$26:$A$35,0))&amp;"","?"),IFERROR(INDEX('Danh mục'!$D$39:$D$78,MATCH(D1489,'Danh mục'!$A$39:$A$78,0))&amp;"","?")))</f>
      </c>
      <c r="G1489" s="16">
        <f>IF(OR(D1489="",C1489&lt;&gt;"Chi"),"",IFERROR(INDEX('Danh mục'!$C$39:$C$78,MATCH(D1489,'Danh mục'!$A$39:$A$78,0))&amp;"",""))</f>
      </c>
      <c r="H1489" s="11"/>
      <c r="I1489" s="20"/>
      <c r="J1489" s="11"/>
      <c r="K1489" s="11"/>
      <c r="L1489" s="11"/>
    </row>
    <row r="1490" spans="1:12" x14ac:dyDescent="0.3">
      <c r="A1490" s="31"/>
      <c r="B1490" s="32">
        <f>IF(A1490="","",DATE(YEAR(A1490),MONTH(A1490),1))</f>
      </c>
      <c r="C1490" s="11"/>
      <c r="D1490" s="11"/>
      <c r="E1490" s="16">
        <f>IF(OR(D1490="",C1490&lt;&gt;"Chi"),"",IFERROR(INDEX('Danh mục'!$B$39:$B$78,MATCH(D1490,'Danh mục'!$A$39:$A$78,0))&amp;"","?"))</f>
      </c>
      <c r="F1490" s="16">
        <f>IF(D1490="","",IF(C1490="Thu",IFERROR(INDEX('Danh mục'!$B$26:$B$35,MATCH(D1490,'Danh mục'!$A$26:$A$35,0))&amp;"","?"),IFERROR(INDEX('Danh mục'!$D$39:$D$78,MATCH(D1490,'Danh mục'!$A$39:$A$78,0))&amp;"","?")))</f>
      </c>
      <c r="G1490" s="16">
        <f>IF(OR(D1490="",C1490&lt;&gt;"Chi"),"",IFERROR(INDEX('Danh mục'!$C$39:$C$78,MATCH(D1490,'Danh mục'!$A$39:$A$78,0))&amp;"",""))</f>
      </c>
      <c r="H1490" s="11"/>
      <c r="I1490" s="20"/>
      <c r="J1490" s="11"/>
      <c r="K1490" s="11"/>
      <c r="L1490" s="11"/>
    </row>
    <row r="1491" spans="1:12" x14ac:dyDescent="0.3">
      <c r="A1491" s="31"/>
      <c r="B1491" s="32">
        <f>IF(A1491="","",DATE(YEAR(A1491),MONTH(A1491),1))</f>
      </c>
      <c r="C1491" s="11"/>
      <c r="D1491" s="11"/>
      <c r="E1491" s="16">
        <f>IF(OR(D1491="",C1491&lt;&gt;"Chi"),"",IFERROR(INDEX('Danh mục'!$B$39:$B$78,MATCH(D1491,'Danh mục'!$A$39:$A$78,0))&amp;"","?"))</f>
      </c>
      <c r="F1491" s="16">
        <f>IF(D1491="","",IF(C1491="Thu",IFERROR(INDEX('Danh mục'!$B$26:$B$35,MATCH(D1491,'Danh mục'!$A$26:$A$35,0))&amp;"","?"),IFERROR(INDEX('Danh mục'!$D$39:$D$78,MATCH(D1491,'Danh mục'!$A$39:$A$78,0))&amp;"","?")))</f>
      </c>
      <c r="G1491" s="16">
        <f>IF(OR(D1491="",C1491&lt;&gt;"Chi"),"",IFERROR(INDEX('Danh mục'!$C$39:$C$78,MATCH(D1491,'Danh mục'!$A$39:$A$78,0))&amp;"",""))</f>
      </c>
      <c r="H1491" s="11"/>
      <c r="I1491" s="20"/>
      <c r="J1491" s="11"/>
      <c r="K1491" s="11"/>
      <c r="L1491" s="11"/>
    </row>
    <row r="1492" spans="1:12" x14ac:dyDescent="0.3">
      <c r="A1492" s="31"/>
      <c r="B1492" s="32">
        <f>IF(A1492="","",DATE(YEAR(A1492),MONTH(A1492),1))</f>
      </c>
      <c r="C1492" s="11"/>
      <c r="D1492" s="11"/>
      <c r="E1492" s="16">
        <f>IF(OR(D1492="",C1492&lt;&gt;"Chi"),"",IFERROR(INDEX('Danh mục'!$B$39:$B$78,MATCH(D1492,'Danh mục'!$A$39:$A$78,0))&amp;"","?"))</f>
      </c>
      <c r="F1492" s="16">
        <f>IF(D1492="","",IF(C1492="Thu",IFERROR(INDEX('Danh mục'!$B$26:$B$35,MATCH(D1492,'Danh mục'!$A$26:$A$35,0))&amp;"","?"),IFERROR(INDEX('Danh mục'!$D$39:$D$78,MATCH(D1492,'Danh mục'!$A$39:$A$78,0))&amp;"","?")))</f>
      </c>
      <c r="G1492" s="16">
        <f>IF(OR(D1492="",C1492&lt;&gt;"Chi"),"",IFERROR(INDEX('Danh mục'!$C$39:$C$78,MATCH(D1492,'Danh mục'!$A$39:$A$78,0))&amp;"",""))</f>
      </c>
      <c r="H1492" s="11"/>
      <c r="I1492" s="20"/>
      <c r="J1492" s="11"/>
      <c r="K1492" s="11"/>
      <c r="L1492" s="11"/>
    </row>
    <row r="1493" spans="1:12" x14ac:dyDescent="0.3">
      <c r="A1493" s="31"/>
      <c r="B1493" s="32">
        <f>IF(A1493="","",DATE(YEAR(A1493),MONTH(A1493),1))</f>
      </c>
      <c r="C1493" s="11"/>
      <c r="D1493" s="11"/>
      <c r="E1493" s="16">
        <f>IF(OR(D1493="",C1493&lt;&gt;"Chi"),"",IFERROR(INDEX('Danh mục'!$B$39:$B$78,MATCH(D1493,'Danh mục'!$A$39:$A$78,0))&amp;"","?"))</f>
      </c>
      <c r="F1493" s="16">
        <f>IF(D1493="","",IF(C1493="Thu",IFERROR(INDEX('Danh mục'!$B$26:$B$35,MATCH(D1493,'Danh mục'!$A$26:$A$35,0))&amp;"","?"),IFERROR(INDEX('Danh mục'!$D$39:$D$78,MATCH(D1493,'Danh mục'!$A$39:$A$78,0))&amp;"","?")))</f>
      </c>
      <c r="G1493" s="16">
        <f>IF(OR(D1493="",C1493&lt;&gt;"Chi"),"",IFERROR(INDEX('Danh mục'!$C$39:$C$78,MATCH(D1493,'Danh mục'!$A$39:$A$78,0))&amp;"",""))</f>
      </c>
      <c r="H1493" s="11"/>
      <c r="I1493" s="20"/>
      <c r="J1493" s="11"/>
      <c r="K1493" s="11"/>
      <c r="L1493" s="11"/>
    </row>
    <row r="1494" spans="1:12" x14ac:dyDescent="0.3">
      <c r="A1494" s="31"/>
      <c r="B1494" s="32">
        <f>IF(A1494="","",DATE(YEAR(A1494),MONTH(A1494),1))</f>
      </c>
      <c r="C1494" s="11"/>
      <c r="D1494" s="11"/>
      <c r="E1494" s="16">
        <f>IF(OR(D1494="",C1494&lt;&gt;"Chi"),"",IFERROR(INDEX('Danh mục'!$B$39:$B$78,MATCH(D1494,'Danh mục'!$A$39:$A$78,0))&amp;"","?"))</f>
      </c>
      <c r="F1494" s="16">
        <f>IF(D1494="","",IF(C1494="Thu",IFERROR(INDEX('Danh mục'!$B$26:$B$35,MATCH(D1494,'Danh mục'!$A$26:$A$35,0))&amp;"","?"),IFERROR(INDEX('Danh mục'!$D$39:$D$78,MATCH(D1494,'Danh mục'!$A$39:$A$78,0))&amp;"","?")))</f>
      </c>
      <c r="G1494" s="16">
        <f>IF(OR(D1494="",C1494&lt;&gt;"Chi"),"",IFERROR(INDEX('Danh mục'!$C$39:$C$78,MATCH(D1494,'Danh mục'!$A$39:$A$78,0))&amp;"",""))</f>
      </c>
      <c r="H1494" s="11"/>
      <c r="I1494" s="20"/>
      <c r="J1494" s="11"/>
      <c r="K1494" s="11"/>
      <c r="L1494" s="11"/>
    </row>
    <row r="1495" spans="1:12" x14ac:dyDescent="0.3">
      <c r="A1495" s="31"/>
      <c r="B1495" s="32">
        <f>IF(A1495="","",DATE(YEAR(A1495),MONTH(A1495),1))</f>
      </c>
      <c r="C1495" s="11"/>
      <c r="D1495" s="11"/>
      <c r="E1495" s="16">
        <f>IF(OR(D1495="",C1495&lt;&gt;"Chi"),"",IFERROR(INDEX('Danh mục'!$B$39:$B$78,MATCH(D1495,'Danh mục'!$A$39:$A$78,0))&amp;"","?"))</f>
      </c>
      <c r="F1495" s="16">
        <f>IF(D1495="","",IF(C1495="Thu",IFERROR(INDEX('Danh mục'!$B$26:$B$35,MATCH(D1495,'Danh mục'!$A$26:$A$35,0))&amp;"","?"),IFERROR(INDEX('Danh mục'!$D$39:$D$78,MATCH(D1495,'Danh mục'!$A$39:$A$78,0))&amp;"","?")))</f>
      </c>
      <c r="G1495" s="16">
        <f>IF(OR(D1495="",C1495&lt;&gt;"Chi"),"",IFERROR(INDEX('Danh mục'!$C$39:$C$78,MATCH(D1495,'Danh mục'!$A$39:$A$78,0))&amp;"",""))</f>
      </c>
      <c r="H1495" s="11"/>
      <c r="I1495" s="20"/>
      <c r="J1495" s="11"/>
      <c r="K1495" s="11"/>
      <c r="L1495" s="11"/>
    </row>
    <row r="1496" spans="1:12" x14ac:dyDescent="0.3">
      <c r="A1496" s="31"/>
      <c r="B1496" s="32">
        <f>IF(A1496="","",DATE(YEAR(A1496),MONTH(A1496),1))</f>
      </c>
      <c r="C1496" s="11"/>
      <c r="D1496" s="11"/>
      <c r="E1496" s="16">
        <f>IF(OR(D1496="",C1496&lt;&gt;"Chi"),"",IFERROR(INDEX('Danh mục'!$B$39:$B$78,MATCH(D1496,'Danh mục'!$A$39:$A$78,0))&amp;"","?"))</f>
      </c>
      <c r="F1496" s="16">
        <f>IF(D1496="","",IF(C1496="Thu",IFERROR(INDEX('Danh mục'!$B$26:$B$35,MATCH(D1496,'Danh mục'!$A$26:$A$35,0))&amp;"","?"),IFERROR(INDEX('Danh mục'!$D$39:$D$78,MATCH(D1496,'Danh mục'!$A$39:$A$78,0))&amp;"","?")))</f>
      </c>
      <c r="G1496" s="16">
        <f>IF(OR(D1496="",C1496&lt;&gt;"Chi"),"",IFERROR(INDEX('Danh mục'!$C$39:$C$78,MATCH(D1496,'Danh mục'!$A$39:$A$78,0))&amp;"",""))</f>
      </c>
      <c r="H1496" s="11"/>
      <c r="I1496" s="20"/>
      <c r="J1496" s="11"/>
      <c r="K1496" s="11"/>
      <c r="L1496" s="11"/>
    </row>
    <row r="1497" spans="1:12" x14ac:dyDescent="0.3">
      <c r="A1497" s="31"/>
      <c r="B1497" s="32">
        <f>IF(A1497="","",DATE(YEAR(A1497),MONTH(A1497),1))</f>
      </c>
      <c r="C1497" s="11"/>
      <c r="D1497" s="11"/>
      <c r="E1497" s="16">
        <f>IF(OR(D1497="",C1497&lt;&gt;"Chi"),"",IFERROR(INDEX('Danh mục'!$B$39:$B$78,MATCH(D1497,'Danh mục'!$A$39:$A$78,0))&amp;"","?"))</f>
      </c>
      <c r="F1497" s="16">
        <f>IF(D1497="","",IF(C1497="Thu",IFERROR(INDEX('Danh mục'!$B$26:$B$35,MATCH(D1497,'Danh mục'!$A$26:$A$35,0))&amp;"","?"),IFERROR(INDEX('Danh mục'!$D$39:$D$78,MATCH(D1497,'Danh mục'!$A$39:$A$78,0))&amp;"","?")))</f>
      </c>
      <c r="G1497" s="16">
        <f>IF(OR(D1497="",C1497&lt;&gt;"Chi"),"",IFERROR(INDEX('Danh mục'!$C$39:$C$78,MATCH(D1497,'Danh mục'!$A$39:$A$78,0))&amp;"",""))</f>
      </c>
      <c r="H1497" s="11"/>
      <c r="I1497" s="20"/>
      <c r="J1497" s="11"/>
      <c r="K1497" s="11"/>
      <c r="L1497" s="11"/>
    </row>
    <row r="1498" spans="1:12" x14ac:dyDescent="0.3">
      <c r="A1498" s="31"/>
      <c r="B1498" s="32">
        <f>IF(A1498="","",DATE(YEAR(A1498),MONTH(A1498),1))</f>
      </c>
      <c r="C1498" s="11"/>
      <c r="D1498" s="11"/>
      <c r="E1498" s="16">
        <f>IF(OR(D1498="",C1498&lt;&gt;"Chi"),"",IFERROR(INDEX('Danh mục'!$B$39:$B$78,MATCH(D1498,'Danh mục'!$A$39:$A$78,0))&amp;"","?"))</f>
      </c>
      <c r="F1498" s="16">
        <f>IF(D1498="","",IF(C1498="Thu",IFERROR(INDEX('Danh mục'!$B$26:$B$35,MATCH(D1498,'Danh mục'!$A$26:$A$35,0))&amp;"","?"),IFERROR(INDEX('Danh mục'!$D$39:$D$78,MATCH(D1498,'Danh mục'!$A$39:$A$78,0))&amp;"","?")))</f>
      </c>
      <c r="G1498" s="16">
        <f>IF(OR(D1498="",C1498&lt;&gt;"Chi"),"",IFERROR(INDEX('Danh mục'!$C$39:$C$78,MATCH(D1498,'Danh mục'!$A$39:$A$78,0))&amp;"",""))</f>
      </c>
      <c r="H1498" s="11"/>
      <c r="I1498" s="20"/>
      <c r="J1498" s="11"/>
      <c r="K1498" s="11"/>
      <c r="L1498" s="11"/>
    </row>
    <row r="1499" spans="1:12" x14ac:dyDescent="0.3">
      <c r="A1499" s="31"/>
      <c r="B1499" s="32">
        <f>IF(A1499="","",DATE(YEAR(A1499),MONTH(A1499),1))</f>
      </c>
      <c r="C1499" s="11"/>
      <c r="D1499" s="11"/>
      <c r="E1499" s="16">
        <f>IF(OR(D1499="",C1499&lt;&gt;"Chi"),"",IFERROR(INDEX('Danh mục'!$B$39:$B$78,MATCH(D1499,'Danh mục'!$A$39:$A$78,0))&amp;"","?"))</f>
      </c>
      <c r="F1499" s="16">
        <f>IF(D1499="","",IF(C1499="Thu",IFERROR(INDEX('Danh mục'!$B$26:$B$35,MATCH(D1499,'Danh mục'!$A$26:$A$35,0))&amp;"","?"),IFERROR(INDEX('Danh mục'!$D$39:$D$78,MATCH(D1499,'Danh mục'!$A$39:$A$78,0))&amp;"","?")))</f>
      </c>
      <c r="G1499" s="16">
        <f>IF(OR(D1499="",C1499&lt;&gt;"Chi"),"",IFERROR(INDEX('Danh mục'!$C$39:$C$78,MATCH(D1499,'Danh mục'!$A$39:$A$78,0))&amp;"",""))</f>
      </c>
      <c r="H1499" s="11"/>
      <c r="I1499" s="20"/>
      <c r="J1499" s="11"/>
      <c r="K1499" s="11"/>
      <c r="L1499" s="11"/>
    </row>
    <row r="1500" spans="1:12" x14ac:dyDescent="0.3">
      <c r="A1500" s="31"/>
      <c r="B1500" s="32">
        <f>IF(A1500="","",DATE(YEAR(A1500),MONTH(A1500),1))</f>
      </c>
      <c r="C1500" s="11"/>
      <c r="D1500" s="11"/>
      <c r="E1500" s="16">
        <f>IF(OR(D1500="",C1500&lt;&gt;"Chi"),"",IFERROR(INDEX('Danh mục'!$B$39:$B$78,MATCH(D1500,'Danh mục'!$A$39:$A$78,0))&amp;"","?"))</f>
      </c>
      <c r="F1500" s="16">
        <f>IF(D1500="","",IF(C1500="Thu",IFERROR(INDEX('Danh mục'!$B$26:$B$35,MATCH(D1500,'Danh mục'!$A$26:$A$35,0))&amp;"","?"),IFERROR(INDEX('Danh mục'!$D$39:$D$78,MATCH(D1500,'Danh mục'!$A$39:$A$78,0))&amp;"","?")))</f>
      </c>
      <c r="G1500" s="16">
        <f>IF(OR(D1500="",C1500&lt;&gt;"Chi"),"",IFERROR(INDEX('Danh mục'!$C$39:$C$78,MATCH(D1500,'Danh mục'!$A$39:$A$78,0))&amp;"",""))</f>
      </c>
      <c r="H1500" s="11"/>
      <c r="I1500" s="20"/>
      <c r="J1500" s="11"/>
      <c r="K1500" s="11"/>
      <c r="L1500" s="11"/>
    </row>
    <row r="1501" spans="1:12" x14ac:dyDescent="0.3">
      <c r="A1501" s="31"/>
      <c r="B1501" s="32">
        <f>IF(A1501="","",DATE(YEAR(A1501),MONTH(A1501),1))</f>
      </c>
      <c r="C1501" s="11"/>
      <c r="D1501" s="11"/>
      <c r="E1501" s="16">
        <f>IF(OR(D1501="",C1501&lt;&gt;"Chi"),"",IFERROR(INDEX('Danh mục'!$B$39:$B$78,MATCH(D1501,'Danh mục'!$A$39:$A$78,0))&amp;"","?"))</f>
      </c>
      <c r="F1501" s="16">
        <f>IF(D1501="","",IF(C1501="Thu",IFERROR(INDEX('Danh mục'!$B$26:$B$35,MATCH(D1501,'Danh mục'!$A$26:$A$35,0))&amp;"","?"),IFERROR(INDEX('Danh mục'!$D$39:$D$78,MATCH(D1501,'Danh mục'!$A$39:$A$78,0))&amp;"","?")))</f>
      </c>
      <c r="G1501" s="16">
        <f>IF(OR(D1501="",C1501&lt;&gt;"Chi"),"",IFERROR(INDEX('Danh mục'!$C$39:$C$78,MATCH(D1501,'Danh mục'!$A$39:$A$78,0))&amp;"",""))</f>
      </c>
      <c r="H1501" s="11"/>
      <c r="I1501" s="20"/>
      <c r="J1501" s="11"/>
      <c r="K1501" s="11"/>
      <c r="L1501" s="11"/>
    </row>
    <row r="1502" spans="1:12" x14ac:dyDescent="0.3">
      <c r="A1502" s="31"/>
      <c r="B1502" s="32">
        <f>IF(A1502="","",DATE(YEAR(A1502),MONTH(A1502),1))</f>
      </c>
      <c r="C1502" s="11"/>
      <c r="D1502" s="11"/>
      <c r="E1502" s="16">
        <f>IF(OR(D1502="",C1502&lt;&gt;"Chi"),"",IFERROR(INDEX('Danh mục'!$B$39:$B$78,MATCH(D1502,'Danh mục'!$A$39:$A$78,0))&amp;"","?"))</f>
      </c>
      <c r="F1502" s="16">
        <f>IF(D1502="","",IF(C1502="Thu",IFERROR(INDEX('Danh mục'!$B$26:$B$35,MATCH(D1502,'Danh mục'!$A$26:$A$35,0))&amp;"","?"),IFERROR(INDEX('Danh mục'!$D$39:$D$78,MATCH(D1502,'Danh mục'!$A$39:$A$78,0))&amp;"","?")))</f>
      </c>
      <c r="G1502" s="16">
        <f>IF(OR(D1502="",C1502&lt;&gt;"Chi"),"",IFERROR(INDEX('Danh mục'!$C$39:$C$78,MATCH(D1502,'Danh mục'!$A$39:$A$78,0))&amp;"",""))</f>
      </c>
      <c r="H1502" s="11"/>
      <c r="I1502" s="20"/>
      <c r="J1502" s="11"/>
      <c r="K1502" s="11"/>
      <c r="L1502" s="11"/>
    </row>
    <row r="1503" spans="1:12" x14ac:dyDescent="0.3">
      <c r="A1503" s="31"/>
      <c r="B1503" s="32">
        <f>IF(A1503="","",DATE(YEAR(A1503),MONTH(A1503),1))</f>
      </c>
      <c r="C1503" s="11"/>
      <c r="D1503" s="11"/>
      <c r="E1503" s="16">
        <f>IF(OR(D1503="",C1503&lt;&gt;"Chi"),"",IFERROR(INDEX('Danh mục'!$B$39:$B$78,MATCH(D1503,'Danh mục'!$A$39:$A$78,0))&amp;"","?"))</f>
      </c>
      <c r="F1503" s="16">
        <f>IF(D1503="","",IF(C1503="Thu",IFERROR(INDEX('Danh mục'!$B$26:$B$35,MATCH(D1503,'Danh mục'!$A$26:$A$35,0))&amp;"","?"),IFERROR(INDEX('Danh mục'!$D$39:$D$78,MATCH(D1503,'Danh mục'!$A$39:$A$78,0))&amp;"","?")))</f>
      </c>
      <c r="G1503" s="16">
        <f>IF(OR(D1503="",C1503&lt;&gt;"Chi"),"",IFERROR(INDEX('Danh mục'!$C$39:$C$78,MATCH(D1503,'Danh mục'!$A$39:$A$78,0))&amp;"",""))</f>
      </c>
      <c r="H1503" s="11"/>
      <c r="I1503" s="20"/>
      <c r="J1503" s="11"/>
      <c r="K1503" s="11"/>
      <c r="L1503" s="11"/>
    </row>
    <row r="1504" spans="1:12" x14ac:dyDescent="0.3">
      <c r="A1504" s="31"/>
      <c r="B1504" s="32">
        <f>IF(A1504="","",DATE(YEAR(A1504),MONTH(A1504),1))</f>
      </c>
      <c r="C1504" s="11"/>
      <c r="D1504" s="11"/>
      <c r="E1504" s="16">
        <f>IF(OR(D1504="",C1504&lt;&gt;"Chi"),"",IFERROR(INDEX('Danh mục'!$B$39:$B$78,MATCH(D1504,'Danh mục'!$A$39:$A$78,0))&amp;"","?"))</f>
      </c>
      <c r="F1504" s="16">
        <f>IF(D1504="","",IF(C1504="Thu",IFERROR(INDEX('Danh mục'!$B$26:$B$35,MATCH(D1504,'Danh mục'!$A$26:$A$35,0))&amp;"","?"),IFERROR(INDEX('Danh mục'!$D$39:$D$78,MATCH(D1504,'Danh mục'!$A$39:$A$78,0))&amp;"","?")))</f>
      </c>
      <c r="G1504" s="16">
        <f>IF(OR(D1504="",C1504&lt;&gt;"Chi"),"",IFERROR(INDEX('Danh mục'!$C$39:$C$78,MATCH(D1504,'Danh mục'!$A$39:$A$78,0))&amp;"",""))</f>
      </c>
      <c r="H1504" s="11"/>
      <c r="I1504" s="20"/>
      <c r="J1504" s="11"/>
      <c r="K1504" s="11"/>
      <c r="L1504" s="11"/>
    </row>
    <row r="1505" spans="1:12" x14ac:dyDescent="0.3">
      <c r="A1505" s="31"/>
      <c r="B1505" s="32">
        <f>IF(A1505="","",DATE(YEAR(A1505),MONTH(A1505),1))</f>
      </c>
      <c r="C1505" s="11"/>
      <c r="D1505" s="11"/>
      <c r="E1505" s="16">
        <f>IF(OR(D1505="",C1505&lt;&gt;"Chi"),"",IFERROR(INDEX('Danh mục'!$B$39:$B$78,MATCH(D1505,'Danh mục'!$A$39:$A$78,0))&amp;"","?"))</f>
      </c>
      <c r="F1505" s="16">
        <f>IF(D1505="","",IF(C1505="Thu",IFERROR(INDEX('Danh mục'!$B$26:$B$35,MATCH(D1505,'Danh mục'!$A$26:$A$35,0))&amp;"","?"),IFERROR(INDEX('Danh mục'!$D$39:$D$78,MATCH(D1505,'Danh mục'!$A$39:$A$78,0))&amp;"","?")))</f>
      </c>
      <c r="G1505" s="16">
        <f>IF(OR(D1505="",C1505&lt;&gt;"Chi"),"",IFERROR(INDEX('Danh mục'!$C$39:$C$78,MATCH(D1505,'Danh mục'!$A$39:$A$78,0))&amp;"",""))</f>
      </c>
      <c r="H1505" s="11"/>
      <c r="I1505" s="20"/>
      <c r="J1505" s="11"/>
      <c r="K1505" s="11"/>
      <c r="L1505" s="11"/>
    </row>
    <row r="1506" spans="1:12" x14ac:dyDescent="0.3">
      <c r="A1506" s="31"/>
      <c r="B1506" s="32">
        <f>IF(A1506="","",DATE(YEAR(A1506),MONTH(A1506),1))</f>
      </c>
      <c r="C1506" s="11"/>
      <c r="D1506" s="11"/>
      <c r="E1506" s="16">
        <f>IF(OR(D1506="",C1506&lt;&gt;"Chi"),"",IFERROR(INDEX('Danh mục'!$B$39:$B$78,MATCH(D1506,'Danh mục'!$A$39:$A$78,0))&amp;"","?"))</f>
      </c>
      <c r="F1506" s="16">
        <f>IF(D1506="","",IF(C1506="Thu",IFERROR(INDEX('Danh mục'!$B$26:$B$35,MATCH(D1506,'Danh mục'!$A$26:$A$35,0))&amp;"","?"),IFERROR(INDEX('Danh mục'!$D$39:$D$78,MATCH(D1506,'Danh mục'!$A$39:$A$78,0))&amp;"","?")))</f>
      </c>
      <c r="G1506" s="16">
        <f>IF(OR(D1506="",C1506&lt;&gt;"Chi"),"",IFERROR(INDEX('Danh mục'!$C$39:$C$78,MATCH(D1506,'Danh mục'!$A$39:$A$78,0))&amp;"",""))</f>
      </c>
      <c r="H1506" s="11"/>
      <c r="I1506" s="20"/>
      <c r="J1506" s="11"/>
      <c r="K1506" s="11"/>
      <c r="L1506" s="11"/>
    </row>
    <row r="1507" spans="1:12" x14ac:dyDescent="0.3">
      <c r="A1507" s="31"/>
      <c r="B1507" s="32">
        <f>IF(A1507="","",DATE(YEAR(A1507),MONTH(A1507),1))</f>
      </c>
      <c r="C1507" s="11"/>
      <c r="D1507" s="11"/>
      <c r="E1507" s="16">
        <f>IF(OR(D1507="",C1507&lt;&gt;"Chi"),"",IFERROR(INDEX('Danh mục'!$B$39:$B$78,MATCH(D1507,'Danh mục'!$A$39:$A$78,0))&amp;"","?"))</f>
      </c>
      <c r="F1507" s="16">
        <f>IF(D1507="","",IF(C1507="Thu",IFERROR(INDEX('Danh mục'!$B$26:$B$35,MATCH(D1507,'Danh mục'!$A$26:$A$35,0))&amp;"","?"),IFERROR(INDEX('Danh mục'!$D$39:$D$78,MATCH(D1507,'Danh mục'!$A$39:$A$78,0))&amp;"","?")))</f>
      </c>
      <c r="G1507" s="16">
        <f>IF(OR(D1507="",C1507&lt;&gt;"Chi"),"",IFERROR(INDEX('Danh mục'!$C$39:$C$78,MATCH(D1507,'Danh mục'!$A$39:$A$78,0))&amp;"",""))</f>
      </c>
      <c r="H1507" s="11"/>
      <c r="I1507" s="20"/>
      <c r="J1507" s="11"/>
      <c r="K1507" s="11"/>
      <c r="L1507" s="11"/>
    </row>
    <row r="1508" spans="1:12" x14ac:dyDescent="0.3">
      <c r="A1508" s="31"/>
      <c r="B1508" s="32">
        <f>IF(A1508="","",DATE(YEAR(A1508),MONTH(A1508),1))</f>
      </c>
      <c r="C1508" s="11"/>
      <c r="D1508" s="11"/>
      <c r="E1508" s="16">
        <f>IF(OR(D1508="",C1508&lt;&gt;"Chi"),"",IFERROR(INDEX('Danh mục'!$B$39:$B$78,MATCH(D1508,'Danh mục'!$A$39:$A$78,0))&amp;"","?"))</f>
      </c>
      <c r="F1508" s="16">
        <f>IF(D1508="","",IF(C1508="Thu",IFERROR(INDEX('Danh mục'!$B$26:$B$35,MATCH(D1508,'Danh mục'!$A$26:$A$35,0))&amp;"","?"),IFERROR(INDEX('Danh mục'!$D$39:$D$78,MATCH(D1508,'Danh mục'!$A$39:$A$78,0))&amp;"","?")))</f>
      </c>
      <c r="G1508" s="16">
        <f>IF(OR(D1508="",C1508&lt;&gt;"Chi"),"",IFERROR(INDEX('Danh mục'!$C$39:$C$78,MATCH(D1508,'Danh mục'!$A$39:$A$78,0))&amp;"",""))</f>
      </c>
      <c r="H1508" s="11"/>
      <c r="I1508" s="20"/>
      <c r="J1508" s="11"/>
      <c r="K1508" s="11"/>
      <c r="L1508" s="11"/>
    </row>
    <row r="1509" spans="1:12" x14ac:dyDescent="0.3">
      <c r="A1509" s="31"/>
      <c r="B1509" s="32">
        <f>IF(A1509="","",DATE(YEAR(A1509),MONTH(A1509),1))</f>
      </c>
      <c r="C1509" s="11"/>
      <c r="D1509" s="11"/>
      <c r="E1509" s="16">
        <f>IF(OR(D1509="",C1509&lt;&gt;"Chi"),"",IFERROR(INDEX('Danh mục'!$B$39:$B$78,MATCH(D1509,'Danh mục'!$A$39:$A$78,0))&amp;"","?"))</f>
      </c>
      <c r="F1509" s="16">
        <f>IF(D1509="","",IF(C1509="Thu",IFERROR(INDEX('Danh mục'!$B$26:$B$35,MATCH(D1509,'Danh mục'!$A$26:$A$35,0))&amp;"","?"),IFERROR(INDEX('Danh mục'!$D$39:$D$78,MATCH(D1509,'Danh mục'!$A$39:$A$78,0))&amp;"","?")))</f>
      </c>
      <c r="G1509" s="16">
        <f>IF(OR(D1509="",C1509&lt;&gt;"Chi"),"",IFERROR(INDEX('Danh mục'!$C$39:$C$78,MATCH(D1509,'Danh mục'!$A$39:$A$78,0))&amp;"",""))</f>
      </c>
      <c r="H1509" s="11"/>
      <c r="I1509" s="20"/>
      <c r="J1509" s="11"/>
      <c r="K1509" s="11"/>
      <c r="L1509" s="11"/>
    </row>
    <row r="1510" spans="1:12" x14ac:dyDescent="0.3">
      <c r="A1510" s="31"/>
      <c r="B1510" s="32">
        <f>IF(A1510="","",DATE(YEAR(A1510),MONTH(A1510),1))</f>
      </c>
      <c r="C1510" s="11"/>
      <c r="D1510" s="11"/>
      <c r="E1510" s="16">
        <f>IF(OR(D1510="",C1510&lt;&gt;"Chi"),"",IFERROR(INDEX('Danh mục'!$B$39:$B$78,MATCH(D1510,'Danh mục'!$A$39:$A$78,0))&amp;"","?"))</f>
      </c>
      <c r="F1510" s="16">
        <f>IF(D1510="","",IF(C1510="Thu",IFERROR(INDEX('Danh mục'!$B$26:$B$35,MATCH(D1510,'Danh mục'!$A$26:$A$35,0))&amp;"","?"),IFERROR(INDEX('Danh mục'!$D$39:$D$78,MATCH(D1510,'Danh mục'!$A$39:$A$78,0))&amp;"","?")))</f>
      </c>
      <c r="G1510" s="16">
        <f>IF(OR(D1510="",C1510&lt;&gt;"Chi"),"",IFERROR(INDEX('Danh mục'!$C$39:$C$78,MATCH(D1510,'Danh mục'!$A$39:$A$78,0))&amp;"",""))</f>
      </c>
      <c r="H1510" s="11"/>
      <c r="I1510" s="20"/>
      <c r="J1510" s="11"/>
      <c r="K1510" s="11"/>
      <c r="L1510" s="11"/>
    </row>
    <row r="1511" spans="1:12" x14ac:dyDescent="0.3">
      <c r="A1511" s="31"/>
      <c r="B1511" s="32">
        <f>IF(A1511="","",DATE(YEAR(A1511),MONTH(A1511),1))</f>
      </c>
      <c r="C1511" s="11"/>
      <c r="D1511" s="11"/>
      <c r="E1511" s="16">
        <f>IF(OR(D1511="",C1511&lt;&gt;"Chi"),"",IFERROR(INDEX('Danh mục'!$B$39:$B$78,MATCH(D1511,'Danh mục'!$A$39:$A$78,0))&amp;"","?"))</f>
      </c>
      <c r="F1511" s="16">
        <f>IF(D1511="","",IF(C1511="Thu",IFERROR(INDEX('Danh mục'!$B$26:$B$35,MATCH(D1511,'Danh mục'!$A$26:$A$35,0))&amp;"","?"),IFERROR(INDEX('Danh mục'!$D$39:$D$78,MATCH(D1511,'Danh mục'!$A$39:$A$78,0))&amp;"","?")))</f>
      </c>
      <c r="G1511" s="16">
        <f>IF(OR(D1511="",C1511&lt;&gt;"Chi"),"",IFERROR(INDEX('Danh mục'!$C$39:$C$78,MATCH(D1511,'Danh mục'!$A$39:$A$78,0))&amp;"",""))</f>
      </c>
      <c r="H1511" s="11"/>
      <c r="I1511" s="20"/>
      <c r="J1511" s="11"/>
      <c r="K1511" s="11"/>
      <c r="L1511" s="11"/>
    </row>
    <row r="1512" spans="1:12" x14ac:dyDescent="0.3">
      <c r="A1512" s="31"/>
      <c r="B1512" s="32">
        <f>IF(A1512="","",DATE(YEAR(A1512),MONTH(A1512),1))</f>
      </c>
      <c r="C1512" s="11"/>
      <c r="D1512" s="11"/>
      <c r="E1512" s="16">
        <f>IF(OR(D1512="",C1512&lt;&gt;"Chi"),"",IFERROR(INDEX('Danh mục'!$B$39:$B$78,MATCH(D1512,'Danh mục'!$A$39:$A$78,0))&amp;"","?"))</f>
      </c>
      <c r="F1512" s="16">
        <f>IF(D1512="","",IF(C1512="Thu",IFERROR(INDEX('Danh mục'!$B$26:$B$35,MATCH(D1512,'Danh mục'!$A$26:$A$35,0))&amp;"","?"),IFERROR(INDEX('Danh mục'!$D$39:$D$78,MATCH(D1512,'Danh mục'!$A$39:$A$78,0))&amp;"","?")))</f>
      </c>
      <c r="G1512" s="16">
        <f>IF(OR(D1512="",C1512&lt;&gt;"Chi"),"",IFERROR(INDEX('Danh mục'!$C$39:$C$78,MATCH(D1512,'Danh mục'!$A$39:$A$78,0))&amp;"",""))</f>
      </c>
      <c r="H1512" s="11"/>
      <c r="I1512" s="20"/>
      <c r="J1512" s="11"/>
      <c r="K1512" s="11"/>
      <c r="L1512" s="11"/>
    </row>
    <row r="1513" spans="1:12" x14ac:dyDescent="0.3">
      <c r="A1513" s="31"/>
      <c r="B1513" s="32">
        <f>IF(A1513="","",DATE(YEAR(A1513),MONTH(A1513),1))</f>
      </c>
      <c r="C1513" s="11"/>
      <c r="D1513" s="11"/>
      <c r="E1513" s="16">
        <f>IF(OR(D1513="",C1513&lt;&gt;"Chi"),"",IFERROR(INDEX('Danh mục'!$B$39:$B$78,MATCH(D1513,'Danh mục'!$A$39:$A$78,0))&amp;"","?"))</f>
      </c>
      <c r="F1513" s="16">
        <f>IF(D1513="","",IF(C1513="Thu",IFERROR(INDEX('Danh mục'!$B$26:$B$35,MATCH(D1513,'Danh mục'!$A$26:$A$35,0))&amp;"","?"),IFERROR(INDEX('Danh mục'!$D$39:$D$78,MATCH(D1513,'Danh mục'!$A$39:$A$78,0))&amp;"","?")))</f>
      </c>
      <c r="G1513" s="16">
        <f>IF(OR(D1513="",C1513&lt;&gt;"Chi"),"",IFERROR(INDEX('Danh mục'!$C$39:$C$78,MATCH(D1513,'Danh mục'!$A$39:$A$78,0))&amp;"",""))</f>
      </c>
      <c r="H1513" s="11"/>
      <c r="I1513" s="20"/>
      <c r="J1513" s="11"/>
      <c r="K1513" s="11"/>
      <c r="L1513" s="11"/>
    </row>
    <row r="1514" spans="1:12" x14ac:dyDescent="0.3">
      <c r="A1514" s="31"/>
      <c r="B1514" s="32">
        <f>IF(A1514="","",DATE(YEAR(A1514),MONTH(A1514),1))</f>
      </c>
      <c r="C1514" s="11"/>
      <c r="D1514" s="11"/>
      <c r="E1514" s="16">
        <f>IF(OR(D1514="",C1514&lt;&gt;"Chi"),"",IFERROR(INDEX('Danh mục'!$B$39:$B$78,MATCH(D1514,'Danh mục'!$A$39:$A$78,0))&amp;"","?"))</f>
      </c>
      <c r="F1514" s="16">
        <f>IF(D1514="","",IF(C1514="Thu",IFERROR(INDEX('Danh mục'!$B$26:$B$35,MATCH(D1514,'Danh mục'!$A$26:$A$35,0))&amp;"","?"),IFERROR(INDEX('Danh mục'!$D$39:$D$78,MATCH(D1514,'Danh mục'!$A$39:$A$78,0))&amp;"","?")))</f>
      </c>
      <c r="G1514" s="16">
        <f>IF(OR(D1514="",C1514&lt;&gt;"Chi"),"",IFERROR(INDEX('Danh mục'!$C$39:$C$78,MATCH(D1514,'Danh mục'!$A$39:$A$78,0))&amp;"",""))</f>
      </c>
      <c r="H1514" s="11"/>
      <c r="I1514" s="20"/>
      <c r="J1514" s="11"/>
      <c r="K1514" s="11"/>
      <c r="L1514" s="11"/>
    </row>
    <row r="1515" spans="1:12" x14ac:dyDescent="0.3">
      <c r="A1515" s="31"/>
      <c r="B1515" s="32">
        <f>IF(A1515="","",DATE(YEAR(A1515),MONTH(A1515),1))</f>
      </c>
      <c r="C1515" s="11"/>
      <c r="D1515" s="11"/>
      <c r="E1515" s="16">
        <f>IF(OR(D1515="",C1515&lt;&gt;"Chi"),"",IFERROR(INDEX('Danh mục'!$B$39:$B$78,MATCH(D1515,'Danh mục'!$A$39:$A$78,0))&amp;"","?"))</f>
      </c>
      <c r="F1515" s="16">
        <f>IF(D1515="","",IF(C1515="Thu",IFERROR(INDEX('Danh mục'!$B$26:$B$35,MATCH(D1515,'Danh mục'!$A$26:$A$35,0))&amp;"","?"),IFERROR(INDEX('Danh mục'!$D$39:$D$78,MATCH(D1515,'Danh mục'!$A$39:$A$78,0))&amp;"","?")))</f>
      </c>
      <c r="G1515" s="16">
        <f>IF(OR(D1515="",C1515&lt;&gt;"Chi"),"",IFERROR(INDEX('Danh mục'!$C$39:$C$78,MATCH(D1515,'Danh mục'!$A$39:$A$78,0))&amp;"",""))</f>
      </c>
      <c r="H1515" s="11"/>
      <c r="I1515" s="20"/>
      <c r="J1515" s="11"/>
      <c r="K1515" s="11"/>
      <c r="L1515" s="11"/>
    </row>
    <row r="1516" spans="1:12" x14ac:dyDescent="0.3">
      <c r="A1516" s="31"/>
      <c r="B1516" s="32">
        <f>IF(A1516="","",DATE(YEAR(A1516),MONTH(A1516),1))</f>
      </c>
      <c r="C1516" s="11"/>
      <c r="D1516" s="11"/>
      <c r="E1516" s="16">
        <f>IF(OR(D1516="",C1516&lt;&gt;"Chi"),"",IFERROR(INDEX('Danh mục'!$B$39:$B$78,MATCH(D1516,'Danh mục'!$A$39:$A$78,0))&amp;"","?"))</f>
      </c>
      <c r="F1516" s="16">
        <f>IF(D1516="","",IF(C1516="Thu",IFERROR(INDEX('Danh mục'!$B$26:$B$35,MATCH(D1516,'Danh mục'!$A$26:$A$35,0))&amp;"","?"),IFERROR(INDEX('Danh mục'!$D$39:$D$78,MATCH(D1516,'Danh mục'!$A$39:$A$78,0))&amp;"","?")))</f>
      </c>
      <c r="G1516" s="16">
        <f>IF(OR(D1516="",C1516&lt;&gt;"Chi"),"",IFERROR(INDEX('Danh mục'!$C$39:$C$78,MATCH(D1516,'Danh mục'!$A$39:$A$78,0))&amp;"",""))</f>
      </c>
      <c r="H1516" s="11"/>
      <c r="I1516" s="20"/>
      <c r="J1516" s="11"/>
      <c r="K1516" s="11"/>
      <c r="L1516" s="11"/>
    </row>
    <row r="1517" spans="1:12" x14ac:dyDescent="0.3">
      <c r="A1517" s="31"/>
      <c r="B1517" s="32">
        <f>IF(A1517="","",DATE(YEAR(A1517),MONTH(A1517),1))</f>
      </c>
      <c r="C1517" s="11"/>
      <c r="D1517" s="11"/>
      <c r="E1517" s="16">
        <f>IF(OR(D1517="",C1517&lt;&gt;"Chi"),"",IFERROR(INDEX('Danh mục'!$B$39:$B$78,MATCH(D1517,'Danh mục'!$A$39:$A$78,0))&amp;"","?"))</f>
      </c>
      <c r="F1517" s="16">
        <f>IF(D1517="","",IF(C1517="Thu",IFERROR(INDEX('Danh mục'!$B$26:$B$35,MATCH(D1517,'Danh mục'!$A$26:$A$35,0))&amp;"","?"),IFERROR(INDEX('Danh mục'!$D$39:$D$78,MATCH(D1517,'Danh mục'!$A$39:$A$78,0))&amp;"","?")))</f>
      </c>
      <c r="G1517" s="16">
        <f>IF(OR(D1517="",C1517&lt;&gt;"Chi"),"",IFERROR(INDEX('Danh mục'!$C$39:$C$78,MATCH(D1517,'Danh mục'!$A$39:$A$78,0))&amp;"",""))</f>
      </c>
      <c r="H1517" s="11"/>
      <c r="I1517" s="20"/>
      <c r="J1517" s="11"/>
      <c r="K1517" s="11"/>
      <c r="L1517" s="11"/>
    </row>
    <row r="1518" spans="1:12" x14ac:dyDescent="0.3">
      <c r="A1518" s="31"/>
      <c r="B1518" s="32">
        <f>IF(A1518="","",DATE(YEAR(A1518),MONTH(A1518),1))</f>
      </c>
      <c r="C1518" s="11"/>
      <c r="D1518" s="11"/>
      <c r="E1518" s="16">
        <f>IF(OR(D1518="",C1518&lt;&gt;"Chi"),"",IFERROR(INDEX('Danh mục'!$B$39:$B$78,MATCH(D1518,'Danh mục'!$A$39:$A$78,0))&amp;"","?"))</f>
      </c>
      <c r="F1518" s="16">
        <f>IF(D1518="","",IF(C1518="Thu",IFERROR(INDEX('Danh mục'!$B$26:$B$35,MATCH(D1518,'Danh mục'!$A$26:$A$35,0))&amp;"","?"),IFERROR(INDEX('Danh mục'!$D$39:$D$78,MATCH(D1518,'Danh mục'!$A$39:$A$78,0))&amp;"","?")))</f>
      </c>
      <c r="G1518" s="16">
        <f>IF(OR(D1518="",C1518&lt;&gt;"Chi"),"",IFERROR(INDEX('Danh mục'!$C$39:$C$78,MATCH(D1518,'Danh mục'!$A$39:$A$78,0))&amp;"",""))</f>
      </c>
      <c r="H1518" s="11"/>
      <c r="I1518" s="20"/>
      <c r="J1518" s="11"/>
      <c r="K1518" s="11"/>
      <c r="L1518" s="11"/>
    </row>
    <row r="1519" spans="1:12" x14ac:dyDescent="0.3">
      <c r="A1519" s="31"/>
      <c r="B1519" s="32">
        <f>IF(A1519="","",DATE(YEAR(A1519),MONTH(A1519),1))</f>
      </c>
      <c r="C1519" s="11"/>
      <c r="D1519" s="11"/>
      <c r="E1519" s="16">
        <f>IF(OR(D1519="",C1519&lt;&gt;"Chi"),"",IFERROR(INDEX('Danh mục'!$B$39:$B$78,MATCH(D1519,'Danh mục'!$A$39:$A$78,0))&amp;"","?"))</f>
      </c>
      <c r="F1519" s="16">
        <f>IF(D1519="","",IF(C1519="Thu",IFERROR(INDEX('Danh mục'!$B$26:$B$35,MATCH(D1519,'Danh mục'!$A$26:$A$35,0))&amp;"","?"),IFERROR(INDEX('Danh mục'!$D$39:$D$78,MATCH(D1519,'Danh mục'!$A$39:$A$78,0))&amp;"","?")))</f>
      </c>
      <c r="G1519" s="16">
        <f>IF(OR(D1519="",C1519&lt;&gt;"Chi"),"",IFERROR(INDEX('Danh mục'!$C$39:$C$78,MATCH(D1519,'Danh mục'!$A$39:$A$78,0))&amp;"",""))</f>
      </c>
      <c r="H1519" s="11"/>
      <c r="I1519" s="20"/>
      <c r="J1519" s="11"/>
      <c r="K1519" s="11"/>
      <c r="L1519" s="11"/>
    </row>
    <row r="1520" spans="1:12" x14ac:dyDescent="0.3">
      <c r="A1520" s="31"/>
      <c r="B1520" s="32">
        <f>IF(A1520="","",DATE(YEAR(A1520),MONTH(A1520),1))</f>
      </c>
      <c r="C1520" s="11"/>
      <c r="D1520" s="11"/>
      <c r="E1520" s="16">
        <f>IF(OR(D1520="",C1520&lt;&gt;"Chi"),"",IFERROR(INDEX('Danh mục'!$B$39:$B$78,MATCH(D1520,'Danh mục'!$A$39:$A$78,0))&amp;"","?"))</f>
      </c>
      <c r="F1520" s="16">
        <f>IF(D1520="","",IF(C1520="Thu",IFERROR(INDEX('Danh mục'!$B$26:$B$35,MATCH(D1520,'Danh mục'!$A$26:$A$35,0))&amp;"","?"),IFERROR(INDEX('Danh mục'!$D$39:$D$78,MATCH(D1520,'Danh mục'!$A$39:$A$78,0))&amp;"","?")))</f>
      </c>
      <c r="G1520" s="16">
        <f>IF(OR(D1520="",C1520&lt;&gt;"Chi"),"",IFERROR(INDEX('Danh mục'!$C$39:$C$78,MATCH(D1520,'Danh mục'!$A$39:$A$78,0))&amp;"",""))</f>
      </c>
      <c r="H1520" s="11"/>
      <c r="I1520" s="20"/>
      <c r="J1520" s="11"/>
      <c r="K1520" s="11"/>
      <c r="L1520" s="11"/>
    </row>
    <row r="1521" spans="1:12" x14ac:dyDescent="0.3">
      <c r="A1521" s="31"/>
      <c r="B1521" s="32">
        <f>IF(A1521="","",DATE(YEAR(A1521),MONTH(A1521),1))</f>
      </c>
      <c r="C1521" s="11"/>
      <c r="D1521" s="11"/>
      <c r="E1521" s="16">
        <f>IF(OR(D1521="",C1521&lt;&gt;"Chi"),"",IFERROR(INDEX('Danh mục'!$B$39:$B$78,MATCH(D1521,'Danh mục'!$A$39:$A$78,0))&amp;"","?"))</f>
      </c>
      <c r="F1521" s="16">
        <f>IF(D1521="","",IF(C1521="Thu",IFERROR(INDEX('Danh mục'!$B$26:$B$35,MATCH(D1521,'Danh mục'!$A$26:$A$35,0))&amp;"","?"),IFERROR(INDEX('Danh mục'!$D$39:$D$78,MATCH(D1521,'Danh mục'!$A$39:$A$78,0))&amp;"","?")))</f>
      </c>
      <c r="G1521" s="16">
        <f>IF(OR(D1521="",C1521&lt;&gt;"Chi"),"",IFERROR(INDEX('Danh mục'!$C$39:$C$78,MATCH(D1521,'Danh mục'!$A$39:$A$78,0))&amp;"",""))</f>
      </c>
      <c r="H1521" s="11"/>
      <c r="I1521" s="20"/>
      <c r="J1521" s="11"/>
      <c r="K1521" s="11"/>
      <c r="L1521" s="11"/>
    </row>
    <row r="1522" spans="1:12" x14ac:dyDescent="0.3">
      <c r="A1522" s="31"/>
      <c r="B1522" s="32">
        <f>IF(A1522="","",DATE(YEAR(A1522),MONTH(A1522),1))</f>
      </c>
      <c r="C1522" s="11"/>
      <c r="D1522" s="11"/>
      <c r="E1522" s="16">
        <f>IF(OR(D1522="",C1522&lt;&gt;"Chi"),"",IFERROR(INDEX('Danh mục'!$B$39:$B$78,MATCH(D1522,'Danh mục'!$A$39:$A$78,0))&amp;"","?"))</f>
      </c>
      <c r="F1522" s="16">
        <f>IF(D1522="","",IF(C1522="Thu",IFERROR(INDEX('Danh mục'!$B$26:$B$35,MATCH(D1522,'Danh mục'!$A$26:$A$35,0))&amp;"","?"),IFERROR(INDEX('Danh mục'!$D$39:$D$78,MATCH(D1522,'Danh mục'!$A$39:$A$78,0))&amp;"","?")))</f>
      </c>
      <c r="G1522" s="16">
        <f>IF(OR(D1522="",C1522&lt;&gt;"Chi"),"",IFERROR(INDEX('Danh mục'!$C$39:$C$78,MATCH(D1522,'Danh mục'!$A$39:$A$78,0))&amp;"",""))</f>
      </c>
      <c r="H1522" s="11"/>
      <c r="I1522" s="20"/>
      <c r="J1522" s="11"/>
      <c r="K1522" s="11"/>
      <c r="L1522" s="11"/>
    </row>
    <row r="1523" spans="1:12" x14ac:dyDescent="0.3">
      <c r="A1523" s="31"/>
      <c r="B1523" s="32">
        <f>IF(A1523="","",DATE(YEAR(A1523),MONTH(A1523),1))</f>
      </c>
      <c r="C1523" s="11"/>
      <c r="D1523" s="11"/>
      <c r="E1523" s="16">
        <f>IF(OR(D1523="",C1523&lt;&gt;"Chi"),"",IFERROR(INDEX('Danh mục'!$B$39:$B$78,MATCH(D1523,'Danh mục'!$A$39:$A$78,0))&amp;"","?"))</f>
      </c>
      <c r="F1523" s="16">
        <f>IF(D1523="","",IF(C1523="Thu",IFERROR(INDEX('Danh mục'!$B$26:$B$35,MATCH(D1523,'Danh mục'!$A$26:$A$35,0))&amp;"","?"),IFERROR(INDEX('Danh mục'!$D$39:$D$78,MATCH(D1523,'Danh mục'!$A$39:$A$78,0))&amp;"","?")))</f>
      </c>
      <c r="G1523" s="16">
        <f>IF(OR(D1523="",C1523&lt;&gt;"Chi"),"",IFERROR(INDEX('Danh mục'!$C$39:$C$78,MATCH(D1523,'Danh mục'!$A$39:$A$78,0))&amp;"",""))</f>
      </c>
      <c r="H1523" s="11"/>
      <c r="I1523" s="20"/>
      <c r="J1523" s="11"/>
      <c r="K1523" s="11"/>
      <c r="L1523" s="11"/>
    </row>
    <row r="1524" spans="1:12" x14ac:dyDescent="0.3">
      <c r="A1524" s="31"/>
      <c r="B1524" s="32">
        <f>IF(A1524="","",DATE(YEAR(A1524),MONTH(A1524),1))</f>
      </c>
      <c r="C1524" s="11"/>
      <c r="D1524" s="11"/>
      <c r="E1524" s="16">
        <f>IF(OR(D1524="",C1524&lt;&gt;"Chi"),"",IFERROR(INDEX('Danh mục'!$B$39:$B$78,MATCH(D1524,'Danh mục'!$A$39:$A$78,0))&amp;"","?"))</f>
      </c>
      <c r="F1524" s="16">
        <f>IF(D1524="","",IF(C1524="Thu",IFERROR(INDEX('Danh mục'!$B$26:$B$35,MATCH(D1524,'Danh mục'!$A$26:$A$35,0))&amp;"","?"),IFERROR(INDEX('Danh mục'!$D$39:$D$78,MATCH(D1524,'Danh mục'!$A$39:$A$78,0))&amp;"","?")))</f>
      </c>
      <c r="G1524" s="16">
        <f>IF(OR(D1524="",C1524&lt;&gt;"Chi"),"",IFERROR(INDEX('Danh mục'!$C$39:$C$78,MATCH(D1524,'Danh mục'!$A$39:$A$78,0))&amp;"",""))</f>
      </c>
      <c r="H1524" s="11"/>
      <c r="I1524" s="20"/>
      <c r="J1524" s="11"/>
      <c r="K1524" s="11"/>
      <c r="L1524" s="11"/>
    </row>
    <row r="1525" spans="1:12" x14ac:dyDescent="0.3">
      <c r="A1525" s="31"/>
      <c r="B1525" s="32">
        <f>IF(A1525="","",DATE(YEAR(A1525),MONTH(A1525),1))</f>
      </c>
      <c r="C1525" s="11"/>
      <c r="D1525" s="11"/>
      <c r="E1525" s="16">
        <f>IF(OR(D1525="",C1525&lt;&gt;"Chi"),"",IFERROR(INDEX('Danh mục'!$B$39:$B$78,MATCH(D1525,'Danh mục'!$A$39:$A$78,0))&amp;"","?"))</f>
      </c>
      <c r="F1525" s="16">
        <f>IF(D1525="","",IF(C1525="Thu",IFERROR(INDEX('Danh mục'!$B$26:$B$35,MATCH(D1525,'Danh mục'!$A$26:$A$35,0))&amp;"","?"),IFERROR(INDEX('Danh mục'!$D$39:$D$78,MATCH(D1525,'Danh mục'!$A$39:$A$78,0))&amp;"","?")))</f>
      </c>
      <c r="G1525" s="16">
        <f>IF(OR(D1525="",C1525&lt;&gt;"Chi"),"",IFERROR(INDEX('Danh mục'!$C$39:$C$78,MATCH(D1525,'Danh mục'!$A$39:$A$78,0))&amp;"",""))</f>
      </c>
      <c r="H1525" s="11"/>
      <c r="I1525" s="20"/>
      <c r="J1525" s="11"/>
      <c r="K1525" s="11"/>
      <c r="L1525" s="11"/>
    </row>
    <row r="1526" spans="1:12" x14ac:dyDescent="0.3">
      <c r="A1526" s="31"/>
      <c r="B1526" s="32">
        <f>IF(A1526="","",DATE(YEAR(A1526),MONTH(A1526),1))</f>
      </c>
      <c r="C1526" s="11"/>
      <c r="D1526" s="11"/>
      <c r="E1526" s="16">
        <f>IF(OR(D1526="",C1526&lt;&gt;"Chi"),"",IFERROR(INDEX('Danh mục'!$B$39:$B$78,MATCH(D1526,'Danh mục'!$A$39:$A$78,0))&amp;"","?"))</f>
      </c>
      <c r="F1526" s="16">
        <f>IF(D1526="","",IF(C1526="Thu",IFERROR(INDEX('Danh mục'!$B$26:$B$35,MATCH(D1526,'Danh mục'!$A$26:$A$35,0))&amp;"","?"),IFERROR(INDEX('Danh mục'!$D$39:$D$78,MATCH(D1526,'Danh mục'!$A$39:$A$78,0))&amp;"","?")))</f>
      </c>
      <c r="G1526" s="16">
        <f>IF(OR(D1526="",C1526&lt;&gt;"Chi"),"",IFERROR(INDEX('Danh mục'!$C$39:$C$78,MATCH(D1526,'Danh mục'!$A$39:$A$78,0))&amp;"",""))</f>
      </c>
      <c r="H1526" s="11"/>
      <c r="I1526" s="20"/>
      <c r="J1526" s="11"/>
      <c r="K1526" s="11"/>
      <c r="L1526" s="11"/>
    </row>
    <row r="1527" spans="1:12" x14ac:dyDescent="0.3">
      <c r="A1527" s="31"/>
      <c r="B1527" s="32">
        <f>IF(A1527="","",DATE(YEAR(A1527),MONTH(A1527),1))</f>
      </c>
      <c r="C1527" s="11"/>
      <c r="D1527" s="11"/>
      <c r="E1527" s="16">
        <f>IF(OR(D1527="",C1527&lt;&gt;"Chi"),"",IFERROR(INDEX('Danh mục'!$B$39:$B$78,MATCH(D1527,'Danh mục'!$A$39:$A$78,0))&amp;"","?"))</f>
      </c>
      <c r="F1527" s="16">
        <f>IF(D1527="","",IF(C1527="Thu",IFERROR(INDEX('Danh mục'!$B$26:$B$35,MATCH(D1527,'Danh mục'!$A$26:$A$35,0))&amp;"","?"),IFERROR(INDEX('Danh mục'!$D$39:$D$78,MATCH(D1527,'Danh mục'!$A$39:$A$78,0))&amp;"","?")))</f>
      </c>
      <c r="G1527" s="16">
        <f>IF(OR(D1527="",C1527&lt;&gt;"Chi"),"",IFERROR(INDEX('Danh mục'!$C$39:$C$78,MATCH(D1527,'Danh mục'!$A$39:$A$78,0))&amp;"",""))</f>
      </c>
      <c r="H1527" s="11"/>
      <c r="I1527" s="20"/>
      <c r="J1527" s="11"/>
      <c r="K1527" s="11"/>
      <c r="L1527" s="11"/>
    </row>
    <row r="1528" spans="1:12" x14ac:dyDescent="0.3">
      <c r="A1528" s="31"/>
      <c r="B1528" s="32">
        <f>IF(A1528="","",DATE(YEAR(A1528),MONTH(A1528),1))</f>
      </c>
      <c r="C1528" s="11"/>
      <c r="D1528" s="11"/>
      <c r="E1528" s="16">
        <f>IF(OR(D1528="",C1528&lt;&gt;"Chi"),"",IFERROR(INDEX('Danh mục'!$B$39:$B$78,MATCH(D1528,'Danh mục'!$A$39:$A$78,0))&amp;"","?"))</f>
      </c>
      <c r="F1528" s="16">
        <f>IF(D1528="","",IF(C1528="Thu",IFERROR(INDEX('Danh mục'!$B$26:$B$35,MATCH(D1528,'Danh mục'!$A$26:$A$35,0))&amp;"","?"),IFERROR(INDEX('Danh mục'!$D$39:$D$78,MATCH(D1528,'Danh mục'!$A$39:$A$78,0))&amp;"","?")))</f>
      </c>
      <c r="G1528" s="16">
        <f>IF(OR(D1528="",C1528&lt;&gt;"Chi"),"",IFERROR(INDEX('Danh mục'!$C$39:$C$78,MATCH(D1528,'Danh mục'!$A$39:$A$78,0))&amp;"",""))</f>
      </c>
      <c r="H1528" s="11"/>
      <c r="I1528" s="20"/>
      <c r="J1528" s="11"/>
      <c r="K1528" s="11"/>
      <c r="L1528" s="11"/>
    </row>
    <row r="1529" spans="1:12" x14ac:dyDescent="0.3">
      <c r="A1529" s="31"/>
      <c r="B1529" s="32">
        <f>IF(A1529="","",DATE(YEAR(A1529),MONTH(A1529),1))</f>
      </c>
      <c r="C1529" s="11"/>
      <c r="D1529" s="11"/>
      <c r="E1529" s="16">
        <f>IF(OR(D1529="",C1529&lt;&gt;"Chi"),"",IFERROR(INDEX('Danh mục'!$B$39:$B$78,MATCH(D1529,'Danh mục'!$A$39:$A$78,0))&amp;"","?"))</f>
      </c>
      <c r="F1529" s="16">
        <f>IF(D1529="","",IF(C1529="Thu",IFERROR(INDEX('Danh mục'!$B$26:$B$35,MATCH(D1529,'Danh mục'!$A$26:$A$35,0))&amp;"","?"),IFERROR(INDEX('Danh mục'!$D$39:$D$78,MATCH(D1529,'Danh mục'!$A$39:$A$78,0))&amp;"","?")))</f>
      </c>
      <c r="G1529" s="16">
        <f>IF(OR(D1529="",C1529&lt;&gt;"Chi"),"",IFERROR(INDEX('Danh mục'!$C$39:$C$78,MATCH(D1529,'Danh mục'!$A$39:$A$78,0))&amp;"",""))</f>
      </c>
      <c r="H1529" s="11"/>
      <c r="I1529" s="20"/>
      <c r="J1529" s="11"/>
      <c r="K1529" s="11"/>
      <c r="L1529" s="11"/>
    </row>
    <row r="1530" spans="1:12" x14ac:dyDescent="0.3">
      <c r="A1530" s="31"/>
      <c r="B1530" s="32">
        <f>IF(A1530="","",DATE(YEAR(A1530),MONTH(A1530),1))</f>
      </c>
      <c r="C1530" s="11"/>
      <c r="D1530" s="11"/>
      <c r="E1530" s="16">
        <f>IF(OR(D1530="",C1530&lt;&gt;"Chi"),"",IFERROR(INDEX('Danh mục'!$B$39:$B$78,MATCH(D1530,'Danh mục'!$A$39:$A$78,0))&amp;"","?"))</f>
      </c>
      <c r="F1530" s="16">
        <f>IF(D1530="","",IF(C1530="Thu",IFERROR(INDEX('Danh mục'!$B$26:$B$35,MATCH(D1530,'Danh mục'!$A$26:$A$35,0))&amp;"","?"),IFERROR(INDEX('Danh mục'!$D$39:$D$78,MATCH(D1530,'Danh mục'!$A$39:$A$78,0))&amp;"","?")))</f>
      </c>
      <c r="G1530" s="16">
        <f>IF(OR(D1530="",C1530&lt;&gt;"Chi"),"",IFERROR(INDEX('Danh mục'!$C$39:$C$78,MATCH(D1530,'Danh mục'!$A$39:$A$78,0))&amp;"",""))</f>
      </c>
      <c r="H1530" s="11"/>
      <c r="I1530" s="20"/>
      <c r="J1530" s="11"/>
      <c r="K1530" s="11"/>
      <c r="L1530" s="11"/>
    </row>
    <row r="1531" spans="1:12" x14ac:dyDescent="0.3">
      <c r="A1531" s="31"/>
      <c r="B1531" s="32">
        <f>IF(A1531="","",DATE(YEAR(A1531),MONTH(A1531),1))</f>
      </c>
      <c r="C1531" s="11"/>
      <c r="D1531" s="11"/>
      <c r="E1531" s="16">
        <f>IF(OR(D1531="",C1531&lt;&gt;"Chi"),"",IFERROR(INDEX('Danh mục'!$B$39:$B$78,MATCH(D1531,'Danh mục'!$A$39:$A$78,0))&amp;"","?"))</f>
      </c>
      <c r="F1531" s="16">
        <f>IF(D1531="","",IF(C1531="Thu",IFERROR(INDEX('Danh mục'!$B$26:$B$35,MATCH(D1531,'Danh mục'!$A$26:$A$35,0))&amp;"","?"),IFERROR(INDEX('Danh mục'!$D$39:$D$78,MATCH(D1531,'Danh mục'!$A$39:$A$78,0))&amp;"","?")))</f>
      </c>
      <c r="G1531" s="16">
        <f>IF(OR(D1531="",C1531&lt;&gt;"Chi"),"",IFERROR(INDEX('Danh mục'!$C$39:$C$78,MATCH(D1531,'Danh mục'!$A$39:$A$78,0))&amp;"",""))</f>
      </c>
      <c r="H1531" s="11"/>
      <c r="I1531" s="20"/>
      <c r="J1531" s="11"/>
      <c r="K1531" s="11"/>
      <c r="L1531" s="11"/>
    </row>
    <row r="1532" spans="1:12" x14ac:dyDescent="0.3">
      <c r="A1532" s="31"/>
      <c r="B1532" s="32">
        <f>IF(A1532="","",DATE(YEAR(A1532),MONTH(A1532),1))</f>
      </c>
      <c r="C1532" s="11"/>
      <c r="D1532" s="11"/>
      <c r="E1532" s="16">
        <f>IF(OR(D1532="",C1532&lt;&gt;"Chi"),"",IFERROR(INDEX('Danh mục'!$B$39:$B$78,MATCH(D1532,'Danh mục'!$A$39:$A$78,0))&amp;"","?"))</f>
      </c>
      <c r="F1532" s="16">
        <f>IF(D1532="","",IF(C1532="Thu",IFERROR(INDEX('Danh mục'!$B$26:$B$35,MATCH(D1532,'Danh mục'!$A$26:$A$35,0))&amp;"","?"),IFERROR(INDEX('Danh mục'!$D$39:$D$78,MATCH(D1532,'Danh mục'!$A$39:$A$78,0))&amp;"","?")))</f>
      </c>
      <c r="G1532" s="16">
        <f>IF(OR(D1532="",C1532&lt;&gt;"Chi"),"",IFERROR(INDEX('Danh mục'!$C$39:$C$78,MATCH(D1532,'Danh mục'!$A$39:$A$78,0))&amp;"",""))</f>
      </c>
      <c r="H1532" s="11"/>
      <c r="I1532" s="20"/>
      <c r="J1532" s="11"/>
      <c r="K1532" s="11"/>
      <c r="L1532" s="11"/>
    </row>
    <row r="1533" spans="1:12" x14ac:dyDescent="0.3">
      <c r="A1533" s="31"/>
      <c r="B1533" s="32">
        <f>IF(A1533="","",DATE(YEAR(A1533),MONTH(A1533),1))</f>
      </c>
      <c r="C1533" s="11"/>
      <c r="D1533" s="11"/>
      <c r="E1533" s="16">
        <f>IF(OR(D1533="",C1533&lt;&gt;"Chi"),"",IFERROR(INDEX('Danh mục'!$B$39:$B$78,MATCH(D1533,'Danh mục'!$A$39:$A$78,0))&amp;"","?"))</f>
      </c>
      <c r="F1533" s="16">
        <f>IF(D1533="","",IF(C1533="Thu",IFERROR(INDEX('Danh mục'!$B$26:$B$35,MATCH(D1533,'Danh mục'!$A$26:$A$35,0))&amp;"","?"),IFERROR(INDEX('Danh mục'!$D$39:$D$78,MATCH(D1533,'Danh mục'!$A$39:$A$78,0))&amp;"","?")))</f>
      </c>
      <c r="G1533" s="16">
        <f>IF(OR(D1533="",C1533&lt;&gt;"Chi"),"",IFERROR(INDEX('Danh mục'!$C$39:$C$78,MATCH(D1533,'Danh mục'!$A$39:$A$78,0))&amp;"",""))</f>
      </c>
      <c r="H1533" s="11"/>
      <c r="I1533" s="20"/>
      <c r="J1533" s="11"/>
      <c r="K1533" s="11"/>
      <c r="L1533" s="11"/>
    </row>
    <row r="1534" spans="1:12" x14ac:dyDescent="0.3">
      <c r="A1534" s="31"/>
      <c r="B1534" s="32">
        <f>IF(A1534="","",DATE(YEAR(A1534),MONTH(A1534),1))</f>
      </c>
      <c r="C1534" s="11"/>
      <c r="D1534" s="11"/>
      <c r="E1534" s="16">
        <f>IF(OR(D1534="",C1534&lt;&gt;"Chi"),"",IFERROR(INDEX('Danh mục'!$B$39:$B$78,MATCH(D1534,'Danh mục'!$A$39:$A$78,0))&amp;"","?"))</f>
      </c>
      <c r="F1534" s="16">
        <f>IF(D1534="","",IF(C1534="Thu",IFERROR(INDEX('Danh mục'!$B$26:$B$35,MATCH(D1534,'Danh mục'!$A$26:$A$35,0))&amp;"","?"),IFERROR(INDEX('Danh mục'!$D$39:$D$78,MATCH(D1534,'Danh mục'!$A$39:$A$78,0))&amp;"","?")))</f>
      </c>
      <c r="G1534" s="16">
        <f>IF(OR(D1534="",C1534&lt;&gt;"Chi"),"",IFERROR(INDEX('Danh mục'!$C$39:$C$78,MATCH(D1534,'Danh mục'!$A$39:$A$78,0))&amp;"",""))</f>
      </c>
      <c r="H1534" s="11"/>
      <c r="I1534" s="20"/>
      <c r="J1534" s="11"/>
      <c r="K1534" s="11"/>
      <c r="L1534" s="11"/>
    </row>
    <row r="1535" spans="1:12" x14ac:dyDescent="0.3">
      <c r="A1535" s="31"/>
      <c r="B1535" s="32">
        <f>IF(A1535="","",DATE(YEAR(A1535),MONTH(A1535),1))</f>
      </c>
      <c r="C1535" s="11"/>
      <c r="D1535" s="11"/>
      <c r="E1535" s="16">
        <f>IF(OR(D1535="",C1535&lt;&gt;"Chi"),"",IFERROR(INDEX('Danh mục'!$B$39:$B$78,MATCH(D1535,'Danh mục'!$A$39:$A$78,0))&amp;"","?"))</f>
      </c>
      <c r="F1535" s="16">
        <f>IF(D1535="","",IF(C1535="Thu",IFERROR(INDEX('Danh mục'!$B$26:$B$35,MATCH(D1535,'Danh mục'!$A$26:$A$35,0))&amp;"","?"),IFERROR(INDEX('Danh mục'!$D$39:$D$78,MATCH(D1535,'Danh mục'!$A$39:$A$78,0))&amp;"","?")))</f>
      </c>
      <c r="G1535" s="16">
        <f>IF(OR(D1535="",C1535&lt;&gt;"Chi"),"",IFERROR(INDEX('Danh mục'!$C$39:$C$78,MATCH(D1535,'Danh mục'!$A$39:$A$78,0))&amp;"",""))</f>
      </c>
      <c r="H1535" s="11"/>
      <c r="I1535" s="20"/>
      <c r="J1535" s="11"/>
      <c r="K1535" s="11"/>
      <c r="L1535" s="11"/>
    </row>
    <row r="1536" spans="1:12" x14ac:dyDescent="0.3">
      <c r="A1536" s="31"/>
      <c r="B1536" s="32">
        <f>IF(A1536="","",DATE(YEAR(A1536),MONTH(A1536),1))</f>
      </c>
      <c r="C1536" s="11"/>
      <c r="D1536" s="11"/>
      <c r="E1536" s="16">
        <f>IF(OR(D1536="",C1536&lt;&gt;"Chi"),"",IFERROR(INDEX('Danh mục'!$B$39:$B$78,MATCH(D1536,'Danh mục'!$A$39:$A$78,0))&amp;"","?"))</f>
      </c>
      <c r="F1536" s="16">
        <f>IF(D1536="","",IF(C1536="Thu",IFERROR(INDEX('Danh mục'!$B$26:$B$35,MATCH(D1536,'Danh mục'!$A$26:$A$35,0))&amp;"","?"),IFERROR(INDEX('Danh mục'!$D$39:$D$78,MATCH(D1536,'Danh mục'!$A$39:$A$78,0))&amp;"","?")))</f>
      </c>
      <c r="G1536" s="16">
        <f>IF(OR(D1536="",C1536&lt;&gt;"Chi"),"",IFERROR(INDEX('Danh mục'!$C$39:$C$78,MATCH(D1536,'Danh mục'!$A$39:$A$78,0))&amp;"",""))</f>
      </c>
      <c r="H1536" s="11"/>
      <c r="I1536" s="20"/>
      <c r="J1536" s="11"/>
      <c r="K1536" s="11"/>
      <c r="L1536" s="11"/>
    </row>
    <row r="1537" spans="1:12" x14ac:dyDescent="0.3">
      <c r="A1537" s="31"/>
      <c r="B1537" s="32">
        <f>IF(A1537="","",DATE(YEAR(A1537),MONTH(A1537),1))</f>
      </c>
      <c r="C1537" s="11"/>
      <c r="D1537" s="11"/>
      <c r="E1537" s="16">
        <f>IF(OR(D1537="",C1537&lt;&gt;"Chi"),"",IFERROR(INDEX('Danh mục'!$B$39:$B$78,MATCH(D1537,'Danh mục'!$A$39:$A$78,0))&amp;"","?"))</f>
      </c>
      <c r="F1537" s="16">
        <f>IF(D1537="","",IF(C1537="Thu",IFERROR(INDEX('Danh mục'!$B$26:$B$35,MATCH(D1537,'Danh mục'!$A$26:$A$35,0))&amp;"","?"),IFERROR(INDEX('Danh mục'!$D$39:$D$78,MATCH(D1537,'Danh mục'!$A$39:$A$78,0))&amp;"","?")))</f>
      </c>
      <c r="G1537" s="16">
        <f>IF(OR(D1537="",C1537&lt;&gt;"Chi"),"",IFERROR(INDEX('Danh mục'!$C$39:$C$78,MATCH(D1537,'Danh mục'!$A$39:$A$78,0))&amp;"",""))</f>
      </c>
      <c r="H1537" s="11"/>
      <c r="I1537" s="20"/>
      <c r="J1537" s="11"/>
      <c r="K1537" s="11"/>
      <c r="L1537" s="11"/>
    </row>
    <row r="1538" spans="1:12" x14ac:dyDescent="0.3">
      <c r="A1538" s="31"/>
      <c r="B1538" s="32">
        <f>IF(A1538="","",DATE(YEAR(A1538),MONTH(A1538),1))</f>
      </c>
      <c r="C1538" s="11"/>
      <c r="D1538" s="11"/>
      <c r="E1538" s="16">
        <f>IF(OR(D1538="",C1538&lt;&gt;"Chi"),"",IFERROR(INDEX('Danh mục'!$B$39:$B$78,MATCH(D1538,'Danh mục'!$A$39:$A$78,0))&amp;"","?"))</f>
      </c>
      <c r="F1538" s="16">
        <f>IF(D1538="","",IF(C1538="Thu",IFERROR(INDEX('Danh mục'!$B$26:$B$35,MATCH(D1538,'Danh mục'!$A$26:$A$35,0))&amp;"","?"),IFERROR(INDEX('Danh mục'!$D$39:$D$78,MATCH(D1538,'Danh mục'!$A$39:$A$78,0))&amp;"","?")))</f>
      </c>
      <c r="G1538" s="16">
        <f>IF(OR(D1538="",C1538&lt;&gt;"Chi"),"",IFERROR(INDEX('Danh mục'!$C$39:$C$78,MATCH(D1538,'Danh mục'!$A$39:$A$78,0))&amp;"",""))</f>
      </c>
      <c r="H1538" s="11"/>
      <c r="I1538" s="20"/>
      <c r="J1538" s="11"/>
      <c r="K1538" s="11"/>
      <c r="L1538" s="11"/>
    </row>
    <row r="1539" spans="1:12" x14ac:dyDescent="0.3">
      <c r="A1539" s="31"/>
      <c r="B1539" s="32">
        <f>IF(A1539="","",DATE(YEAR(A1539),MONTH(A1539),1))</f>
      </c>
      <c r="C1539" s="11"/>
      <c r="D1539" s="11"/>
      <c r="E1539" s="16">
        <f>IF(OR(D1539="",C1539&lt;&gt;"Chi"),"",IFERROR(INDEX('Danh mục'!$B$39:$B$78,MATCH(D1539,'Danh mục'!$A$39:$A$78,0))&amp;"","?"))</f>
      </c>
      <c r="F1539" s="16">
        <f>IF(D1539="","",IF(C1539="Thu",IFERROR(INDEX('Danh mục'!$B$26:$B$35,MATCH(D1539,'Danh mục'!$A$26:$A$35,0))&amp;"","?"),IFERROR(INDEX('Danh mục'!$D$39:$D$78,MATCH(D1539,'Danh mục'!$A$39:$A$78,0))&amp;"","?")))</f>
      </c>
      <c r="G1539" s="16">
        <f>IF(OR(D1539="",C1539&lt;&gt;"Chi"),"",IFERROR(INDEX('Danh mục'!$C$39:$C$78,MATCH(D1539,'Danh mục'!$A$39:$A$78,0))&amp;"",""))</f>
      </c>
      <c r="H1539" s="11"/>
      <c r="I1539" s="20"/>
      <c r="J1539" s="11"/>
      <c r="K1539" s="11"/>
      <c r="L1539" s="11"/>
    </row>
    <row r="1540" spans="1:12" x14ac:dyDescent="0.3">
      <c r="A1540" s="31"/>
      <c r="B1540" s="32">
        <f>IF(A1540="","",DATE(YEAR(A1540),MONTH(A1540),1))</f>
      </c>
      <c r="C1540" s="11"/>
      <c r="D1540" s="11"/>
      <c r="E1540" s="16">
        <f>IF(OR(D1540="",C1540&lt;&gt;"Chi"),"",IFERROR(INDEX('Danh mục'!$B$39:$B$78,MATCH(D1540,'Danh mục'!$A$39:$A$78,0))&amp;"","?"))</f>
      </c>
      <c r="F1540" s="16">
        <f>IF(D1540="","",IF(C1540="Thu",IFERROR(INDEX('Danh mục'!$B$26:$B$35,MATCH(D1540,'Danh mục'!$A$26:$A$35,0))&amp;"","?"),IFERROR(INDEX('Danh mục'!$D$39:$D$78,MATCH(D1540,'Danh mục'!$A$39:$A$78,0))&amp;"","?")))</f>
      </c>
      <c r="G1540" s="16">
        <f>IF(OR(D1540="",C1540&lt;&gt;"Chi"),"",IFERROR(INDEX('Danh mục'!$C$39:$C$78,MATCH(D1540,'Danh mục'!$A$39:$A$78,0))&amp;"",""))</f>
      </c>
      <c r="H1540" s="11"/>
      <c r="I1540" s="20"/>
      <c r="J1540" s="11"/>
      <c r="K1540" s="11"/>
      <c r="L1540" s="11"/>
    </row>
    <row r="1541" spans="1:12" x14ac:dyDescent="0.3">
      <c r="A1541" s="31"/>
      <c r="B1541" s="32">
        <f>IF(A1541="","",DATE(YEAR(A1541),MONTH(A1541),1))</f>
      </c>
      <c r="C1541" s="11"/>
      <c r="D1541" s="11"/>
      <c r="E1541" s="16">
        <f>IF(OR(D1541="",C1541&lt;&gt;"Chi"),"",IFERROR(INDEX('Danh mục'!$B$39:$B$78,MATCH(D1541,'Danh mục'!$A$39:$A$78,0))&amp;"","?"))</f>
      </c>
      <c r="F1541" s="16">
        <f>IF(D1541="","",IF(C1541="Thu",IFERROR(INDEX('Danh mục'!$B$26:$B$35,MATCH(D1541,'Danh mục'!$A$26:$A$35,0))&amp;"","?"),IFERROR(INDEX('Danh mục'!$D$39:$D$78,MATCH(D1541,'Danh mục'!$A$39:$A$78,0))&amp;"","?")))</f>
      </c>
      <c r="G1541" s="16">
        <f>IF(OR(D1541="",C1541&lt;&gt;"Chi"),"",IFERROR(INDEX('Danh mục'!$C$39:$C$78,MATCH(D1541,'Danh mục'!$A$39:$A$78,0))&amp;"",""))</f>
      </c>
      <c r="H1541" s="11"/>
      <c r="I1541" s="20"/>
      <c r="J1541" s="11"/>
      <c r="K1541" s="11"/>
      <c r="L1541" s="11"/>
    </row>
    <row r="1542" spans="1:12" x14ac:dyDescent="0.3">
      <c r="A1542" s="31"/>
      <c r="B1542" s="32">
        <f>IF(A1542="","",DATE(YEAR(A1542),MONTH(A1542),1))</f>
      </c>
      <c r="C1542" s="11"/>
      <c r="D1542" s="11"/>
      <c r="E1542" s="16">
        <f>IF(OR(D1542="",C1542&lt;&gt;"Chi"),"",IFERROR(INDEX('Danh mục'!$B$39:$B$78,MATCH(D1542,'Danh mục'!$A$39:$A$78,0))&amp;"","?"))</f>
      </c>
      <c r="F1542" s="16">
        <f>IF(D1542="","",IF(C1542="Thu",IFERROR(INDEX('Danh mục'!$B$26:$B$35,MATCH(D1542,'Danh mục'!$A$26:$A$35,0))&amp;"","?"),IFERROR(INDEX('Danh mục'!$D$39:$D$78,MATCH(D1542,'Danh mục'!$A$39:$A$78,0))&amp;"","?")))</f>
      </c>
      <c r="G1542" s="16">
        <f>IF(OR(D1542="",C1542&lt;&gt;"Chi"),"",IFERROR(INDEX('Danh mục'!$C$39:$C$78,MATCH(D1542,'Danh mục'!$A$39:$A$78,0))&amp;"",""))</f>
      </c>
      <c r="H1542" s="11"/>
      <c r="I1542" s="20"/>
      <c r="J1542" s="11"/>
      <c r="K1542" s="11"/>
      <c r="L1542" s="11"/>
    </row>
    <row r="1543" spans="1:12" x14ac:dyDescent="0.3">
      <c r="A1543" s="31"/>
      <c r="B1543" s="32">
        <f>IF(A1543="","",DATE(YEAR(A1543),MONTH(A1543),1))</f>
      </c>
      <c r="C1543" s="11"/>
      <c r="D1543" s="11"/>
      <c r="E1543" s="16">
        <f>IF(OR(D1543="",C1543&lt;&gt;"Chi"),"",IFERROR(INDEX('Danh mục'!$B$39:$B$78,MATCH(D1543,'Danh mục'!$A$39:$A$78,0))&amp;"","?"))</f>
      </c>
      <c r="F1543" s="16">
        <f>IF(D1543="","",IF(C1543="Thu",IFERROR(INDEX('Danh mục'!$B$26:$B$35,MATCH(D1543,'Danh mục'!$A$26:$A$35,0))&amp;"","?"),IFERROR(INDEX('Danh mục'!$D$39:$D$78,MATCH(D1543,'Danh mục'!$A$39:$A$78,0))&amp;"","?")))</f>
      </c>
      <c r="G1543" s="16">
        <f>IF(OR(D1543="",C1543&lt;&gt;"Chi"),"",IFERROR(INDEX('Danh mục'!$C$39:$C$78,MATCH(D1543,'Danh mục'!$A$39:$A$78,0))&amp;"",""))</f>
      </c>
      <c r="H1543" s="11"/>
      <c r="I1543" s="20"/>
      <c r="J1543" s="11"/>
      <c r="K1543" s="11"/>
      <c r="L1543" s="11"/>
    </row>
    <row r="1544" spans="1:12" x14ac:dyDescent="0.3">
      <c r="A1544" s="31"/>
      <c r="B1544" s="32">
        <f>IF(A1544="","",DATE(YEAR(A1544),MONTH(A1544),1))</f>
      </c>
      <c r="C1544" s="11"/>
      <c r="D1544" s="11"/>
      <c r="E1544" s="16">
        <f>IF(OR(D1544="",C1544&lt;&gt;"Chi"),"",IFERROR(INDEX('Danh mục'!$B$39:$B$78,MATCH(D1544,'Danh mục'!$A$39:$A$78,0))&amp;"","?"))</f>
      </c>
      <c r="F1544" s="16">
        <f>IF(D1544="","",IF(C1544="Thu",IFERROR(INDEX('Danh mục'!$B$26:$B$35,MATCH(D1544,'Danh mục'!$A$26:$A$35,0))&amp;"","?"),IFERROR(INDEX('Danh mục'!$D$39:$D$78,MATCH(D1544,'Danh mục'!$A$39:$A$78,0))&amp;"","?")))</f>
      </c>
      <c r="G1544" s="16">
        <f>IF(OR(D1544="",C1544&lt;&gt;"Chi"),"",IFERROR(INDEX('Danh mục'!$C$39:$C$78,MATCH(D1544,'Danh mục'!$A$39:$A$78,0))&amp;"",""))</f>
      </c>
      <c r="H1544" s="11"/>
      <c r="I1544" s="20"/>
      <c r="J1544" s="11"/>
      <c r="K1544" s="11"/>
      <c r="L1544" s="11"/>
    </row>
    <row r="1545" spans="1:12" x14ac:dyDescent="0.3">
      <c r="A1545" s="31"/>
      <c r="B1545" s="32">
        <f>IF(A1545="","",DATE(YEAR(A1545),MONTH(A1545),1))</f>
      </c>
      <c r="C1545" s="11"/>
      <c r="D1545" s="11"/>
      <c r="E1545" s="16">
        <f>IF(OR(D1545="",C1545&lt;&gt;"Chi"),"",IFERROR(INDEX('Danh mục'!$B$39:$B$78,MATCH(D1545,'Danh mục'!$A$39:$A$78,0))&amp;"","?"))</f>
      </c>
      <c r="F1545" s="16">
        <f>IF(D1545="","",IF(C1545="Thu",IFERROR(INDEX('Danh mục'!$B$26:$B$35,MATCH(D1545,'Danh mục'!$A$26:$A$35,0))&amp;"","?"),IFERROR(INDEX('Danh mục'!$D$39:$D$78,MATCH(D1545,'Danh mục'!$A$39:$A$78,0))&amp;"","?")))</f>
      </c>
      <c r="G1545" s="16">
        <f>IF(OR(D1545="",C1545&lt;&gt;"Chi"),"",IFERROR(INDEX('Danh mục'!$C$39:$C$78,MATCH(D1545,'Danh mục'!$A$39:$A$78,0))&amp;"",""))</f>
      </c>
      <c r="H1545" s="11"/>
      <c r="I1545" s="20"/>
      <c r="J1545" s="11"/>
      <c r="K1545" s="11"/>
      <c r="L1545" s="11"/>
    </row>
    <row r="1546" spans="1:12" x14ac:dyDescent="0.3">
      <c r="A1546" s="31"/>
      <c r="B1546" s="32">
        <f>IF(A1546="","",DATE(YEAR(A1546),MONTH(A1546),1))</f>
      </c>
      <c r="C1546" s="11"/>
      <c r="D1546" s="11"/>
      <c r="E1546" s="16">
        <f>IF(OR(D1546="",C1546&lt;&gt;"Chi"),"",IFERROR(INDEX('Danh mục'!$B$39:$B$78,MATCH(D1546,'Danh mục'!$A$39:$A$78,0))&amp;"","?"))</f>
      </c>
      <c r="F1546" s="16">
        <f>IF(D1546="","",IF(C1546="Thu",IFERROR(INDEX('Danh mục'!$B$26:$B$35,MATCH(D1546,'Danh mục'!$A$26:$A$35,0))&amp;"","?"),IFERROR(INDEX('Danh mục'!$D$39:$D$78,MATCH(D1546,'Danh mục'!$A$39:$A$78,0))&amp;"","?")))</f>
      </c>
      <c r="G1546" s="16">
        <f>IF(OR(D1546="",C1546&lt;&gt;"Chi"),"",IFERROR(INDEX('Danh mục'!$C$39:$C$78,MATCH(D1546,'Danh mục'!$A$39:$A$78,0))&amp;"",""))</f>
      </c>
      <c r="H1546" s="11"/>
      <c r="I1546" s="20"/>
      <c r="J1546" s="11"/>
      <c r="K1546" s="11"/>
      <c r="L1546" s="11"/>
    </row>
    <row r="1547" spans="1:12" x14ac:dyDescent="0.3">
      <c r="A1547" s="31"/>
      <c r="B1547" s="32">
        <f>IF(A1547="","",DATE(YEAR(A1547),MONTH(A1547),1))</f>
      </c>
      <c r="C1547" s="11"/>
      <c r="D1547" s="11"/>
      <c r="E1547" s="16">
        <f>IF(OR(D1547="",C1547&lt;&gt;"Chi"),"",IFERROR(INDEX('Danh mục'!$B$39:$B$78,MATCH(D1547,'Danh mục'!$A$39:$A$78,0))&amp;"","?"))</f>
      </c>
      <c r="F1547" s="16">
        <f>IF(D1547="","",IF(C1547="Thu",IFERROR(INDEX('Danh mục'!$B$26:$B$35,MATCH(D1547,'Danh mục'!$A$26:$A$35,0))&amp;"","?"),IFERROR(INDEX('Danh mục'!$D$39:$D$78,MATCH(D1547,'Danh mục'!$A$39:$A$78,0))&amp;"","?")))</f>
      </c>
      <c r="G1547" s="16">
        <f>IF(OR(D1547="",C1547&lt;&gt;"Chi"),"",IFERROR(INDEX('Danh mục'!$C$39:$C$78,MATCH(D1547,'Danh mục'!$A$39:$A$78,0))&amp;"",""))</f>
      </c>
      <c r="H1547" s="11"/>
      <c r="I1547" s="20"/>
      <c r="J1547" s="11"/>
      <c r="K1547" s="11"/>
      <c r="L1547" s="11"/>
    </row>
    <row r="1548" spans="1:12" x14ac:dyDescent="0.3">
      <c r="A1548" s="31"/>
      <c r="B1548" s="32">
        <f>IF(A1548="","",DATE(YEAR(A1548),MONTH(A1548),1))</f>
      </c>
      <c r="C1548" s="11"/>
      <c r="D1548" s="11"/>
      <c r="E1548" s="16">
        <f>IF(OR(D1548="",C1548&lt;&gt;"Chi"),"",IFERROR(INDEX('Danh mục'!$B$39:$B$78,MATCH(D1548,'Danh mục'!$A$39:$A$78,0))&amp;"","?"))</f>
      </c>
      <c r="F1548" s="16">
        <f>IF(D1548="","",IF(C1548="Thu",IFERROR(INDEX('Danh mục'!$B$26:$B$35,MATCH(D1548,'Danh mục'!$A$26:$A$35,0))&amp;"","?"),IFERROR(INDEX('Danh mục'!$D$39:$D$78,MATCH(D1548,'Danh mục'!$A$39:$A$78,0))&amp;"","?")))</f>
      </c>
      <c r="G1548" s="16">
        <f>IF(OR(D1548="",C1548&lt;&gt;"Chi"),"",IFERROR(INDEX('Danh mục'!$C$39:$C$78,MATCH(D1548,'Danh mục'!$A$39:$A$78,0))&amp;"",""))</f>
      </c>
      <c r="H1548" s="11"/>
      <c r="I1548" s="20"/>
      <c r="J1548" s="11"/>
      <c r="K1548" s="11"/>
      <c r="L1548" s="11"/>
    </row>
    <row r="1549" spans="1:12" x14ac:dyDescent="0.3">
      <c r="A1549" s="31"/>
      <c r="B1549" s="32">
        <f>IF(A1549="","",DATE(YEAR(A1549),MONTH(A1549),1))</f>
      </c>
      <c r="C1549" s="11"/>
      <c r="D1549" s="11"/>
      <c r="E1549" s="16">
        <f>IF(OR(D1549="",C1549&lt;&gt;"Chi"),"",IFERROR(INDEX('Danh mục'!$B$39:$B$78,MATCH(D1549,'Danh mục'!$A$39:$A$78,0))&amp;"","?"))</f>
      </c>
      <c r="F1549" s="16">
        <f>IF(D1549="","",IF(C1549="Thu",IFERROR(INDEX('Danh mục'!$B$26:$B$35,MATCH(D1549,'Danh mục'!$A$26:$A$35,0))&amp;"","?"),IFERROR(INDEX('Danh mục'!$D$39:$D$78,MATCH(D1549,'Danh mục'!$A$39:$A$78,0))&amp;"","?")))</f>
      </c>
      <c r="G1549" s="16">
        <f>IF(OR(D1549="",C1549&lt;&gt;"Chi"),"",IFERROR(INDEX('Danh mục'!$C$39:$C$78,MATCH(D1549,'Danh mục'!$A$39:$A$78,0))&amp;"",""))</f>
      </c>
      <c r="H1549" s="11"/>
      <c r="I1549" s="20"/>
      <c r="J1549" s="11"/>
      <c r="K1549" s="11"/>
      <c r="L1549" s="11"/>
    </row>
    <row r="1550" spans="1:12" x14ac:dyDescent="0.3">
      <c r="A1550" s="31"/>
      <c r="B1550" s="32">
        <f>IF(A1550="","",DATE(YEAR(A1550),MONTH(A1550),1))</f>
      </c>
      <c r="C1550" s="11"/>
      <c r="D1550" s="11"/>
      <c r="E1550" s="16">
        <f>IF(OR(D1550="",C1550&lt;&gt;"Chi"),"",IFERROR(INDEX('Danh mục'!$B$39:$B$78,MATCH(D1550,'Danh mục'!$A$39:$A$78,0))&amp;"","?"))</f>
      </c>
      <c r="F1550" s="16">
        <f>IF(D1550="","",IF(C1550="Thu",IFERROR(INDEX('Danh mục'!$B$26:$B$35,MATCH(D1550,'Danh mục'!$A$26:$A$35,0))&amp;"","?"),IFERROR(INDEX('Danh mục'!$D$39:$D$78,MATCH(D1550,'Danh mục'!$A$39:$A$78,0))&amp;"","?")))</f>
      </c>
      <c r="G1550" s="16">
        <f>IF(OR(D1550="",C1550&lt;&gt;"Chi"),"",IFERROR(INDEX('Danh mục'!$C$39:$C$78,MATCH(D1550,'Danh mục'!$A$39:$A$78,0))&amp;"",""))</f>
      </c>
      <c r="H1550" s="11"/>
      <c r="I1550" s="20"/>
      <c r="J1550" s="11"/>
      <c r="K1550" s="11"/>
      <c r="L1550" s="11"/>
    </row>
    <row r="1551" spans="1:12" x14ac:dyDescent="0.3">
      <c r="A1551" s="31"/>
      <c r="B1551" s="32">
        <f>IF(A1551="","",DATE(YEAR(A1551),MONTH(A1551),1))</f>
      </c>
      <c r="C1551" s="11"/>
      <c r="D1551" s="11"/>
      <c r="E1551" s="16">
        <f>IF(OR(D1551="",C1551&lt;&gt;"Chi"),"",IFERROR(INDEX('Danh mục'!$B$39:$B$78,MATCH(D1551,'Danh mục'!$A$39:$A$78,0))&amp;"","?"))</f>
      </c>
      <c r="F1551" s="16">
        <f>IF(D1551="","",IF(C1551="Thu",IFERROR(INDEX('Danh mục'!$B$26:$B$35,MATCH(D1551,'Danh mục'!$A$26:$A$35,0))&amp;"","?"),IFERROR(INDEX('Danh mục'!$D$39:$D$78,MATCH(D1551,'Danh mục'!$A$39:$A$78,0))&amp;"","?")))</f>
      </c>
      <c r="G1551" s="16">
        <f>IF(OR(D1551="",C1551&lt;&gt;"Chi"),"",IFERROR(INDEX('Danh mục'!$C$39:$C$78,MATCH(D1551,'Danh mục'!$A$39:$A$78,0))&amp;"",""))</f>
      </c>
      <c r="H1551" s="11"/>
      <c r="I1551" s="20"/>
      <c r="J1551" s="11"/>
      <c r="K1551" s="11"/>
      <c r="L1551" s="11"/>
    </row>
    <row r="1552" spans="1:12" x14ac:dyDescent="0.3">
      <c r="A1552" s="31"/>
      <c r="B1552" s="32">
        <f>IF(A1552="","",DATE(YEAR(A1552),MONTH(A1552),1))</f>
      </c>
      <c r="C1552" s="11"/>
      <c r="D1552" s="11"/>
      <c r="E1552" s="16">
        <f>IF(OR(D1552="",C1552&lt;&gt;"Chi"),"",IFERROR(INDEX('Danh mục'!$B$39:$B$78,MATCH(D1552,'Danh mục'!$A$39:$A$78,0))&amp;"","?"))</f>
      </c>
      <c r="F1552" s="16">
        <f>IF(D1552="","",IF(C1552="Thu",IFERROR(INDEX('Danh mục'!$B$26:$B$35,MATCH(D1552,'Danh mục'!$A$26:$A$35,0))&amp;"","?"),IFERROR(INDEX('Danh mục'!$D$39:$D$78,MATCH(D1552,'Danh mục'!$A$39:$A$78,0))&amp;"","?")))</f>
      </c>
      <c r="G1552" s="16">
        <f>IF(OR(D1552="",C1552&lt;&gt;"Chi"),"",IFERROR(INDEX('Danh mục'!$C$39:$C$78,MATCH(D1552,'Danh mục'!$A$39:$A$78,0))&amp;"",""))</f>
      </c>
      <c r="H1552" s="11"/>
      <c r="I1552" s="20"/>
      <c r="J1552" s="11"/>
      <c r="K1552" s="11"/>
      <c r="L1552" s="11"/>
    </row>
    <row r="1553" spans="1:12" x14ac:dyDescent="0.3">
      <c r="A1553" s="31"/>
      <c r="B1553" s="32">
        <f>IF(A1553="","",DATE(YEAR(A1553),MONTH(A1553),1))</f>
      </c>
      <c r="C1553" s="11"/>
      <c r="D1553" s="11"/>
      <c r="E1553" s="16">
        <f>IF(OR(D1553="",C1553&lt;&gt;"Chi"),"",IFERROR(INDEX('Danh mục'!$B$39:$B$78,MATCH(D1553,'Danh mục'!$A$39:$A$78,0))&amp;"","?"))</f>
      </c>
      <c r="F1553" s="16">
        <f>IF(D1553="","",IF(C1553="Thu",IFERROR(INDEX('Danh mục'!$B$26:$B$35,MATCH(D1553,'Danh mục'!$A$26:$A$35,0))&amp;"","?"),IFERROR(INDEX('Danh mục'!$D$39:$D$78,MATCH(D1553,'Danh mục'!$A$39:$A$78,0))&amp;"","?")))</f>
      </c>
      <c r="G1553" s="16">
        <f>IF(OR(D1553="",C1553&lt;&gt;"Chi"),"",IFERROR(INDEX('Danh mục'!$C$39:$C$78,MATCH(D1553,'Danh mục'!$A$39:$A$78,0))&amp;"",""))</f>
      </c>
      <c r="H1553" s="11"/>
      <c r="I1553" s="20"/>
      <c r="J1553" s="11"/>
      <c r="K1553" s="11"/>
      <c r="L1553" s="11"/>
    </row>
    <row r="1554" spans="1:12" x14ac:dyDescent="0.3">
      <c r="A1554" s="31"/>
      <c r="B1554" s="32">
        <f>IF(A1554="","",DATE(YEAR(A1554),MONTH(A1554),1))</f>
      </c>
      <c r="C1554" s="11"/>
      <c r="D1554" s="11"/>
      <c r="E1554" s="16">
        <f>IF(OR(D1554="",C1554&lt;&gt;"Chi"),"",IFERROR(INDEX('Danh mục'!$B$39:$B$78,MATCH(D1554,'Danh mục'!$A$39:$A$78,0))&amp;"","?"))</f>
      </c>
      <c r="F1554" s="16">
        <f>IF(D1554="","",IF(C1554="Thu",IFERROR(INDEX('Danh mục'!$B$26:$B$35,MATCH(D1554,'Danh mục'!$A$26:$A$35,0))&amp;"","?"),IFERROR(INDEX('Danh mục'!$D$39:$D$78,MATCH(D1554,'Danh mục'!$A$39:$A$78,0))&amp;"","?")))</f>
      </c>
      <c r="G1554" s="16">
        <f>IF(OR(D1554="",C1554&lt;&gt;"Chi"),"",IFERROR(INDEX('Danh mục'!$C$39:$C$78,MATCH(D1554,'Danh mục'!$A$39:$A$78,0))&amp;"",""))</f>
      </c>
      <c r="H1554" s="11"/>
      <c r="I1554" s="20"/>
      <c r="J1554" s="11"/>
      <c r="K1554" s="11"/>
      <c r="L1554" s="11"/>
    </row>
    <row r="1555" spans="1:12" x14ac:dyDescent="0.3">
      <c r="A1555" s="31"/>
      <c r="B1555" s="32">
        <f>IF(A1555="","",DATE(YEAR(A1555),MONTH(A1555),1))</f>
      </c>
      <c r="C1555" s="11"/>
      <c r="D1555" s="11"/>
      <c r="E1555" s="16">
        <f>IF(OR(D1555="",C1555&lt;&gt;"Chi"),"",IFERROR(INDEX('Danh mục'!$B$39:$B$78,MATCH(D1555,'Danh mục'!$A$39:$A$78,0))&amp;"","?"))</f>
      </c>
      <c r="F1555" s="16">
        <f>IF(D1555="","",IF(C1555="Thu",IFERROR(INDEX('Danh mục'!$B$26:$B$35,MATCH(D1555,'Danh mục'!$A$26:$A$35,0))&amp;"","?"),IFERROR(INDEX('Danh mục'!$D$39:$D$78,MATCH(D1555,'Danh mục'!$A$39:$A$78,0))&amp;"","?")))</f>
      </c>
      <c r="G1555" s="16">
        <f>IF(OR(D1555="",C1555&lt;&gt;"Chi"),"",IFERROR(INDEX('Danh mục'!$C$39:$C$78,MATCH(D1555,'Danh mục'!$A$39:$A$78,0))&amp;"",""))</f>
      </c>
      <c r="H1555" s="11"/>
      <c r="I1555" s="20"/>
      <c r="J1555" s="11"/>
      <c r="K1555" s="11"/>
      <c r="L1555" s="11"/>
    </row>
    <row r="1556" spans="1:12" x14ac:dyDescent="0.3">
      <c r="A1556" s="31"/>
      <c r="B1556" s="32">
        <f>IF(A1556="","",DATE(YEAR(A1556),MONTH(A1556),1))</f>
      </c>
      <c r="C1556" s="11"/>
      <c r="D1556" s="11"/>
      <c r="E1556" s="16">
        <f>IF(OR(D1556="",C1556&lt;&gt;"Chi"),"",IFERROR(INDEX('Danh mục'!$B$39:$B$78,MATCH(D1556,'Danh mục'!$A$39:$A$78,0))&amp;"","?"))</f>
      </c>
      <c r="F1556" s="16">
        <f>IF(D1556="","",IF(C1556="Thu",IFERROR(INDEX('Danh mục'!$B$26:$B$35,MATCH(D1556,'Danh mục'!$A$26:$A$35,0))&amp;"","?"),IFERROR(INDEX('Danh mục'!$D$39:$D$78,MATCH(D1556,'Danh mục'!$A$39:$A$78,0))&amp;"","?")))</f>
      </c>
      <c r="G1556" s="16">
        <f>IF(OR(D1556="",C1556&lt;&gt;"Chi"),"",IFERROR(INDEX('Danh mục'!$C$39:$C$78,MATCH(D1556,'Danh mục'!$A$39:$A$78,0))&amp;"",""))</f>
      </c>
      <c r="H1556" s="11"/>
      <c r="I1556" s="20"/>
      <c r="J1556" s="11"/>
      <c r="K1556" s="11"/>
      <c r="L1556" s="11"/>
    </row>
    <row r="1557" spans="1:12" x14ac:dyDescent="0.3">
      <c r="A1557" s="31"/>
      <c r="B1557" s="32">
        <f>IF(A1557="","",DATE(YEAR(A1557),MONTH(A1557),1))</f>
      </c>
      <c r="C1557" s="11"/>
      <c r="D1557" s="11"/>
      <c r="E1557" s="16">
        <f>IF(OR(D1557="",C1557&lt;&gt;"Chi"),"",IFERROR(INDEX('Danh mục'!$B$39:$B$78,MATCH(D1557,'Danh mục'!$A$39:$A$78,0))&amp;"","?"))</f>
      </c>
      <c r="F1557" s="16">
        <f>IF(D1557="","",IF(C1557="Thu",IFERROR(INDEX('Danh mục'!$B$26:$B$35,MATCH(D1557,'Danh mục'!$A$26:$A$35,0))&amp;"","?"),IFERROR(INDEX('Danh mục'!$D$39:$D$78,MATCH(D1557,'Danh mục'!$A$39:$A$78,0))&amp;"","?")))</f>
      </c>
      <c r="G1557" s="16">
        <f>IF(OR(D1557="",C1557&lt;&gt;"Chi"),"",IFERROR(INDEX('Danh mục'!$C$39:$C$78,MATCH(D1557,'Danh mục'!$A$39:$A$78,0))&amp;"",""))</f>
      </c>
      <c r="H1557" s="11"/>
      <c r="I1557" s="20"/>
      <c r="J1557" s="11"/>
      <c r="K1557" s="11"/>
      <c r="L1557" s="11"/>
    </row>
    <row r="1558" spans="1:12" x14ac:dyDescent="0.3">
      <c r="A1558" s="31"/>
      <c r="B1558" s="32">
        <f>IF(A1558="","",DATE(YEAR(A1558),MONTH(A1558),1))</f>
      </c>
      <c r="C1558" s="11"/>
      <c r="D1558" s="11"/>
      <c r="E1558" s="16">
        <f>IF(OR(D1558="",C1558&lt;&gt;"Chi"),"",IFERROR(INDEX('Danh mục'!$B$39:$B$78,MATCH(D1558,'Danh mục'!$A$39:$A$78,0))&amp;"","?"))</f>
      </c>
      <c r="F1558" s="16">
        <f>IF(D1558="","",IF(C1558="Thu",IFERROR(INDEX('Danh mục'!$B$26:$B$35,MATCH(D1558,'Danh mục'!$A$26:$A$35,0))&amp;"","?"),IFERROR(INDEX('Danh mục'!$D$39:$D$78,MATCH(D1558,'Danh mục'!$A$39:$A$78,0))&amp;"","?")))</f>
      </c>
      <c r="G1558" s="16">
        <f>IF(OR(D1558="",C1558&lt;&gt;"Chi"),"",IFERROR(INDEX('Danh mục'!$C$39:$C$78,MATCH(D1558,'Danh mục'!$A$39:$A$78,0))&amp;"",""))</f>
      </c>
      <c r="H1558" s="11"/>
      <c r="I1558" s="20"/>
      <c r="J1558" s="11"/>
      <c r="K1558" s="11"/>
      <c r="L1558" s="11"/>
    </row>
    <row r="1559" spans="1:12" x14ac:dyDescent="0.3">
      <c r="A1559" s="31"/>
      <c r="B1559" s="32">
        <f>IF(A1559="","",DATE(YEAR(A1559),MONTH(A1559),1))</f>
      </c>
      <c r="C1559" s="11"/>
      <c r="D1559" s="11"/>
      <c r="E1559" s="16">
        <f>IF(OR(D1559="",C1559&lt;&gt;"Chi"),"",IFERROR(INDEX('Danh mục'!$B$39:$B$78,MATCH(D1559,'Danh mục'!$A$39:$A$78,0))&amp;"","?"))</f>
      </c>
      <c r="F1559" s="16">
        <f>IF(D1559="","",IF(C1559="Thu",IFERROR(INDEX('Danh mục'!$B$26:$B$35,MATCH(D1559,'Danh mục'!$A$26:$A$35,0))&amp;"","?"),IFERROR(INDEX('Danh mục'!$D$39:$D$78,MATCH(D1559,'Danh mục'!$A$39:$A$78,0))&amp;"","?")))</f>
      </c>
      <c r="G1559" s="16">
        <f>IF(OR(D1559="",C1559&lt;&gt;"Chi"),"",IFERROR(INDEX('Danh mục'!$C$39:$C$78,MATCH(D1559,'Danh mục'!$A$39:$A$78,0))&amp;"",""))</f>
      </c>
      <c r="H1559" s="11"/>
      <c r="I1559" s="20"/>
      <c r="J1559" s="11"/>
      <c r="K1559" s="11"/>
      <c r="L1559" s="11"/>
    </row>
    <row r="1560" spans="1:12" x14ac:dyDescent="0.3">
      <c r="A1560" s="31"/>
      <c r="B1560" s="32">
        <f>IF(A1560="","",DATE(YEAR(A1560),MONTH(A1560),1))</f>
      </c>
      <c r="C1560" s="11"/>
      <c r="D1560" s="11"/>
      <c r="E1560" s="16">
        <f>IF(OR(D1560="",C1560&lt;&gt;"Chi"),"",IFERROR(INDEX('Danh mục'!$B$39:$B$78,MATCH(D1560,'Danh mục'!$A$39:$A$78,0))&amp;"","?"))</f>
      </c>
      <c r="F1560" s="16">
        <f>IF(D1560="","",IF(C1560="Thu",IFERROR(INDEX('Danh mục'!$B$26:$B$35,MATCH(D1560,'Danh mục'!$A$26:$A$35,0))&amp;"","?"),IFERROR(INDEX('Danh mục'!$D$39:$D$78,MATCH(D1560,'Danh mục'!$A$39:$A$78,0))&amp;"","?")))</f>
      </c>
      <c r="G1560" s="16">
        <f>IF(OR(D1560="",C1560&lt;&gt;"Chi"),"",IFERROR(INDEX('Danh mục'!$C$39:$C$78,MATCH(D1560,'Danh mục'!$A$39:$A$78,0))&amp;"",""))</f>
      </c>
      <c r="H1560" s="11"/>
      <c r="I1560" s="20"/>
      <c r="J1560" s="11"/>
      <c r="K1560" s="11"/>
      <c r="L1560" s="11"/>
    </row>
    <row r="1561" spans="1:12" x14ac:dyDescent="0.3">
      <c r="A1561" s="31"/>
      <c r="B1561" s="32">
        <f>IF(A1561="","",DATE(YEAR(A1561),MONTH(A1561),1))</f>
      </c>
      <c r="C1561" s="11"/>
      <c r="D1561" s="11"/>
      <c r="E1561" s="16">
        <f>IF(OR(D1561="",C1561&lt;&gt;"Chi"),"",IFERROR(INDEX('Danh mục'!$B$39:$B$78,MATCH(D1561,'Danh mục'!$A$39:$A$78,0))&amp;"","?"))</f>
      </c>
      <c r="F1561" s="16">
        <f>IF(D1561="","",IF(C1561="Thu",IFERROR(INDEX('Danh mục'!$B$26:$B$35,MATCH(D1561,'Danh mục'!$A$26:$A$35,0))&amp;"","?"),IFERROR(INDEX('Danh mục'!$D$39:$D$78,MATCH(D1561,'Danh mục'!$A$39:$A$78,0))&amp;"","?")))</f>
      </c>
      <c r="G1561" s="16">
        <f>IF(OR(D1561="",C1561&lt;&gt;"Chi"),"",IFERROR(INDEX('Danh mục'!$C$39:$C$78,MATCH(D1561,'Danh mục'!$A$39:$A$78,0))&amp;"",""))</f>
      </c>
      <c r="H1561" s="11"/>
      <c r="I1561" s="20"/>
      <c r="J1561" s="11"/>
      <c r="K1561" s="11"/>
      <c r="L1561" s="11"/>
    </row>
    <row r="1562" spans="1:12" x14ac:dyDescent="0.3">
      <c r="A1562" s="31"/>
      <c r="B1562" s="32">
        <f>IF(A1562="","",DATE(YEAR(A1562),MONTH(A1562),1))</f>
      </c>
      <c r="C1562" s="11"/>
      <c r="D1562" s="11"/>
      <c r="E1562" s="16">
        <f>IF(OR(D1562="",C1562&lt;&gt;"Chi"),"",IFERROR(INDEX('Danh mục'!$B$39:$B$78,MATCH(D1562,'Danh mục'!$A$39:$A$78,0))&amp;"","?"))</f>
      </c>
      <c r="F1562" s="16">
        <f>IF(D1562="","",IF(C1562="Thu",IFERROR(INDEX('Danh mục'!$B$26:$B$35,MATCH(D1562,'Danh mục'!$A$26:$A$35,0))&amp;"","?"),IFERROR(INDEX('Danh mục'!$D$39:$D$78,MATCH(D1562,'Danh mục'!$A$39:$A$78,0))&amp;"","?")))</f>
      </c>
      <c r="G1562" s="16">
        <f>IF(OR(D1562="",C1562&lt;&gt;"Chi"),"",IFERROR(INDEX('Danh mục'!$C$39:$C$78,MATCH(D1562,'Danh mục'!$A$39:$A$78,0))&amp;"",""))</f>
      </c>
      <c r="H1562" s="11"/>
      <c r="I1562" s="20"/>
      <c r="J1562" s="11"/>
      <c r="K1562" s="11"/>
      <c r="L1562" s="11"/>
    </row>
    <row r="1563" spans="1:12" x14ac:dyDescent="0.3">
      <c r="A1563" s="31"/>
      <c r="B1563" s="32">
        <f>IF(A1563="","",DATE(YEAR(A1563),MONTH(A1563),1))</f>
      </c>
      <c r="C1563" s="11"/>
      <c r="D1563" s="11"/>
      <c r="E1563" s="16">
        <f>IF(OR(D1563="",C1563&lt;&gt;"Chi"),"",IFERROR(INDEX('Danh mục'!$B$39:$B$78,MATCH(D1563,'Danh mục'!$A$39:$A$78,0))&amp;"","?"))</f>
      </c>
      <c r="F1563" s="16">
        <f>IF(D1563="","",IF(C1563="Thu",IFERROR(INDEX('Danh mục'!$B$26:$B$35,MATCH(D1563,'Danh mục'!$A$26:$A$35,0))&amp;"","?"),IFERROR(INDEX('Danh mục'!$D$39:$D$78,MATCH(D1563,'Danh mục'!$A$39:$A$78,0))&amp;"","?")))</f>
      </c>
      <c r="G1563" s="16">
        <f>IF(OR(D1563="",C1563&lt;&gt;"Chi"),"",IFERROR(INDEX('Danh mục'!$C$39:$C$78,MATCH(D1563,'Danh mục'!$A$39:$A$78,0))&amp;"",""))</f>
      </c>
      <c r="H1563" s="11"/>
      <c r="I1563" s="20"/>
      <c r="J1563" s="11"/>
      <c r="K1563" s="11"/>
      <c r="L1563" s="11"/>
    </row>
    <row r="1564" spans="1:12" x14ac:dyDescent="0.3">
      <c r="A1564" s="31"/>
      <c r="B1564" s="32">
        <f>IF(A1564="","",DATE(YEAR(A1564),MONTH(A1564),1))</f>
      </c>
      <c r="C1564" s="11"/>
      <c r="D1564" s="11"/>
      <c r="E1564" s="16">
        <f>IF(OR(D1564="",C1564&lt;&gt;"Chi"),"",IFERROR(INDEX('Danh mục'!$B$39:$B$78,MATCH(D1564,'Danh mục'!$A$39:$A$78,0))&amp;"","?"))</f>
      </c>
      <c r="F1564" s="16">
        <f>IF(D1564="","",IF(C1564="Thu",IFERROR(INDEX('Danh mục'!$B$26:$B$35,MATCH(D1564,'Danh mục'!$A$26:$A$35,0))&amp;"","?"),IFERROR(INDEX('Danh mục'!$D$39:$D$78,MATCH(D1564,'Danh mục'!$A$39:$A$78,0))&amp;"","?")))</f>
      </c>
      <c r="G1564" s="16">
        <f>IF(OR(D1564="",C1564&lt;&gt;"Chi"),"",IFERROR(INDEX('Danh mục'!$C$39:$C$78,MATCH(D1564,'Danh mục'!$A$39:$A$78,0))&amp;"",""))</f>
      </c>
      <c r="H1564" s="11"/>
      <c r="I1564" s="20"/>
      <c r="J1564" s="11"/>
      <c r="K1564" s="11"/>
      <c r="L1564" s="11"/>
    </row>
    <row r="1565" spans="1:12" x14ac:dyDescent="0.3">
      <c r="A1565" s="31"/>
      <c r="B1565" s="32">
        <f>IF(A1565="","",DATE(YEAR(A1565),MONTH(A1565),1))</f>
      </c>
      <c r="C1565" s="11"/>
      <c r="D1565" s="11"/>
      <c r="E1565" s="16">
        <f>IF(OR(D1565="",C1565&lt;&gt;"Chi"),"",IFERROR(INDEX('Danh mục'!$B$39:$B$78,MATCH(D1565,'Danh mục'!$A$39:$A$78,0))&amp;"","?"))</f>
      </c>
      <c r="F1565" s="16">
        <f>IF(D1565="","",IF(C1565="Thu",IFERROR(INDEX('Danh mục'!$B$26:$B$35,MATCH(D1565,'Danh mục'!$A$26:$A$35,0))&amp;"","?"),IFERROR(INDEX('Danh mục'!$D$39:$D$78,MATCH(D1565,'Danh mục'!$A$39:$A$78,0))&amp;"","?")))</f>
      </c>
      <c r="G1565" s="16">
        <f>IF(OR(D1565="",C1565&lt;&gt;"Chi"),"",IFERROR(INDEX('Danh mục'!$C$39:$C$78,MATCH(D1565,'Danh mục'!$A$39:$A$78,0))&amp;"",""))</f>
      </c>
      <c r="H1565" s="11"/>
      <c r="I1565" s="20"/>
      <c r="J1565" s="11"/>
      <c r="K1565" s="11"/>
      <c r="L1565" s="11"/>
    </row>
    <row r="1566" spans="1:12" x14ac:dyDescent="0.3">
      <c r="A1566" s="31"/>
      <c r="B1566" s="32">
        <f>IF(A1566="","",DATE(YEAR(A1566),MONTH(A1566),1))</f>
      </c>
      <c r="C1566" s="11"/>
      <c r="D1566" s="11"/>
      <c r="E1566" s="16">
        <f>IF(OR(D1566="",C1566&lt;&gt;"Chi"),"",IFERROR(INDEX('Danh mục'!$B$39:$B$78,MATCH(D1566,'Danh mục'!$A$39:$A$78,0))&amp;"","?"))</f>
      </c>
      <c r="F1566" s="16">
        <f>IF(D1566="","",IF(C1566="Thu",IFERROR(INDEX('Danh mục'!$B$26:$B$35,MATCH(D1566,'Danh mục'!$A$26:$A$35,0))&amp;"","?"),IFERROR(INDEX('Danh mục'!$D$39:$D$78,MATCH(D1566,'Danh mục'!$A$39:$A$78,0))&amp;"","?")))</f>
      </c>
      <c r="G1566" s="16">
        <f>IF(OR(D1566="",C1566&lt;&gt;"Chi"),"",IFERROR(INDEX('Danh mục'!$C$39:$C$78,MATCH(D1566,'Danh mục'!$A$39:$A$78,0))&amp;"",""))</f>
      </c>
      <c r="H1566" s="11"/>
      <c r="I1566" s="20"/>
      <c r="J1566" s="11"/>
      <c r="K1566" s="11"/>
      <c r="L1566" s="11"/>
    </row>
    <row r="1567" spans="1:12" x14ac:dyDescent="0.3">
      <c r="A1567" s="31"/>
      <c r="B1567" s="32">
        <f>IF(A1567="","",DATE(YEAR(A1567),MONTH(A1567),1))</f>
      </c>
      <c r="C1567" s="11"/>
      <c r="D1567" s="11"/>
      <c r="E1567" s="16">
        <f>IF(OR(D1567="",C1567&lt;&gt;"Chi"),"",IFERROR(INDEX('Danh mục'!$B$39:$B$78,MATCH(D1567,'Danh mục'!$A$39:$A$78,0))&amp;"","?"))</f>
      </c>
      <c r="F1567" s="16">
        <f>IF(D1567="","",IF(C1567="Thu",IFERROR(INDEX('Danh mục'!$B$26:$B$35,MATCH(D1567,'Danh mục'!$A$26:$A$35,0))&amp;"","?"),IFERROR(INDEX('Danh mục'!$D$39:$D$78,MATCH(D1567,'Danh mục'!$A$39:$A$78,0))&amp;"","?")))</f>
      </c>
      <c r="G1567" s="16">
        <f>IF(OR(D1567="",C1567&lt;&gt;"Chi"),"",IFERROR(INDEX('Danh mục'!$C$39:$C$78,MATCH(D1567,'Danh mục'!$A$39:$A$78,0))&amp;"",""))</f>
      </c>
      <c r="H1567" s="11"/>
      <c r="I1567" s="20"/>
      <c r="J1567" s="11"/>
      <c r="K1567" s="11"/>
      <c r="L1567" s="11"/>
    </row>
    <row r="1568" spans="1:12" x14ac:dyDescent="0.3">
      <c r="A1568" s="31"/>
      <c r="B1568" s="32">
        <f>IF(A1568="","",DATE(YEAR(A1568),MONTH(A1568),1))</f>
      </c>
      <c r="C1568" s="11"/>
      <c r="D1568" s="11"/>
      <c r="E1568" s="16">
        <f>IF(OR(D1568="",C1568&lt;&gt;"Chi"),"",IFERROR(INDEX('Danh mục'!$B$39:$B$78,MATCH(D1568,'Danh mục'!$A$39:$A$78,0))&amp;"","?"))</f>
      </c>
      <c r="F1568" s="16">
        <f>IF(D1568="","",IF(C1568="Thu",IFERROR(INDEX('Danh mục'!$B$26:$B$35,MATCH(D1568,'Danh mục'!$A$26:$A$35,0))&amp;"","?"),IFERROR(INDEX('Danh mục'!$D$39:$D$78,MATCH(D1568,'Danh mục'!$A$39:$A$78,0))&amp;"","?")))</f>
      </c>
      <c r="G1568" s="16">
        <f>IF(OR(D1568="",C1568&lt;&gt;"Chi"),"",IFERROR(INDEX('Danh mục'!$C$39:$C$78,MATCH(D1568,'Danh mục'!$A$39:$A$78,0))&amp;"",""))</f>
      </c>
      <c r="H1568" s="11"/>
      <c r="I1568" s="20"/>
      <c r="J1568" s="11"/>
      <c r="K1568" s="11"/>
      <c r="L1568" s="11"/>
    </row>
    <row r="1569" spans="1:12" x14ac:dyDescent="0.3">
      <c r="A1569" s="31"/>
      <c r="B1569" s="32">
        <f>IF(A1569="","",DATE(YEAR(A1569),MONTH(A1569),1))</f>
      </c>
      <c r="C1569" s="11"/>
      <c r="D1569" s="11"/>
      <c r="E1569" s="16">
        <f>IF(OR(D1569="",C1569&lt;&gt;"Chi"),"",IFERROR(INDEX('Danh mục'!$B$39:$B$78,MATCH(D1569,'Danh mục'!$A$39:$A$78,0))&amp;"","?"))</f>
      </c>
      <c r="F1569" s="16">
        <f>IF(D1569="","",IF(C1569="Thu",IFERROR(INDEX('Danh mục'!$B$26:$B$35,MATCH(D1569,'Danh mục'!$A$26:$A$35,0))&amp;"","?"),IFERROR(INDEX('Danh mục'!$D$39:$D$78,MATCH(D1569,'Danh mục'!$A$39:$A$78,0))&amp;"","?")))</f>
      </c>
      <c r="G1569" s="16">
        <f>IF(OR(D1569="",C1569&lt;&gt;"Chi"),"",IFERROR(INDEX('Danh mục'!$C$39:$C$78,MATCH(D1569,'Danh mục'!$A$39:$A$78,0))&amp;"",""))</f>
      </c>
      <c r="H1569" s="11"/>
      <c r="I1569" s="20"/>
      <c r="J1569" s="11"/>
      <c r="K1569" s="11"/>
      <c r="L1569" s="11"/>
    </row>
    <row r="1570" spans="1:12" x14ac:dyDescent="0.3">
      <c r="A1570" s="31"/>
      <c r="B1570" s="32">
        <f>IF(A1570="","",DATE(YEAR(A1570),MONTH(A1570),1))</f>
      </c>
      <c r="C1570" s="11"/>
      <c r="D1570" s="11"/>
      <c r="E1570" s="16">
        <f>IF(OR(D1570="",C1570&lt;&gt;"Chi"),"",IFERROR(INDEX('Danh mục'!$B$39:$B$78,MATCH(D1570,'Danh mục'!$A$39:$A$78,0))&amp;"","?"))</f>
      </c>
      <c r="F1570" s="16">
        <f>IF(D1570="","",IF(C1570="Thu",IFERROR(INDEX('Danh mục'!$B$26:$B$35,MATCH(D1570,'Danh mục'!$A$26:$A$35,0))&amp;"","?"),IFERROR(INDEX('Danh mục'!$D$39:$D$78,MATCH(D1570,'Danh mục'!$A$39:$A$78,0))&amp;"","?")))</f>
      </c>
      <c r="G1570" s="16">
        <f>IF(OR(D1570="",C1570&lt;&gt;"Chi"),"",IFERROR(INDEX('Danh mục'!$C$39:$C$78,MATCH(D1570,'Danh mục'!$A$39:$A$78,0))&amp;"",""))</f>
      </c>
      <c r="H1570" s="11"/>
      <c r="I1570" s="20"/>
      <c r="J1570" s="11"/>
      <c r="K1570" s="11"/>
      <c r="L1570" s="11"/>
    </row>
    <row r="1571" spans="1:12" x14ac:dyDescent="0.3">
      <c r="A1571" s="31"/>
      <c r="B1571" s="32">
        <f>IF(A1571="","",DATE(YEAR(A1571),MONTH(A1571),1))</f>
      </c>
      <c r="C1571" s="11"/>
      <c r="D1571" s="11"/>
      <c r="E1571" s="16">
        <f>IF(OR(D1571="",C1571&lt;&gt;"Chi"),"",IFERROR(INDEX('Danh mục'!$B$39:$B$78,MATCH(D1571,'Danh mục'!$A$39:$A$78,0))&amp;"","?"))</f>
      </c>
      <c r="F1571" s="16">
        <f>IF(D1571="","",IF(C1571="Thu",IFERROR(INDEX('Danh mục'!$B$26:$B$35,MATCH(D1571,'Danh mục'!$A$26:$A$35,0))&amp;"","?"),IFERROR(INDEX('Danh mục'!$D$39:$D$78,MATCH(D1571,'Danh mục'!$A$39:$A$78,0))&amp;"","?")))</f>
      </c>
      <c r="G1571" s="16">
        <f>IF(OR(D1571="",C1571&lt;&gt;"Chi"),"",IFERROR(INDEX('Danh mục'!$C$39:$C$78,MATCH(D1571,'Danh mục'!$A$39:$A$78,0))&amp;"",""))</f>
      </c>
      <c r="H1571" s="11"/>
      <c r="I1571" s="20"/>
      <c r="J1571" s="11"/>
      <c r="K1571" s="11"/>
      <c r="L1571" s="11"/>
    </row>
    <row r="1572" spans="1:12" x14ac:dyDescent="0.3">
      <c r="A1572" s="31"/>
      <c r="B1572" s="32">
        <f>IF(A1572="","",DATE(YEAR(A1572),MONTH(A1572),1))</f>
      </c>
      <c r="C1572" s="11"/>
      <c r="D1572" s="11"/>
      <c r="E1572" s="16">
        <f>IF(OR(D1572="",C1572&lt;&gt;"Chi"),"",IFERROR(INDEX('Danh mục'!$B$39:$B$78,MATCH(D1572,'Danh mục'!$A$39:$A$78,0))&amp;"","?"))</f>
      </c>
      <c r="F1572" s="16">
        <f>IF(D1572="","",IF(C1572="Thu",IFERROR(INDEX('Danh mục'!$B$26:$B$35,MATCH(D1572,'Danh mục'!$A$26:$A$35,0))&amp;"","?"),IFERROR(INDEX('Danh mục'!$D$39:$D$78,MATCH(D1572,'Danh mục'!$A$39:$A$78,0))&amp;"","?")))</f>
      </c>
      <c r="G1572" s="16">
        <f>IF(OR(D1572="",C1572&lt;&gt;"Chi"),"",IFERROR(INDEX('Danh mục'!$C$39:$C$78,MATCH(D1572,'Danh mục'!$A$39:$A$78,0))&amp;"",""))</f>
      </c>
      <c r="H1572" s="11"/>
      <c r="I1572" s="20"/>
      <c r="J1572" s="11"/>
      <c r="K1572" s="11"/>
      <c r="L1572" s="11"/>
    </row>
    <row r="1573" spans="1:12" x14ac:dyDescent="0.3">
      <c r="A1573" s="31"/>
      <c r="B1573" s="32">
        <f>IF(A1573="","",DATE(YEAR(A1573),MONTH(A1573),1))</f>
      </c>
      <c r="C1573" s="11"/>
      <c r="D1573" s="11"/>
      <c r="E1573" s="16">
        <f>IF(OR(D1573="",C1573&lt;&gt;"Chi"),"",IFERROR(INDEX('Danh mục'!$B$39:$B$78,MATCH(D1573,'Danh mục'!$A$39:$A$78,0))&amp;"","?"))</f>
      </c>
      <c r="F1573" s="16">
        <f>IF(D1573="","",IF(C1573="Thu",IFERROR(INDEX('Danh mục'!$B$26:$B$35,MATCH(D1573,'Danh mục'!$A$26:$A$35,0))&amp;"","?"),IFERROR(INDEX('Danh mục'!$D$39:$D$78,MATCH(D1573,'Danh mục'!$A$39:$A$78,0))&amp;"","?")))</f>
      </c>
      <c r="G1573" s="16">
        <f>IF(OR(D1573="",C1573&lt;&gt;"Chi"),"",IFERROR(INDEX('Danh mục'!$C$39:$C$78,MATCH(D1573,'Danh mục'!$A$39:$A$78,0))&amp;"",""))</f>
      </c>
      <c r="H1573" s="11"/>
      <c r="I1573" s="20"/>
      <c r="J1573" s="11"/>
      <c r="K1573" s="11"/>
      <c r="L1573" s="11"/>
    </row>
    <row r="1574" spans="1:12" x14ac:dyDescent="0.3">
      <c r="A1574" s="31"/>
      <c r="B1574" s="32">
        <f>IF(A1574="","",DATE(YEAR(A1574),MONTH(A1574),1))</f>
      </c>
      <c r="C1574" s="11"/>
      <c r="D1574" s="11"/>
      <c r="E1574" s="16">
        <f>IF(OR(D1574="",C1574&lt;&gt;"Chi"),"",IFERROR(INDEX('Danh mục'!$B$39:$B$78,MATCH(D1574,'Danh mục'!$A$39:$A$78,0))&amp;"","?"))</f>
      </c>
      <c r="F1574" s="16">
        <f>IF(D1574="","",IF(C1574="Thu",IFERROR(INDEX('Danh mục'!$B$26:$B$35,MATCH(D1574,'Danh mục'!$A$26:$A$35,0))&amp;"","?"),IFERROR(INDEX('Danh mục'!$D$39:$D$78,MATCH(D1574,'Danh mục'!$A$39:$A$78,0))&amp;"","?")))</f>
      </c>
      <c r="G1574" s="16">
        <f>IF(OR(D1574="",C1574&lt;&gt;"Chi"),"",IFERROR(INDEX('Danh mục'!$C$39:$C$78,MATCH(D1574,'Danh mục'!$A$39:$A$78,0))&amp;"",""))</f>
      </c>
      <c r="H1574" s="11"/>
      <c r="I1574" s="20"/>
      <c r="J1574" s="11"/>
      <c r="K1574" s="11"/>
      <c r="L1574" s="11"/>
    </row>
    <row r="1575" spans="1:12" x14ac:dyDescent="0.3">
      <c r="A1575" s="31"/>
      <c r="B1575" s="32">
        <f>IF(A1575="","",DATE(YEAR(A1575),MONTH(A1575),1))</f>
      </c>
      <c r="C1575" s="11"/>
      <c r="D1575" s="11"/>
      <c r="E1575" s="16">
        <f>IF(OR(D1575="",C1575&lt;&gt;"Chi"),"",IFERROR(INDEX('Danh mục'!$B$39:$B$78,MATCH(D1575,'Danh mục'!$A$39:$A$78,0))&amp;"","?"))</f>
      </c>
      <c r="F1575" s="16">
        <f>IF(D1575="","",IF(C1575="Thu",IFERROR(INDEX('Danh mục'!$B$26:$B$35,MATCH(D1575,'Danh mục'!$A$26:$A$35,0))&amp;"","?"),IFERROR(INDEX('Danh mục'!$D$39:$D$78,MATCH(D1575,'Danh mục'!$A$39:$A$78,0))&amp;"","?")))</f>
      </c>
      <c r="G1575" s="16">
        <f>IF(OR(D1575="",C1575&lt;&gt;"Chi"),"",IFERROR(INDEX('Danh mục'!$C$39:$C$78,MATCH(D1575,'Danh mục'!$A$39:$A$78,0))&amp;"",""))</f>
      </c>
      <c r="H1575" s="11"/>
      <c r="I1575" s="20"/>
      <c r="J1575" s="11"/>
      <c r="K1575" s="11"/>
      <c r="L1575" s="11"/>
    </row>
    <row r="1576" spans="1:12" x14ac:dyDescent="0.3">
      <c r="A1576" s="31"/>
      <c r="B1576" s="32">
        <f>IF(A1576="","",DATE(YEAR(A1576),MONTH(A1576),1))</f>
      </c>
      <c r="C1576" s="11"/>
      <c r="D1576" s="11"/>
      <c r="E1576" s="16">
        <f>IF(OR(D1576="",C1576&lt;&gt;"Chi"),"",IFERROR(INDEX('Danh mục'!$B$39:$B$78,MATCH(D1576,'Danh mục'!$A$39:$A$78,0))&amp;"","?"))</f>
      </c>
      <c r="F1576" s="16">
        <f>IF(D1576="","",IF(C1576="Thu",IFERROR(INDEX('Danh mục'!$B$26:$B$35,MATCH(D1576,'Danh mục'!$A$26:$A$35,0))&amp;"","?"),IFERROR(INDEX('Danh mục'!$D$39:$D$78,MATCH(D1576,'Danh mục'!$A$39:$A$78,0))&amp;"","?")))</f>
      </c>
      <c r="G1576" s="16">
        <f>IF(OR(D1576="",C1576&lt;&gt;"Chi"),"",IFERROR(INDEX('Danh mục'!$C$39:$C$78,MATCH(D1576,'Danh mục'!$A$39:$A$78,0))&amp;"",""))</f>
      </c>
      <c r="H1576" s="11"/>
      <c r="I1576" s="20"/>
      <c r="J1576" s="11"/>
      <c r="K1576" s="11"/>
      <c r="L1576" s="11"/>
    </row>
    <row r="1577" spans="1:12" x14ac:dyDescent="0.3">
      <c r="A1577" s="31"/>
      <c r="B1577" s="32">
        <f>IF(A1577="","",DATE(YEAR(A1577),MONTH(A1577),1))</f>
      </c>
      <c r="C1577" s="11"/>
      <c r="D1577" s="11"/>
      <c r="E1577" s="16">
        <f>IF(OR(D1577="",C1577&lt;&gt;"Chi"),"",IFERROR(INDEX('Danh mục'!$B$39:$B$78,MATCH(D1577,'Danh mục'!$A$39:$A$78,0))&amp;"","?"))</f>
      </c>
      <c r="F1577" s="16">
        <f>IF(D1577="","",IF(C1577="Thu",IFERROR(INDEX('Danh mục'!$B$26:$B$35,MATCH(D1577,'Danh mục'!$A$26:$A$35,0))&amp;"","?"),IFERROR(INDEX('Danh mục'!$D$39:$D$78,MATCH(D1577,'Danh mục'!$A$39:$A$78,0))&amp;"","?")))</f>
      </c>
      <c r="G1577" s="16">
        <f>IF(OR(D1577="",C1577&lt;&gt;"Chi"),"",IFERROR(INDEX('Danh mục'!$C$39:$C$78,MATCH(D1577,'Danh mục'!$A$39:$A$78,0))&amp;"",""))</f>
      </c>
      <c r="H1577" s="11"/>
      <c r="I1577" s="20"/>
      <c r="J1577" s="11"/>
      <c r="K1577" s="11"/>
      <c r="L1577" s="11"/>
    </row>
    <row r="1578" spans="1:12" x14ac:dyDescent="0.3">
      <c r="A1578" s="31"/>
      <c r="B1578" s="32">
        <f>IF(A1578="","",DATE(YEAR(A1578),MONTH(A1578),1))</f>
      </c>
      <c r="C1578" s="11"/>
      <c r="D1578" s="11"/>
      <c r="E1578" s="16">
        <f>IF(OR(D1578="",C1578&lt;&gt;"Chi"),"",IFERROR(INDEX('Danh mục'!$B$39:$B$78,MATCH(D1578,'Danh mục'!$A$39:$A$78,0))&amp;"","?"))</f>
      </c>
      <c r="F1578" s="16">
        <f>IF(D1578="","",IF(C1578="Thu",IFERROR(INDEX('Danh mục'!$B$26:$B$35,MATCH(D1578,'Danh mục'!$A$26:$A$35,0))&amp;"","?"),IFERROR(INDEX('Danh mục'!$D$39:$D$78,MATCH(D1578,'Danh mục'!$A$39:$A$78,0))&amp;"","?")))</f>
      </c>
      <c r="G1578" s="16">
        <f>IF(OR(D1578="",C1578&lt;&gt;"Chi"),"",IFERROR(INDEX('Danh mục'!$C$39:$C$78,MATCH(D1578,'Danh mục'!$A$39:$A$78,0))&amp;"",""))</f>
      </c>
      <c r="H1578" s="11"/>
      <c r="I1578" s="20"/>
      <c r="J1578" s="11"/>
      <c r="K1578" s="11"/>
      <c r="L1578" s="11"/>
    </row>
    <row r="1579" spans="1:12" x14ac:dyDescent="0.3">
      <c r="A1579" s="31"/>
      <c r="B1579" s="32">
        <f>IF(A1579="","",DATE(YEAR(A1579),MONTH(A1579),1))</f>
      </c>
      <c r="C1579" s="11"/>
      <c r="D1579" s="11"/>
      <c r="E1579" s="16">
        <f>IF(OR(D1579="",C1579&lt;&gt;"Chi"),"",IFERROR(INDEX('Danh mục'!$B$39:$B$78,MATCH(D1579,'Danh mục'!$A$39:$A$78,0))&amp;"","?"))</f>
      </c>
      <c r="F1579" s="16">
        <f>IF(D1579="","",IF(C1579="Thu",IFERROR(INDEX('Danh mục'!$B$26:$B$35,MATCH(D1579,'Danh mục'!$A$26:$A$35,0))&amp;"","?"),IFERROR(INDEX('Danh mục'!$D$39:$D$78,MATCH(D1579,'Danh mục'!$A$39:$A$78,0))&amp;"","?")))</f>
      </c>
      <c r="G1579" s="16">
        <f>IF(OR(D1579="",C1579&lt;&gt;"Chi"),"",IFERROR(INDEX('Danh mục'!$C$39:$C$78,MATCH(D1579,'Danh mục'!$A$39:$A$78,0))&amp;"",""))</f>
      </c>
      <c r="H1579" s="11"/>
      <c r="I1579" s="20"/>
      <c r="J1579" s="11"/>
      <c r="K1579" s="11"/>
      <c r="L1579" s="11"/>
    </row>
    <row r="1580" spans="1:12" x14ac:dyDescent="0.3">
      <c r="A1580" s="31"/>
      <c r="B1580" s="32">
        <f>IF(A1580="","",DATE(YEAR(A1580),MONTH(A1580),1))</f>
      </c>
      <c r="C1580" s="11"/>
      <c r="D1580" s="11"/>
      <c r="E1580" s="16">
        <f>IF(OR(D1580="",C1580&lt;&gt;"Chi"),"",IFERROR(INDEX('Danh mục'!$B$39:$B$78,MATCH(D1580,'Danh mục'!$A$39:$A$78,0))&amp;"","?"))</f>
      </c>
      <c r="F1580" s="16">
        <f>IF(D1580="","",IF(C1580="Thu",IFERROR(INDEX('Danh mục'!$B$26:$B$35,MATCH(D1580,'Danh mục'!$A$26:$A$35,0))&amp;"","?"),IFERROR(INDEX('Danh mục'!$D$39:$D$78,MATCH(D1580,'Danh mục'!$A$39:$A$78,0))&amp;"","?")))</f>
      </c>
      <c r="G1580" s="16">
        <f>IF(OR(D1580="",C1580&lt;&gt;"Chi"),"",IFERROR(INDEX('Danh mục'!$C$39:$C$78,MATCH(D1580,'Danh mục'!$A$39:$A$78,0))&amp;"",""))</f>
      </c>
      <c r="H1580" s="11"/>
      <c r="I1580" s="20"/>
      <c r="J1580" s="11"/>
      <c r="K1580" s="11"/>
      <c r="L1580" s="11"/>
    </row>
    <row r="1581" spans="1:12" x14ac:dyDescent="0.3">
      <c r="A1581" s="31"/>
      <c r="B1581" s="32">
        <f>IF(A1581="","",DATE(YEAR(A1581),MONTH(A1581),1))</f>
      </c>
      <c r="C1581" s="11"/>
      <c r="D1581" s="11"/>
      <c r="E1581" s="16">
        <f>IF(OR(D1581="",C1581&lt;&gt;"Chi"),"",IFERROR(INDEX('Danh mục'!$B$39:$B$78,MATCH(D1581,'Danh mục'!$A$39:$A$78,0))&amp;"","?"))</f>
      </c>
      <c r="F1581" s="16">
        <f>IF(D1581="","",IF(C1581="Thu",IFERROR(INDEX('Danh mục'!$B$26:$B$35,MATCH(D1581,'Danh mục'!$A$26:$A$35,0))&amp;"","?"),IFERROR(INDEX('Danh mục'!$D$39:$D$78,MATCH(D1581,'Danh mục'!$A$39:$A$78,0))&amp;"","?")))</f>
      </c>
      <c r="G1581" s="16">
        <f>IF(OR(D1581="",C1581&lt;&gt;"Chi"),"",IFERROR(INDEX('Danh mục'!$C$39:$C$78,MATCH(D1581,'Danh mục'!$A$39:$A$78,0))&amp;"",""))</f>
      </c>
      <c r="H1581" s="11"/>
      <c r="I1581" s="20"/>
      <c r="J1581" s="11"/>
      <c r="K1581" s="11"/>
      <c r="L1581" s="11"/>
    </row>
    <row r="1582" spans="1:12" x14ac:dyDescent="0.3">
      <c r="A1582" s="31"/>
      <c r="B1582" s="32">
        <f>IF(A1582="","",DATE(YEAR(A1582),MONTH(A1582),1))</f>
      </c>
      <c r="C1582" s="11"/>
      <c r="D1582" s="11"/>
      <c r="E1582" s="16">
        <f>IF(OR(D1582="",C1582&lt;&gt;"Chi"),"",IFERROR(INDEX('Danh mục'!$B$39:$B$78,MATCH(D1582,'Danh mục'!$A$39:$A$78,0))&amp;"","?"))</f>
      </c>
      <c r="F1582" s="16">
        <f>IF(D1582="","",IF(C1582="Thu",IFERROR(INDEX('Danh mục'!$B$26:$B$35,MATCH(D1582,'Danh mục'!$A$26:$A$35,0))&amp;"","?"),IFERROR(INDEX('Danh mục'!$D$39:$D$78,MATCH(D1582,'Danh mục'!$A$39:$A$78,0))&amp;"","?")))</f>
      </c>
      <c r="G1582" s="16">
        <f>IF(OR(D1582="",C1582&lt;&gt;"Chi"),"",IFERROR(INDEX('Danh mục'!$C$39:$C$78,MATCH(D1582,'Danh mục'!$A$39:$A$78,0))&amp;"",""))</f>
      </c>
      <c r="H1582" s="11"/>
      <c r="I1582" s="20"/>
      <c r="J1582" s="11"/>
      <c r="K1582" s="11"/>
      <c r="L1582" s="11"/>
    </row>
    <row r="1583" spans="1:12" x14ac:dyDescent="0.3">
      <c r="A1583" s="31"/>
      <c r="B1583" s="32">
        <f>IF(A1583="","",DATE(YEAR(A1583),MONTH(A1583),1))</f>
      </c>
      <c r="C1583" s="11"/>
      <c r="D1583" s="11"/>
      <c r="E1583" s="16">
        <f>IF(OR(D1583="",C1583&lt;&gt;"Chi"),"",IFERROR(INDEX('Danh mục'!$B$39:$B$78,MATCH(D1583,'Danh mục'!$A$39:$A$78,0))&amp;"","?"))</f>
      </c>
      <c r="F1583" s="16">
        <f>IF(D1583="","",IF(C1583="Thu",IFERROR(INDEX('Danh mục'!$B$26:$B$35,MATCH(D1583,'Danh mục'!$A$26:$A$35,0))&amp;"","?"),IFERROR(INDEX('Danh mục'!$D$39:$D$78,MATCH(D1583,'Danh mục'!$A$39:$A$78,0))&amp;"","?")))</f>
      </c>
      <c r="G1583" s="16">
        <f>IF(OR(D1583="",C1583&lt;&gt;"Chi"),"",IFERROR(INDEX('Danh mục'!$C$39:$C$78,MATCH(D1583,'Danh mục'!$A$39:$A$78,0))&amp;"",""))</f>
      </c>
      <c r="H1583" s="11"/>
      <c r="I1583" s="20"/>
      <c r="J1583" s="11"/>
      <c r="K1583" s="11"/>
      <c r="L1583" s="11"/>
    </row>
    <row r="1584" spans="1:12" x14ac:dyDescent="0.3">
      <c r="A1584" s="31"/>
      <c r="B1584" s="32">
        <f>IF(A1584="","",DATE(YEAR(A1584),MONTH(A1584),1))</f>
      </c>
      <c r="C1584" s="11"/>
      <c r="D1584" s="11"/>
      <c r="E1584" s="16">
        <f>IF(OR(D1584="",C1584&lt;&gt;"Chi"),"",IFERROR(INDEX('Danh mục'!$B$39:$B$78,MATCH(D1584,'Danh mục'!$A$39:$A$78,0))&amp;"","?"))</f>
      </c>
      <c r="F1584" s="16">
        <f>IF(D1584="","",IF(C1584="Thu",IFERROR(INDEX('Danh mục'!$B$26:$B$35,MATCH(D1584,'Danh mục'!$A$26:$A$35,0))&amp;"","?"),IFERROR(INDEX('Danh mục'!$D$39:$D$78,MATCH(D1584,'Danh mục'!$A$39:$A$78,0))&amp;"","?")))</f>
      </c>
      <c r="G1584" s="16">
        <f>IF(OR(D1584="",C1584&lt;&gt;"Chi"),"",IFERROR(INDEX('Danh mục'!$C$39:$C$78,MATCH(D1584,'Danh mục'!$A$39:$A$78,0))&amp;"",""))</f>
      </c>
      <c r="H1584" s="11"/>
      <c r="I1584" s="20"/>
      <c r="J1584" s="11"/>
      <c r="K1584" s="11"/>
      <c r="L1584" s="11"/>
    </row>
    <row r="1585" spans="1:12" x14ac:dyDescent="0.3">
      <c r="A1585" s="31"/>
      <c r="B1585" s="32">
        <f>IF(A1585="","",DATE(YEAR(A1585),MONTH(A1585),1))</f>
      </c>
      <c r="C1585" s="11"/>
      <c r="D1585" s="11"/>
      <c r="E1585" s="16">
        <f>IF(OR(D1585="",C1585&lt;&gt;"Chi"),"",IFERROR(INDEX('Danh mục'!$B$39:$B$78,MATCH(D1585,'Danh mục'!$A$39:$A$78,0))&amp;"","?"))</f>
      </c>
      <c r="F1585" s="16">
        <f>IF(D1585="","",IF(C1585="Thu",IFERROR(INDEX('Danh mục'!$B$26:$B$35,MATCH(D1585,'Danh mục'!$A$26:$A$35,0))&amp;"","?"),IFERROR(INDEX('Danh mục'!$D$39:$D$78,MATCH(D1585,'Danh mục'!$A$39:$A$78,0))&amp;"","?")))</f>
      </c>
      <c r="G1585" s="16">
        <f>IF(OR(D1585="",C1585&lt;&gt;"Chi"),"",IFERROR(INDEX('Danh mục'!$C$39:$C$78,MATCH(D1585,'Danh mục'!$A$39:$A$78,0))&amp;"",""))</f>
      </c>
      <c r="H1585" s="11"/>
      <c r="I1585" s="20"/>
      <c r="J1585" s="11"/>
      <c r="K1585" s="11"/>
      <c r="L1585" s="11"/>
    </row>
    <row r="1586" spans="1:12" x14ac:dyDescent="0.3">
      <c r="A1586" s="31"/>
      <c r="B1586" s="32">
        <f>IF(A1586="","",DATE(YEAR(A1586),MONTH(A1586),1))</f>
      </c>
      <c r="C1586" s="11"/>
      <c r="D1586" s="11"/>
      <c r="E1586" s="16">
        <f>IF(OR(D1586="",C1586&lt;&gt;"Chi"),"",IFERROR(INDEX('Danh mục'!$B$39:$B$78,MATCH(D1586,'Danh mục'!$A$39:$A$78,0))&amp;"","?"))</f>
      </c>
      <c r="F1586" s="16">
        <f>IF(D1586="","",IF(C1586="Thu",IFERROR(INDEX('Danh mục'!$B$26:$B$35,MATCH(D1586,'Danh mục'!$A$26:$A$35,0))&amp;"","?"),IFERROR(INDEX('Danh mục'!$D$39:$D$78,MATCH(D1586,'Danh mục'!$A$39:$A$78,0))&amp;"","?")))</f>
      </c>
      <c r="G1586" s="16">
        <f>IF(OR(D1586="",C1586&lt;&gt;"Chi"),"",IFERROR(INDEX('Danh mục'!$C$39:$C$78,MATCH(D1586,'Danh mục'!$A$39:$A$78,0))&amp;"",""))</f>
      </c>
      <c r="H1586" s="11"/>
      <c r="I1586" s="20"/>
      <c r="J1586" s="11"/>
      <c r="K1586" s="11"/>
      <c r="L1586" s="11"/>
    </row>
    <row r="1587" spans="1:12" x14ac:dyDescent="0.3">
      <c r="A1587" s="31"/>
      <c r="B1587" s="32">
        <f>IF(A1587="","",DATE(YEAR(A1587),MONTH(A1587),1))</f>
      </c>
      <c r="C1587" s="11"/>
      <c r="D1587" s="11"/>
      <c r="E1587" s="16">
        <f>IF(OR(D1587="",C1587&lt;&gt;"Chi"),"",IFERROR(INDEX('Danh mục'!$B$39:$B$78,MATCH(D1587,'Danh mục'!$A$39:$A$78,0))&amp;"","?"))</f>
      </c>
      <c r="F1587" s="16">
        <f>IF(D1587="","",IF(C1587="Thu",IFERROR(INDEX('Danh mục'!$B$26:$B$35,MATCH(D1587,'Danh mục'!$A$26:$A$35,0))&amp;"","?"),IFERROR(INDEX('Danh mục'!$D$39:$D$78,MATCH(D1587,'Danh mục'!$A$39:$A$78,0))&amp;"","?")))</f>
      </c>
      <c r="G1587" s="16">
        <f>IF(OR(D1587="",C1587&lt;&gt;"Chi"),"",IFERROR(INDEX('Danh mục'!$C$39:$C$78,MATCH(D1587,'Danh mục'!$A$39:$A$78,0))&amp;"",""))</f>
      </c>
      <c r="H1587" s="11"/>
      <c r="I1587" s="20"/>
      <c r="J1587" s="11"/>
      <c r="K1587" s="11"/>
      <c r="L1587" s="11"/>
    </row>
    <row r="1588" spans="1:12" x14ac:dyDescent="0.3">
      <c r="A1588" s="31"/>
      <c r="B1588" s="32">
        <f>IF(A1588="","",DATE(YEAR(A1588),MONTH(A1588),1))</f>
      </c>
      <c r="C1588" s="11"/>
      <c r="D1588" s="11"/>
      <c r="E1588" s="16">
        <f>IF(OR(D1588="",C1588&lt;&gt;"Chi"),"",IFERROR(INDEX('Danh mục'!$B$39:$B$78,MATCH(D1588,'Danh mục'!$A$39:$A$78,0))&amp;"","?"))</f>
      </c>
      <c r="F1588" s="16">
        <f>IF(D1588="","",IF(C1588="Thu",IFERROR(INDEX('Danh mục'!$B$26:$B$35,MATCH(D1588,'Danh mục'!$A$26:$A$35,0))&amp;"","?"),IFERROR(INDEX('Danh mục'!$D$39:$D$78,MATCH(D1588,'Danh mục'!$A$39:$A$78,0))&amp;"","?")))</f>
      </c>
      <c r="G1588" s="16">
        <f>IF(OR(D1588="",C1588&lt;&gt;"Chi"),"",IFERROR(INDEX('Danh mục'!$C$39:$C$78,MATCH(D1588,'Danh mục'!$A$39:$A$78,0))&amp;"",""))</f>
      </c>
      <c r="H1588" s="11"/>
      <c r="I1588" s="20"/>
      <c r="J1588" s="11"/>
      <c r="K1588" s="11"/>
      <c r="L1588" s="11"/>
    </row>
    <row r="1589" spans="1:12" x14ac:dyDescent="0.3">
      <c r="A1589" s="31"/>
      <c r="B1589" s="32">
        <f>IF(A1589="","",DATE(YEAR(A1589),MONTH(A1589),1))</f>
      </c>
      <c r="C1589" s="11"/>
      <c r="D1589" s="11"/>
      <c r="E1589" s="16">
        <f>IF(OR(D1589="",C1589&lt;&gt;"Chi"),"",IFERROR(INDEX('Danh mục'!$B$39:$B$78,MATCH(D1589,'Danh mục'!$A$39:$A$78,0))&amp;"","?"))</f>
      </c>
      <c r="F1589" s="16">
        <f>IF(D1589="","",IF(C1589="Thu",IFERROR(INDEX('Danh mục'!$B$26:$B$35,MATCH(D1589,'Danh mục'!$A$26:$A$35,0))&amp;"","?"),IFERROR(INDEX('Danh mục'!$D$39:$D$78,MATCH(D1589,'Danh mục'!$A$39:$A$78,0))&amp;"","?")))</f>
      </c>
      <c r="G1589" s="16">
        <f>IF(OR(D1589="",C1589&lt;&gt;"Chi"),"",IFERROR(INDEX('Danh mục'!$C$39:$C$78,MATCH(D1589,'Danh mục'!$A$39:$A$78,0))&amp;"",""))</f>
      </c>
      <c r="H1589" s="11"/>
      <c r="I1589" s="20"/>
      <c r="J1589" s="11"/>
      <c r="K1589" s="11"/>
      <c r="L1589" s="11"/>
    </row>
    <row r="1590" spans="1:12" x14ac:dyDescent="0.3">
      <c r="A1590" s="31"/>
      <c r="B1590" s="32">
        <f>IF(A1590="","",DATE(YEAR(A1590),MONTH(A1590),1))</f>
      </c>
      <c r="C1590" s="11"/>
      <c r="D1590" s="11"/>
      <c r="E1590" s="16">
        <f>IF(OR(D1590="",C1590&lt;&gt;"Chi"),"",IFERROR(INDEX('Danh mục'!$B$39:$B$78,MATCH(D1590,'Danh mục'!$A$39:$A$78,0))&amp;"","?"))</f>
      </c>
      <c r="F1590" s="16">
        <f>IF(D1590="","",IF(C1590="Thu",IFERROR(INDEX('Danh mục'!$B$26:$B$35,MATCH(D1590,'Danh mục'!$A$26:$A$35,0))&amp;"","?"),IFERROR(INDEX('Danh mục'!$D$39:$D$78,MATCH(D1590,'Danh mục'!$A$39:$A$78,0))&amp;"","?")))</f>
      </c>
      <c r="G1590" s="16">
        <f>IF(OR(D1590="",C1590&lt;&gt;"Chi"),"",IFERROR(INDEX('Danh mục'!$C$39:$C$78,MATCH(D1590,'Danh mục'!$A$39:$A$78,0))&amp;"",""))</f>
      </c>
      <c r="H1590" s="11"/>
      <c r="I1590" s="20"/>
      <c r="J1590" s="11"/>
      <c r="K1590" s="11"/>
      <c r="L1590" s="11"/>
    </row>
    <row r="1591" spans="1:12" x14ac:dyDescent="0.3">
      <c r="A1591" s="31"/>
      <c r="B1591" s="32">
        <f>IF(A1591="","",DATE(YEAR(A1591),MONTH(A1591),1))</f>
      </c>
      <c r="C1591" s="11"/>
      <c r="D1591" s="11"/>
      <c r="E1591" s="16">
        <f>IF(OR(D1591="",C1591&lt;&gt;"Chi"),"",IFERROR(INDEX('Danh mục'!$B$39:$B$78,MATCH(D1591,'Danh mục'!$A$39:$A$78,0))&amp;"","?"))</f>
      </c>
      <c r="F1591" s="16">
        <f>IF(D1591="","",IF(C1591="Thu",IFERROR(INDEX('Danh mục'!$B$26:$B$35,MATCH(D1591,'Danh mục'!$A$26:$A$35,0))&amp;"","?"),IFERROR(INDEX('Danh mục'!$D$39:$D$78,MATCH(D1591,'Danh mục'!$A$39:$A$78,0))&amp;"","?")))</f>
      </c>
      <c r="G1591" s="16">
        <f>IF(OR(D1591="",C1591&lt;&gt;"Chi"),"",IFERROR(INDEX('Danh mục'!$C$39:$C$78,MATCH(D1591,'Danh mục'!$A$39:$A$78,0))&amp;"",""))</f>
      </c>
      <c r="H1591" s="11"/>
      <c r="I1591" s="20"/>
      <c r="J1591" s="11"/>
      <c r="K1591" s="11"/>
      <c r="L1591" s="11"/>
    </row>
    <row r="1592" spans="1:12" x14ac:dyDescent="0.3">
      <c r="A1592" s="31"/>
      <c r="B1592" s="32">
        <f>IF(A1592="","",DATE(YEAR(A1592),MONTH(A1592),1))</f>
      </c>
      <c r="C1592" s="11"/>
      <c r="D1592" s="11"/>
      <c r="E1592" s="16">
        <f>IF(OR(D1592="",C1592&lt;&gt;"Chi"),"",IFERROR(INDEX('Danh mục'!$B$39:$B$78,MATCH(D1592,'Danh mục'!$A$39:$A$78,0))&amp;"","?"))</f>
      </c>
      <c r="F1592" s="16">
        <f>IF(D1592="","",IF(C1592="Thu",IFERROR(INDEX('Danh mục'!$B$26:$B$35,MATCH(D1592,'Danh mục'!$A$26:$A$35,0))&amp;"","?"),IFERROR(INDEX('Danh mục'!$D$39:$D$78,MATCH(D1592,'Danh mục'!$A$39:$A$78,0))&amp;"","?")))</f>
      </c>
      <c r="G1592" s="16">
        <f>IF(OR(D1592="",C1592&lt;&gt;"Chi"),"",IFERROR(INDEX('Danh mục'!$C$39:$C$78,MATCH(D1592,'Danh mục'!$A$39:$A$78,0))&amp;"",""))</f>
      </c>
      <c r="H1592" s="11"/>
      <c r="I1592" s="20"/>
      <c r="J1592" s="11"/>
      <c r="K1592" s="11"/>
      <c r="L1592" s="11"/>
    </row>
    <row r="1593" spans="1:12" x14ac:dyDescent="0.3">
      <c r="A1593" s="31"/>
      <c r="B1593" s="32">
        <f>IF(A1593="","",DATE(YEAR(A1593),MONTH(A1593),1))</f>
      </c>
      <c r="C1593" s="11"/>
      <c r="D1593" s="11"/>
      <c r="E1593" s="16">
        <f>IF(OR(D1593="",C1593&lt;&gt;"Chi"),"",IFERROR(INDEX('Danh mục'!$B$39:$B$78,MATCH(D1593,'Danh mục'!$A$39:$A$78,0))&amp;"","?"))</f>
      </c>
      <c r="F1593" s="16">
        <f>IF(D1593="","",IF(C1593="Thu",IFERROR(INDEX('Danh mục'!$B$26:$B$35,MATCH(D1593,'Danh mục'!$A$26:$A$35,0))&amp;"","?"),IFERROR(INDEX('Danh mục'!$D$39:$D$78,MATCH(D1593,'Danh mục'!$A$39:$A$78,0))&amp;"","?")))</f>
      </c>
      <c r="G1593" s="16">
        <f>IF(OR(D1593="",C1593&lt;&gt;"Chi"),"",IFERROR(INDEX('Danh mục'!$C$39:$C$78,MATCH(D1593,'Danh mục'!$A$39:$A$78,0))&amp;"",""))</f>
      </c>
      <c r="H1593" s="11"/>
      <c r="I1593" s="20"/>
      <c r="J1593" s="11"/>
      <c r="K1593" s="11"/>
      <c r="L1593" s="11"/>
    </row>
    <row r="1594" spans="1:12" x14ac:dyDescent="0.3">
      <c r="A1594" s="31"/>
      <c r="B1594" s="32">
        <f>IF(A1594="","",DATE(YEAR(A1594),MONTH(A1594),1))</f>
      </c>
      <c r="C1594" s="11"/>
      <c r="D1594" s="11"/>
      <c r="E1594" s="16">
        <f>IF(OR(D1594="",C1594&lt;&gt;"Chi"),"",IFERROR(INDEX('Danh mục'!$B$39:$B$78,MATCH(D1594,'Danh mục'!$A$39:$A$78,0))&amp;"","?"))</f>
      </c>
      <c r="F1594" s="16">
        <f>IF(D1594="","",IF(C1594="Thu",IFERROR(INDEX('Danh mục'!$B$26:$B$35,MATCH(D1594,'Danh mục'!$A$26:$A$35,0))&amp;"","?"),IFERROR(INDEX('Danh mục'!$D$39:$D$78,MATCH(D1594,'Danh mục'!$A$39:$A$78,0))&amp;"","?")))</f>
      </c>
      <c r="G1594" s="16">
        <f>IF(OR(D1594="",C1594&lt;&gt;"Chi"),"",IFERROR(INDEX('Danh mục'!$C$39:$C$78,MATCH(D1594,'Danh mục'!$A$39:$A$78,0))&amp;"",""))</f>
      </c>
      <c r="H1594" s="11"/>
      <c r="I1594" s="20"/>
      <c r="J1594" s="11"/>
      <c r="K1594" s="11"/>
      <c r="L1594" s="11"/>
    </row>
    <row r="1595" spans="1:12" x14ac:dyDescent="0.3">
      <c r="A1595" s="31"/>
      <c r="B1595" s="32">
        <f>IF(A1595="","",DATE(YEAR(A1595),MONTH(A1595),1))</f>
      </c>
      <c r="C1595" s="11"/>
      <c r="D1595" s="11"/>
      <c r="E1595" s="16">
        <f>IF(OR(D1595="",C1595&lt;&gt;"Chi"),"",IFERROR(INDEX('Danh mục'!$B$39:$B$78,MATCH(D1595,'Danh mục'!$A$39:$A$78,0))&amp;"","?"))</f>
      </c>
      <c r="F1595" s="16">
        <f>IF(D1595="","",IF(C1595="Thu",IFERROR(INDEX('Danh mục'!$B$26:$B$35,MATCH(D1595,'Danh mục'!$A$26:$A$35,0))&amp;"","?"),IFERROR(INDEX('Danh mục'!$D$39:$D$78,MATCH(D1595,'Danh mục'!$A$39:$A$78,0))&amp;"","?")))</f>
      </c>
      <c r="G1595" s="16">
        <f>IF(OR(D1595="",C1595&lt;&gt;"Chi"),"",IFERROR(INDEX('Danh mục'!$C$39:$C$78,MATCH(D1595,'Danh mục'!$A$39:$A$78,0))&amp;"",""))</f>
      </c>
      <c r="H1595" s="11"/>
      <c r="I1595" s="20"/>
      <c r="J1595" s="11"/>
      <c r="K1595" s="11"/>
      <c r="L1595" s="11"/>
    </row>
    <row r="1596" spans="1:12" x14ac:dyDescent="0.3">
      <c r="A1596" s="31"/>
      <c r="B1596" s="32">
        <f>IF(A1596="","",DATE(YEAR(A1596),MONTH(A1596),1))</f>
      </c>
      <c r="C1596" s="11"/>
      <c r="D1596" s="11"/>
      <c r="E1596" s="16">
        <f>IF(OR(D1596="",C1596&lt;&gt;"Chi"),"",IFERROR(INDEX('Danh mục'!$B$39:$B$78,MATCH(D1596,'Danh mục'!$A$39:$A$78,0))&amp;"","?"))</f>
      </c>
      <c r="F1596" s="16">
        <f>IF(D1596="","",IF(C1596="Thu",IFERROR(INDEX('Danh mục'!$B$26:$B$35,MATCH(D1596,'Danh mục'!$A$26:$A$35,0))&amp;"","?"),IFERROR(INDEX('Danh mục'!$D$39:$D$78,MATCH(D1596,'Danh mục'!$A$39:$A$78,0))&amp;"","?")))</f>
      </c>
      <c r="G1596" s="16">
        <f>IF(OR(D1596="",C1596&lt;&gt;"Chi"),"",IFERROR(INDEX('Danh mục'!$C$39:$C$78,MATCH(D1596,'Danh mục'!$A$39:$A$78,0))&amp;"",""))</f>
      </c>
      <c r="H1596" s="11"/>
      <c r="I1596" s="20"/>
      <c r="J1596" s="11"/>
      <c r="K1596" s="11"/>
      <c r="L1596" s="11"/>
    </row>
    <row r="1597" spans="1:12" x14ac:dyDescent="0.3">
      <c r="A1597" s="31"/>
      <c r="B1597" s="32">
        <f>IF(A1597="","",DATE(YEAR(A1597),MONTH(A1597),1))</f>
      </c>
      <c r="C1597" s="11"/>
      <c r="D1597" s="11"/>
      <c r="E1597" s="16">
        <f>IF(OR(D1597="",C1597&lt;&gt;"Chi"),"",IFERROR(INDEX('Danh mục'!$B$39:$B$78,MATCH(D1597,'Danh mục'!$A$39:$A$78,0))&amp;"","?"))</f>
      </c>
      <c r="F1597" s="16">
        <f>IF(D1597="","",IF(C1597="Thu",IFERROR(INDEX('Danh mục'!$B$26:$B$35,MATCH(D1597,'Danh mục'!$A$26:$A$35,0))&amp;"","?"),IFERROR(INDEX('Danh mục'!$D$39:$D$78,MATCH(D1597,'Danh mục'!$A$39:$A$78,0))&amp;"","?")))</f>
      </c>
      <c r="G1597" s="16">
        <f>IF(OR(D1597="",C1597&lt;&gt;"Chi"),"",IFERROR(INDEX('Danh mục'!$C$39:$C$78,MATCH(D1597,'Danh mục'!$A$39:$A$78,0))&amp;"",""))</f>
      </c>
      <c r="H1597" s="11"/>
      <c r="I1597" s="20"/>
      <c r="J1597" s="11"/>
      <c r="K1597" s="11"/>
      <c r="L1597" s="11"/>
    </row>
    <row r="1598" spans="1:12" x14ac:dyDescent="0.3">
      <c r="A1598" s="31"/>
      <c r="B1598" s="32">
        <f>IF(A1598="","",DATE(YEAR(A1598),MONTH(A1598),1))</f>
      </c>
      <c r="C1598" s="11"/>
      <c r="D1598" s="11"/>
      <c r="E1598" s="16">
        <f>IF(OR(D1598="",C1598&lt;&gt;"Chi"),"",IFERROR(INDEX('Danh mục'!$B$39:$B$78,MATCH(D1598,'Danh mục'!$A$39:$A$78,0))&amp;"","?"))</f>
      </c>
      <c r="F1598" s="16">
        <f>IF(D1598="","",IF(C1598="Thu",IFERROR(INDEX('Danh mục'!$B$26:$B$35,MATCH(D1598,'Danh mục'!$A$26:$A$35,0))&amp;"","?"),IFERROR(INDEX('Danh mục'!$D$39:$D$78,MATCH(D1598,'Danh mục'!$A$39:$A$78,0))&amp;"","?")))</f>
      </c>
      <c r="G1598" s="16">
        <f>IF(OR(D1598="",C1598&lt;&gt;"Chi"),"",IFERROR(INDEX('Danh mục'!$C$39:$C$78,MATCH(D1598,'Danh mục'!$A$39:$A$78,0))&amp;"",""))</f>
      </c>
      <c r="H1598" s="11"/>
      <c r="I1598" s="20"/>
      <c r="J1598" s="11"/>
      <c r="K1598" s="11"/>
      <c r="L1598" s="11"/>
    </row>
    <row r="1599" spans="1:12" x14ac:dyDescent="0.3">
      <c r="A1599" s="31"/>
      <c r="B1599" s="32">
        <f>IF(A1599="","",DATE(YEAR(A1599),MONTH(A1599),1))</f>
      </c>
      <c r="C1599" s="11"/>
      <c r="D1599" s="11"/>
      <c r="E1599" s="16">
        <f>IF(OR(D1599="",C1599&lt;&gt;"Chi"),"",IFERROR(INDEX('Danh mục'!$B$39:$B$78,MATCH(D1599,'Danh mục'!$A$39:$A$78,0))&amp;"","?"))</f>
      </c>
      <c r="F1599" s="16">
        <f>IF(D1599="","",IF(C1599="Thu",IFERROR(INDEX('Danh mục'!$B$26:$B$35,MATCH(D1599,'Danh mục'!$A$26:$A$35,0))&amp;"","?"),IFERROR(INDEX('Danh mục'!$D$39:$D$78,MATCH(D1599,'Danh mục'!$A$39:$A$78,0))&amp;"","?")))</f>
      </c>
      <c r="G1599" s="16">
        <f>IF(OR(D1599="",C1599&lt;&gt;"Chi"),"",IFERROR(INDEX('Danh mục'!$C$39:$C$78,MATCH(D1599,'Danh mục'!$A$39:$A$78,0))&amp;"",""))</f>
      </c>
      <c r="H1599" s="11"/>
      <c r="I1599" s="20"/>
      <c r="J1599" s="11"/>
      <c r="K1599" s="11"/>
      <c r="L1599" s="11"/>
    </row>
    <row r="1600" spans="1:12" x14ac:dyDescent="0.3">
      <c r="A1600" s="31"/>
      <c r="B1600" s="32">
        <f>IF(A1600="","",DATE(YEAR(A1600),MONTH(A1600),1))</f>
      </c>
      <c r="C1600" s="11"/>
      <c r="D1600" s="11"/>
      <c r="E1600" s="16">
        <f>IF(OR(D1600="",C1600&lt;&gt;"Chi"),"",IFERROR(INDEX('Danh mục'!$B$39:$B$78,MATCH(D1600,'Danh mục'!$A$39:$A$78,0))&amp;"","?"))</f>
      </c>
      <c r="F1600" s="16">
        <f>IF(D1600="","",IF(C1600="Thu",IFERROR(INDEX('Danh mục'!$B$26:$B$35,MATCH(D1600,'Danh mục'!$A$26:$A$35,0))&amp;"","?"),IFERROR(INDEX('Danh mục'!$D$39:$D$78,MATCH(D1600,'Danh mục'!$A$39:$A$78,0))&amp;"","?")))</f>
      </c>
      <c r="G1600" s="16">
        <f>IF(OR(D1600="",C1600&lt;&gt;"Chi"),"",IFERROR(INDEX('Danh mục'!$C$39:$C$78,MATCH(D1600,'Danh mục'!$A$39:$A$78,0))&amp;"",""))</f>
      </c>
      <c r="H1600" s="11"/>
      <c r="I1600" s="20"/>
      <c r="J1600" s="11"/>
      <c r="K1600" s="11"/>
      <c r="L1600" s="11"/>
    </row>
    <row r="1601" spans="1:12" x14ac:dyDescent="0.3">
      <c r="A1601" s="31"/>
      <c r="B1601" s="32">
        <f>IF(A1601="","",DATE(YEAR(A1601),MONTH(A1601),1))</f>
      </c>
      <c r="C1601" s="11"/>
      <c r="D1601" s="11"/>
      <c r="E1601" s="16">
        <f>IF(OR(D1601="",C1601&lt;&gt;"Chi"),"",IFERROR(INDEX('Danh mục'!$B$39:$B$78,MATCH(D1601,'Danh mục'!$A$39:$A$78,0))&amp;"","?"))</f>
      </c>
      <c r="F1601" s="16">
        <f>IF(D1601="","",IF(C1601="Thu",IFERROR(INDEX('Danh mục'!$B$26:$B$35,MATCH(D1601,'Danh mục'!$A$26:$A$35,0))&amp;"","?"),IFERROR(INDEX('Danh mục'!$D$39:$D$78,MATCH(D1601,'Danh mục'!$A$39:$A$78,0))&amp;"","?")))</f>
      </c>
      <c r="G1601" s="16">
        <f>IF(OR(D1601="",C1601&lt;&gt;"Chi"),"",IFERROR(INDEX('Danh mục'!$C$39:$C$78,MATCH(D1601,'Danh mục'!$A$39:$A$78,0))&amp;"",""))</f>
      </c>
      <c r="H1601" s="11"/>
      <c r="I1601" s="20"/>
      <c r="J1601" s="11"/>
      <c r="K1601" s="11"/>
      <c r="L1601" s="11"/>
    </row>
    <row r="1602" spans="1:12" x14ac:dyDescent="0.3">
      <c r="A1602" s="31"/>
      <c r="B1602" s="32">
        <f>IF(A1602="","",DATE(YEAR(A1602),MONTH(A1602),1))</f>
      </c>
      <c r="C1602" s="11"/>
      <c r="D1602" s="11"/>
      <c r="E1602" s="16">
        <f>IF(OR(D1602="",C1602&lt;&gt;"Chi"),"",IFERROR(INDEX('Danh mục'!$B$39:$B$78,MATCH(D1602,'Danh mục'!$A$39:$A$78,0))&amp;"","?"))</f>
      </c>
      <c r="F1602" s="16">
        <f>IF(D1602="","",IF(C1602="Thu",IFERROR(INDEX('Danh mục'!$B$26:$B$35,MATCH(D1602,'Danh mục'!$A$26:$A$35,0))&amp;"","?"),IFERROR(INDEX('Danh mục'!$D$39:$D$78,MATCH(D1602,'Danh mục'!$A$39:$A$78,0))&amp;"","?")))</f>
      </c>
      <c r="G1602" s="16">
        <f>IF(OR(D1602="",C1602&lt;&gt;"Chi"),"",IFERROR(INDEX('Danh mục'!$C$39:$C$78,MATCH(D1602,'Danh mục'!$A$39:$A$78,0))&amp;"",""))</f>
      </c>
      <c r="H1602" s="11"/>
      <c r="I1602" s="20"/>
      <c r="J1602" s="11"/>
      <c r="K1602" s="11"/>
      <c r="L1602" s="11"/>
    </row>
    <row r="1603" spans="1:12" x14ac:dyDescent="0.3">
      <c r="A1603" s="31"/>
      <c r="B1603" s="32">
        <f>IF(A1603="","",DATE(YEAR(A1603),MONTH(A1603),1))</f>
      </c>
      <c r="C1603" s="11"/>
      <c r="D1603" s="11"/>
      <c r="E1603" s="16">
        <f>IF(OR(D1603="",C1603&lt;&gt;"Chi"),"",IFERROR(INDEX('Danh mục'!$B$39:$B$78,MATCH(D1603,'Danh mục'!$A$39:$A$78,0))&amp;"","?"))</f>
      </c>
      <c r="F1603" s="16">
        <f>IF(D1603="","",IF(C1603="Thu",IFERROR(INDEX('Danh mục'!$B$26:$B$35,MATCH(D1603,'Danh mục'!$A$26:$A$35,0))&amp;"","?"),IFERROR(INDEX('Danh mục'!$D$39:$D$78,MATCH(D1603,'Danh mục'!$A$39:$A$78,0))&amp;"","?")))</f>
      </c>
      <c r="G1603" s="16">
        <f>IF(OR(D1603="",C1603&lt;&gt;"Chi"),"",IFERROR(INDEX('Danh mục'!$C$39:$C$78,MATCH(D1603,'Danh mục'!$A$39:$A$78,0))&amp;"",""))</f>
      </c>
      <c r="H1603" s="11"/>
      <c r="I1603" s="20"/>
      <c r="J1603" s="11"/>
      <c r="K1603" s="11"/>
      <c r="L1603" s="11"/>
    </row>
    <row r="1604" spans="1:12" x14ac:dyDescent="0.3">
      <c r="A1604" s="31"/>
      <c r="B1604" s="32">
        <f>IF(A1604="","",DATE(YEAR(A1604),MONTH(A1604),1))</f>
      </c>
      <c r="C1604" s="11"/>
      <c r="D1604" s="11"/>
      <c r="E1604" s="16">
        <f>IF(OR(D1604="",C1604&lt;&gt;"Chi"),"",IFERROR(INDEX('Danh mục'!$B$39:$B$78,MATCH(D1604,'Danh mục'!$A$39:$A$78,0))&amp;"","?"))</f>
      </c>
      <c r="F1604" s="16">
        <f>IF(D1604="","",IF(C1604="Thu",IFERROR(INDEX('Danh mục'!$B$26:$B$35,MATCH(D1604,'Danh mục'!$A$26:$A$35,0))&amp;"","?"),IFERROR(INDEX('Danh mục'!$D$39:$D$78,MATCH(D1604,'Danh mục'!$A$39:$A$78,0))&amp;"","?")))</f>
      </c>
      <c r="G1604" s="16">
        <f>IF(OR(D1604="",C1604&lt;&gt;"Chi"),"",IFERROR(INDEX('Danh mục'!$C$39:$C$78,MATCH(D1604,'Danh mục'!$A$39:$A$78,0))&amp;"",""))</f>
      </c>
      <c r="H1604" s="11"/>
      <c r="I1604" s="20"/>
      <c r="J1604" s="11"/>
      <c r="K1604" s="11"/>
      <c r="L1604" s="11"/>
    </row>
    <row r="1605" spans="1:12" x14ac:dyDescent="0.3">
      <c r="A1605" s="31"/>
      <c r="B1605" s="32">
        <f>IF(A1605="","",DATE(YEAR(A1605),MONTH(A1605),1))</f>
      </c>
      <c r="C1605" s="11"/>
      <c r="D1605" s="11"/>
      <c r="E1605" s="16">
        <f>IF(OR(D1605="",C1605&lt;&gt;"Chi"),"",IFERROR(INDEX('Danh mục'!$B$39:$B$78,MATCH(D1605,'Danh mục'!$A$39:$A$78,0))&amp;"","?"))</f>
      </c>
      <c r="F1605" s="16">
        <f>IF(D1605="","",IF(C1605="Thu",IFERROR(INDEX('Danh mục'!$B$26:$B$35,MATCH(D1605,'Danh mục'!$A$26:$A$35,0))&amp;"","?"),IFERROR(INDEX('Danh mục'!$D$39:$D$78,MATCH(D1605,'Danh mục'!$A$39:$A$78,0))&amp;"","?")))</f>
      </c>
      <c r="G1605" s="16">
        <f>IF(OR(D1605="",C1605&lt;&gt;"Chi"),"",IFERROR(INDEX('Danh mục'!$C$39:$C$78,MATCH(D1605,'Danh mục'!$A$39:$A$78,0))&amp;"",""))</f>
      </c>
      <c r="H1605" s="11"/>
      <c r="I1605" s="20"/>
      <c r="J1605" s="11"/>
      <c r="K1605" s="11"/>
      <c r="L1605" s="11"/>
    </row>
    <row r="1606" spans="1:12" x14ac:dyDescent="0.3">
      <c r="A1606" s="31"/>
      <c r="B1606" s="32">
        <f>IF(A1606="","",DATE(YEAR(A1606),MONTH(A1606),1))</f>
      </c>
      <c r="C1606" s="11"/>
      <c r="D1606" s="11"/>
      <c r="E1606" s="16">
        <f>IF(OR(D1606="",C1606&lt;&gt;"Chi"),"",IFERROR(INDEX('Danh mục'!$B$39:$B$78,MATCH(D1606,'Danh mục'!$A$39:$A$78,0))&amp;"","?"))</f>
      </c>
      <c r="F1606" s="16">
        <f>IF(D1606="","",IF(C1606="Thu",IFERROR(INDEX('Danh mục'!$B$26:$B$35,MATCH(D1606,'Danh mục'!$A$26:$A$35,0))&amp;"","?"),IFERROR(INDEX('Danh mục'!$D$39:$D$78,MATCH(D1606,'Danh mục'!$A$39:$A$78,0))&amp;"","?")))</f>
      </c>
      <c r="G1606" s="16">
        <f>IF(OR(D1606="",C1606&lt;&gt;"Chi"),"",IFERROR(INDEX('Danh mục'!$C$39:$C$78,MATCH(D1606,'Danh mục'!$A$39:$A$78,0))&amp;"",""))</f>
      </c>
      <c r="H1606" s="11"/>
      <c r="I1606" s="20"/>
      <c r="J1606" s="11"/>
      <c r="K1606" s="11"/>
      <c r="L1606" s="11"/>
    </row>
    <row r="1607" spans="1:12" x14ac:dyDescent="0.3">
      <c r="A1607" s="31"/>
      <c r="B1607" s="32">
        <f>IF(A1607="","",DATE(YEAR(A1607),MONTH(A1607),1))</f>
      </c>
      <c r="C1607" s="11"/>
      <c r="D1607" s="11"/>
      <c r="E1607" s="16">
        <f>IF(OR(D1607="",C1607&lt;&gt;"Chi"),"",IFERROR(INDEX('Danh mục'!$B$39:$B$78,MATCH(D1607,'Danh mục'!$A$39:$A$78,0))&amp;"","?"))</f>
      </c>
      <c r="F1607" s="16">
        <f>IF(D1607="","",IF(C1607="Thu",IFERROR(INDEX('Danh mục'!$B$26:$B$35,MATCH(D1607,'Danh mục'!$A$26:$A$35,0))&amp;"","?"),IFERROR(INDEX('Danh mục'!$D$39:$D$78,MATCH(D1607,'Danh mục'!$A$39:$A$78,0))&amp;"","?")))</f>
      </c>
      <c r="G1607" s="16">
        <f>IF(OR(D1607="",C1607&lt;&gt;"Chi"),"",IFERROR(INDEX('Danh mục'!$C$39:$C$78,MATCH(D1607,'Danh mục'!$A$39:$A$78,0))&amp;"",""))</f>
      </c>
      <c r="H1607" s="11"/>
      <c r="I1607" s="20"/>
      <c r="J1607" s="11"/>
      <c r="K1607" s="11"/>
      <c r="L1607" s="11"/>
    </row>
    <row r="1608" spans="1:12" x14ac:dyDescent="0.3">
      <c r="A1608" s="31"/>
      <c r="B1608" s="32">
        <f>IF(A1608="","",DATE(YEAR(A1608),MONTH(A1608),1))</f>
      </c>
      <c r="C1608" s="11"/>
      <c r="D1608" s="11"/>
      <c r="E1608" s="16">
        <f>IF(OR(D1608="",C1608&lt;&gt;"Chi"),"",IFERROR(INDEX('Danh mục'!$B$39:$B$78,MATCH(D1608,'Danh mục'!$A$39:$A$78,0))&amp;"","?"))</f>
      </c>
      <c r="F1608" s="16">
        <f>IF(D1608="","",IF(C1608="Thu",IFERROR(INDEX('Danh mục'!$B$26:$B$35,MATCH(D1608,'Danh mục'!$A$26:$A$35,0))&amp;"","?"),IFERROR(INDEX('Danh mục'!$D$39:$D$78,MATCH(D1608,'Danh mục'!$A$39:$A$78,0))&amp;"","?")))</f>
      </c>
      <c r="G1608" s="16">
        <f>IF(OR(D1608="",C1608&lt;&gt;"Chi"),"",IFERROR(INDEX('Danh mục'!$C$39:$C$78,MATCH(D1608,'Danh mục'!$A$39:$A$78,0))&amp;"",""))</f>
      </c>
      <c r="H1608" s="11"/>
      <c r="I1608" s="20"/>
      <c r="J1608" s="11"/>
      <c r="K1608" s="11"/>
      <c r="L1608" s="11"/>
    </row>
    <row r="1609" spans="1:12" x14ac:dyDescent="0.3">
      <c r="A1609" s="31"/>
      <c r="B1609" s="32">
        <f>IF(A1609="","",DATE(YEAR(A1609),MONTH(A1609),1))</f>
      </c>
      <c r="C1609" s="11"/>
      <c r="D1609" s="11"/>
      <c r="E1609" s="16">
        <f>IF(OR(D1609="",C1609&lt;&gt;"Chi"),"",IFERROR(INDEX('Danh mục'!$B$39:$B$78,MATCH(D1609,'Danh mục'!$A$39:$A$78,0))&amp;"","?"))</f>
      </c>
      <c r="F1609" s="16">
        <f>IF(D1609="","",IF(C1609="Thu",IFERROR(INDEX('Danh mục'!$B$26:$B$35,MATCH(D1609,'Danh mục'!$A$26:$A$35,0))&amp;"","?"),IFERROR(INDEX('Danh mục'!$D$39:$D$78,MATCH(D1609,'Danh mục'!$A$39:$A$78,0))&amp;"","?")))</f>
      </c>
      <c r="G1609" s="16">
        <f>IF(OR(D1609="",C1609&lt;&gt;"Chi"),"",IFERROR(INDEX('Danh mục'!$C$39:$C$78,MATCH(D1609,'Danh mục'!$A$39:$A$78,0))&amp;"",""))</f>
      </c>
      <c r="H1609" s="11"/>
      <c r="I1609" s="20"/>
      <c r="J1609" s="11"/>
      <c r="K1609" s="11"/>
      <c r="L1609" s="11"/>
    </row>
    <row r="1610" spans="1:12" x14ac:dyDescent="0.3">
      <c r="A1610" s="31"/>
      <c r="B1610" s="32">
        <f>IF(A1610="","",DATE(YEAR(A1610),MONTH(A1610),1))</f>
      </c>
      <c r="C1610" s="11"/>
      <c r="D1610" s="11"/>
      <c r="E1610" s="16">
        <f>IF(OR(D1610="",C1610&lt;&gt;"Chi"),"",IFERROR(INDEX('Danh mục'!$B$39:$B$78,MATCH(D1610,'Danh mục'!$A$39:$A$78,0))&amp;"","?"))</f>
      </c>
      <c r="F1610" s="16">
        <f>IF(D1610="","",IF(C1610="Thu",IFERROR(INDEX('Danh mục'!$B$26:$B$35,MATCH(D1610,'Danh mục'!$A$26:$A$35,0))&amp;"","?"),IFERROR(INDEX('Danh mục'!$D$39:$D$78,MATCH(D1610,'Danh mục'!$A$39:$A$78,0))&amp;"","?")))</f>
      </c>
      <c r="G1610" s="16">
        <f>IF(OR(D1610="",C1610&lt;&gt;"Chi"),"",IFERROR(INDEX('Danh mục'!$C$39:$C$78,MATCH(D1610,'Danh mục'!$A$39:$A$78,0))&amp;"",""))</f>
      </c>
      <c r="H1610" s="11"/>
      <c r="I1610" s="20"/>
      <c r="J1610" s="11"/>
      <c r="K1610" s="11"/>
      <c r="L1610" s="11"/>
    </row>
    <row r="1611" spans="1:12" x14ac:dyDescent="0.3">
      <c r="A1611" s="31"/>
      <c r="B1611" s="32">
        <f>IF(A1611="","",DATE(YEAR(A1611),MONTH(A1611),1))</f>
      </c>
      <c r="C1611" s="11"/>
      <c r="D1611" s="11"/>
      <c r="E1611" s="16">
        <f>IF(OR(D1611="",C1611&lt;&gt;"Chi"),"",IFERROR(INDEX('Danh mục'!$B$39:$B$78,MATCH(D1611,'Danh mục'!$A$39:$A$78,0))&amp;"","?"))</f>
      </c>
      <c r="F1611" s="16">
        <f>IF(D1611="","",IF(C1611="Thu",IFERROR(INDEX('Danh mục'!$B$26:$B$35,MATCH(D1611,'Danh mục'!$A$26:$A$35,0))&amp;"","?"),IFERROR(INDEX('Danh mục'!$D$39:$D$78,MATCH(D1611,'Danh mục'!$A$39:$A$78,0))&amp;"","?")))</f>
      </c>
      <c r="G1611" s="16">
        <f>IF(OR(D1611="",C1611&lt;&gt;"Chi"),"",IFERROR(INDEX('Danh mục'!$C$39:$C$78,MATCH(D1611,'Danh mục'!$A$39:$A$78,0))&amp;"",""))</f>
      </c>
      <c r="H1611" s="11"/>
      <c r="I1611" s="20"/>
      <c r="J1611" s="11"/>
      <c r="K1611" s="11"/>
      <c r="L1611" s="11"/>
    </row>
    <row r="1612" spans="1:12" x14ac:dyDescent="0.3">
      <c r="A1612" s="31"/>
      <c r="B1612" s="32">
        <f>IF(A1612="","",DATE(YEAR(A1612),MONTH(A1612),1))</f>
      </c>
      <c r="C1612" s="11"/>
      <c r="D1612" s="11"/>
      <c r="E1612" s="16">
        <f>IF(OR(D1612="",C1612&lt;&gt;"Chi"),"",IFERROR(INDEX('Danh mục'!$B$39:$B$78,MATCH(D1612,'Danh mục'!$A$39:$A$78,0))&amp;"","?"))</f>
      </c>
      <c r="F1612" s="16">
        <f>IF(D1612="","",IF(C1612="Thu",IFERROR(INDEX('Danh mục'!$B$26:$B$35,MATCH(D1612,'Danh mục'!$A$26:$A$35,0))&amp;"","?"),IFERROR(INDEX('Danh mục'!$D$39:$D$78,MATCH(D1612,'Danh mục'!$A$39:$A$78,0))&amp;"","?")))</f>
      </c>
      <c r="G1612" s="16">
        <f>IF(OR(D1612="",C1612&lt;&gt;"Chi"),"",IFERROR(INDEX('Danh mục'!$C$39:$C$78,MATCH(D1612,'Danh mục'!$A$39:$A$78,0))&amp;"",""))</f>
      </c>
      <c r="H1612" s="11"/>
      <c r="I1612" s="20"/>
      <c r="J1612" s="11"/>
      <c r="K1612" s="11"/>
      <c r="L1612" s="11"/>
    </row>
    <row r="1613" spans="1:12" x14ac:dyDescent="0.3">
      <c r="A1613" s="31"/>
      <c r="B1613" s="32">
        <f>IF(A1613="","",DATE(YEAR(A1613),MONTH(A1613),1))</f>
      </c>
      <c r="C1613" s="11"/>
      <c r="D1613" s="11"/>
      <c r="E1613" s="16">
        <f>IF(OR(D1613="",C1613&lt;&gt;"Chi"),"",IFERROR(INDEX('Danh mục'!$B$39:$B$78,MATCH(D1613,'Danh mục'!$A$39:$A$78,0))&amp;"","?"))</f>
      </c>
      <c r="F1613" s="16">
        <f>IF(D1613="","",IF(C1613="Thu",IFERROR(INDEX('Danh mục'!$B$26:$B$35,MATCH(D1613,'Danh mục'!$A$26:$A$35,0))&amp;"","?"),IFERROR(INDEX('Danh mục'!$D$39:$D$78,MATCH(D1613,'Danh mục'!$A$39:$A$78,0))&amp;"","?")))</f>
      </c>
      <c r="G1613" s="16">
        <f>IF(OR(D1613="",C1613&lt;&gt;"Chi"),"",IFERROR(INDEX('Danh mục'!$C$39:$C$78,MATCH(D1613,'Danh mục'!$A$39:$A$78,0))&amp;"",""))</f>
      </c>
      <c r="H1613" s="11"/>
      <c r="I1613" s="20"/>
      <c r="J1613" s="11"/>
      <c r="K1613" s="11"/>
      <c r="L1613" s="11"/>
    </row>
    <row r="1614" spans="1:12" x14ac:dyDescent="0.3">
      <c r="A1614" s="31"/>
      <c r="B1614" s="32">
        <f>IF(A1614="","",DATE(YEAR(A1614),MONTH(A1614),1))</f>
      </c>
      <c r="C1614" s="11"/>
      <c r="D1614" s="11"/>
      <c r="E1614" s="16">
        <f>IF(OR(D1614="",C1614&lt;&gt;"Chi"),"",IFERROR(INDEX('Danh mục'!$B$39:$B$78,MATCH(D1614,'Danh mục'!$A$39:$A$78,0))&amp;"","?"))</f>
      </c>
      <c r="F1614" s="16">
        <f>IF(D1614="","",IF(C1614="Thu",IFERROR(INDEX('Danh mục'!$B$26:$B$35,MATCH(D1614,'Danh mục'!$A$26:$A$35,0))&amp;"","?"),IFERROR(INDEX('Danh mục'!$D$39:$D$78,MATCH(D1614,'Danh mục'!$A$39:$A$78,0))&amp;"","?")))</f>
      </c>
      <c r="G1614" s="16">
        <f>IF(OR(D1614="",C1614&lt;&gt;"Chi"),"",IFERROR(INDEX('Danh mục'!$C$39:$C$78,MATCH(D1614,'Danh mục'!$A$39:$A$78,0))&amp;"",""))</f>
      </c>
      <c r="H1614" s="11"/>
      <c r="I1614" s="20"/>
      <c r="J1614" s="11"/>
      <c r="K1614" s="11"/>
      <c r="L1614" s="11"/>
    </row>
    <row r="1615" spans="1:12" x14ac:dyDescent="0.3">
      <c r="A1615" s="31"/>
      <c r="B1615" s="32">
        <f>IF(A1615="","",DATE(YEAR(A1615),MONTH(A1615),1))</f>
      </c>
      <c r="C1615" s="11"/>
      <c r="D1615" s="11"/>
      <c r="E1615" s="16">
        <f>IF(OR(D1615="",C1615&lt;&gt;"Chi"),"",IFERROR(INDEX('Danh mục'!$B$39:$B$78,MATCH(D1615,'Danh mục'!$A$39:$A$78,0))&amp;"","?"))</f>
      </c>
      <c r="F1615" s="16">
        <f>IF(D1615="","",IF(C1615="Thu",IFERROR(INDEX('Danh mục'!$B$26:$B$35,MATCH(D1615,'Danh mục'!$A$26:$A$35,0))&amp;"","?"),IFERROR(INDEX('Danh mục'!$D$39:$D$78,MATCH(D1615,'Danh mục'!$A$39:$A$78,0))&amp;"","?")))</f>
      </c>
      <c r="G1615" s="16">
        <f>IF(OR(D1615="",C1615&lt;&gt;"Chi"),"",IFERROR(INDEX('Danh mục'!$C$39:$C$78,MATCH(D1615,'Danh mục'!$A$39:$A$78,0))&amp;"",""))</f>
      </c>
      <c r="H1615" s="11"/>
      <c r="I1615" s="20"/>
      <c r="J1615" s="11"/>
      <c r="K1615" s="11"/>
      <c r="L1615" s="11"/>
    </row>
    <row r="1616" spans="1:12" x14ac:dyDescent="0.3">
      <c r="A1616" s="31"/>
      <c r="B1616" s="32">
        <f>IF(A1616="","",DATE(YEAR(A1616),MONTH(A1616),1))</f>
      </c>
      <c r="C1616" s="11"/>
      <c r="D1616" s="11"/>
      <c r="E1616" s="16">
        <f>IF(OR(D1616="",C1616&lt;&gt;"Chi"),"",IFERROR(INDEX('Danh mục'!$B$39:$B$78,MATCH(D1616,'Danh mục'!$A$39:$A$78,0))&amp;"","?"))</f>
      </c>
      <c r="F1616" s="16">
        <f>IF(D1616="","",IF(C1616="Thu",IFERROR(INDEX('Danh mục'!$B$26:$B$35,MATCH(D1616,'Danh mục'!$A$26:$A$35,0))&amp;"","?"),IFERROR(INDEX('Danh mục'!$D$39:$D$78,MATCH(D1616,'Danh mục'!$A$39:$A$78,0))&amp;"","?")))</f>
      </c>
      <c r="G1616" s="16">
        <f>IF(OR(D1616="",C1616&lt;&gt;"Chi"),"",IFERROR(INDEX('Danh mục'!$C$39:$C$78,MATCH(D1616,'Danh mục'!$A$39:$A$78,0))&amp;"",""))</f>
      </c>
      <c r="H1616" s="11"/>
      <c r="I1616" s="20"/>
      <c r="J1616" s="11"/>
      <c r="K1616" s="11"/>
      <c r="L1616" s="11"/>
    </row>
    <row r="1617" spans="1:12" x14ac:dyDescent="0.3">
      <c r="A1617" s="31"/>
      <c r="B1617" s="32">
        <f>IF(A1617="","",DATE(YEAR(A1617),MONTH(A1617),1))</f>
      </c>
      <c r="C1617" s="11"/>
      <c r="D1617" s="11"/>
      <c r="E1617" s="16">
        <f>IF(OR(D1617="",C1617&lt;&gt;"Chi"),"",IFERROR(INDEX('Danh mục'!$B$39:$B$78,MATCH(D1617,'Danh mục'!$A$39:$A$78,0))&amp;"","?"))</f>
      </c>
      <c r="F1617" s="16">
        <f>IF(D1617="","",IF(C1617="Thu",IFERROR(INDEX('Danh mục'!$B$26:$B$35,MATCH(D1617,'Danh mục'!$A$26:$A$35,0))&amp;"","?"),IFERROR(INDEX('Danh mục'!$D$39:$D$78,MATCH(D1617,'Danh mục'!$A$39:$A$78,0))&amp;"","?")))</f>
      </c>
      <c r="G1617" s="16">
        <f>IF(OR(D1617="",C1617&lt;&gt;"Chi"),"",IFERROR(INDEX('Danh mục'!$C$39:$C$78,MATCH(D1617,'Danh mục'!$A$39:$A$78,0))&amp;"",""))</f>
      </c>
      <c r="H1617" s="11"/>
      <c r="I1617" s="20"/>
      <c r="J1617" s="11"/>
      <c r="K1617" s="11"/>
      <c r="L1617" s="11"/>
    </row>
    <row r="1618" spans="1:12" x14ac:dyDescent="0.3">
      <c r="A1618" s="31"/>
      <c r="B1618" s="32">
        <f>IF(A1618="","",DATE(YEAR(A1618),MONTH(A1618),1))</f>
      </c>
      <c r="C1618" s="11"/>
      <c r="D1618" s="11"/>
      <c r="E1618" s="16">
        <f>IF(OR(D1618="",C1618&lt;&gt;"Chi"),"",IFERROR(INDEX('Danh mục'!$B$39:$B$78,MATCH(D1618,'Danh mục'!$A$39:$A$78,0))&amp;"","?"))</f>
      </c>
      <c r="F1618" s="16">
        <f>IF(D1618="","",IF(C1618="Thu",IFERROR(INDEX('Danh mục'!$B$26:$B$35,MATCH(D1618,'Danh mục'!$A$26:$A$35,0))&amp;"","?"),IFERROR(INDEX('Danh mục'!$D$39:$D$78,MATCH(D1618,'Danh mục'!$A$39:$A$78,0))&amp;"","?")))</f>
      </c>
      <c r="G1618" s="16">
        <f>IF(OR(D1618="",C1618&lt;&gt;"Chi"),"",IFERROR(INDEX('Danh mục'!$C$39:$C$78,MATCH(D1618,'Danh mục'!$A$39:$A$78,0))&amp;"",""))</f>
      </c>
      <c r="H1618" s="11"/>
      <c r="I1618" s="20"/>
      <c r="J1618" s="11"/>
      <c r="K1618" s="11"/>
      <c r="L1618" s="11"/>
    </row>
    <row r="1619" spans="1:12" x14ac:dyDescent="0.3">
      <c r="A1619" s="31"/>
      <c r="B1619" s="32">
        <f>IF(A1619="","",DATE(YEAR(A1619),MONTH(A1619),1))</f>
      </c>
      <c r="C1619" s="11"/>
      <c r="D1619" s="11"/>
      <c r="E1619" s="16">
        <f>IF(OR(D1619="",C1619&lt;&gt;"Chi"),"",IFERROR(INDEX('Danh mục'!$B$39:$B$78,MATCH(D1619,'Danh mục'!$A$39:$A$78,0))&amp;"","?"))</f>
      </c>
      <c r="F1619" s="16">
        <f>IF(D1619="","",IF(C1619="Thu",IFERROR(INDEX('Danh mục'!$B$26:$B$35,MATCH(D1619,'Danh mục'!$A$26:$A$35,0))&amp;"","?"),IFERROR(INDEX('Danh mục'!$D$39:$D$78,MATCH(D1619,'Danh mục'!$A$39:$A$78,0))&amp;"","?")))</f>
      </c>
      <c r="G1619" s="16">
        <f>IF(OR(D1619="",C1619&lt;&gt;"Chi"),"",IFERROR(INDEX('Danh mục'!$C$39:$C$78,MATCH(D1619,'Danh mục'!$A$39:$A$78,0))&amp;"",""))</f>
      </c>
      <c r="H1619" s="11"/>
      <c r="I1619" s="20"/>
      <c r="J1619" s="11"/>
      <c r="K1619" s="11"/>
      <c r="L1619" s="11"/>
    </row>
    <row r="1620" spans="1:12" x14ac:dyDescent="0.3">
      <c r="A1620" s="31"/>
      <c r="B1620" s="32">
        <f>IF(A1620="","",DATE(YEAR(A1620),MONTH(A1620),1))</f>
      </c>
      <c r="C1620" s="11"/>
      <c r="D1620" s="11"/>
      <c r="E1620" s="16">
        <f>IF(OR(D1620="",C1620&lt;&gt;"Chi"),"",IFERROR(INDEX('Danh mục'!$B$39:$B$78,MATCH(D1620,'Danh mục'!$A$39:$A$78,0))&amp;"","?"))</f>
      </c>
      <c r="F1620" s="16">
        <f>IF(D1620="","",IF(C1620="Thu",IFERROR(INDEX('Danh mục'!$B$26:$B$35,MATCH(D1620,'Danh mục'!$A$26:$A$35,0))&amp;"","?"),IFERROR(INDEX('Danh mục'!$D$39:$D$78,MATCH(D1620,'Danh mục'!$A$39:$A$78,0))&amp;"","?")))</f>
      </c>
      <c r="G1620" s="16">
        <f>IF(OR(D1620="",C1620&lt;&gt;"Chi"),"",IFERROR(INDEX('Danh mục'!$C$39:$C$78,MATCH(D1620,'Danh mục'!$A$39:$A$78,0))&amp;"",""))</f>
      </c>
      <c r="H1620" s="11"/>
      <c r="I1620" s="20"/>
      <c r="J1620" s="11"/>
      <c r="K1620" s="11"/>
      <c r="L1620" s="11"/>
    </row>
    <row r="1621" spans="1:12" x14ac:dyDescent="0.3">
      <c r="A1621" s="31"/>
      <c r="B1621" s="32">
        <f>IF(A1621="","",DATE(YEAR(A1621),MONTH(A1621),1))</f>
      </c>
      <c r="C1621" s="11"/>
      <c r="D1621" s="11"/>
      <c r="E1621" s="16">
        <f>IF(OR(D1621="",C1621&lt;&gt;"Chi"),"",IFERROR(INDEX('Danh mục'!$B$39:$B$78,MATCH(D1621,'Danh mục'!$A$39:$A$78,0))&amp;"","?"))</f>
      </c>
      <c r="F1621" s="16">
        <f>IF(D1621="","",IF(C1621="Thu",IFERROR(INDEX('Danh mục'!$B$26:$B$35,MATCH(D1621,'Danh mục'!$A$26:$A$35,0))&amp;"","?"),IFERROR(INDEX('Danh mục'!$D$39:$D$78,MATCH(D1621,'Danh mục'!$A$39:$A$78,0))&amp;"","?")))</f>
      </c>
      <c r="G1621" s="16">
        <f>IF(OR(D1621="",C1621&lt;&gt;"Chi"),"",IFERROR(INDEX('Danh mục'!$C$39:$C$78,MATCH(D1621,'Danh mục'!$A$39:$A$78,0))&amp;"",""))</f>
      </c>
      <c r="H1621" s="11"/>
      <c r="I1621" s="20"/>
      <c r="J1621" s="11"/>
      <c r="K1621" s="11"/>
      <c r="L1621" s="11"/>
    </row>
    <row r="1622" spans="1:12" x14ac:dyDescent="0.3">
      <c r="A1622" s="31"/>
      <c r="B1622" s="32">
        <f>IF(A1622="","",DATE(YEAR(A1622),MONTH(A1622),1))</f>
      </c>
      <c r="C1622" s="11"/>
      <c r="D1622" s="11"/>
      <c r="E1622" s="16">
        <f>IF(OR(D1622="",C1622&lt;&gt;"Chi"),"",IFERROR(INDEX('Danh mục'!$B$39:$B$78,MATCH(D1622,'Danh mục'!$A$39:$A$78,0))&amp;"","?"))</f>
      </c>
      <c r="F1622" s="16">
        <f>IF(D1622="","",IF(C1622="Thu",IFERROR(INDEX('Danh mục'!$B$26:$B$35,MATCH(D1622,'Danh mục'!$A$26:$A$35,0))&amp;"","?"),IFERROR(INDEX('Danh mục'!$D$39:$D$78,MATCH(D1622,'Danh mục'!$A$39:$A$78,0))&amp;"","?")))</f>
      </c>
      <c r="G1622" s="16">
        <f>IF(OR(D1622="",C1622&lt;&gt;"Chi"),"",IFERROR(INDEX('Danh mục'!$C$39:$C$78,MATCH(D1622,'Danh mục'!$A$39:$A$78,0))&amp;"",""))</f>
      </c>
      <c r="H1622" s="11"/>
      <c r="I1622" s="20"/>
      <c r="J1622" s="11"/>
      <c r="K1622" s="11"/>
      <c r="L1622" s="11"/>
    </row>
    <row r="1623" spans="1:12" x14ac:dyDescent="0.3">
      <c r="A1623" s="31"/>
      <c r="B1623" s="32">
        <f>IF(A1623="","",DATE(YEAR(A1623),MONTH(A1623),1))</f>
      </c>
      <c r="C1623" s="11"/>
      <c r="D1623" s="11"/>
      <c r="E1623" s="16">
        <f>IF(OR(D1623="",C1623&lt;&gt;"Chi"),"",IFERROR(INDEX('Danh mục'!$B$39:$B$78,MATCH(D1623,'Danh mục'!$A$39:$A$78,0))&amp;"","?"))</f>
      </c>
      <c r="F1623" s="16">
        <f>IF(D1623="","",IF(C1623="Thu",IFERROR(INDEX('Danh mục'!$B$26:$B$35,MATCH(D1623,'Danh mục'!$A$26:$A$35,0))&amp;"","?"),IFERROR(INDEX('Danh mục'!$D$39:$D$78,MATCH(D1623,'Danh mục'!$A$39:$A$78,0))&amp;"","?")))</f>
      </c>
      <c r="G1623" s="16">
        <f>IF(OR(D1623="",C1623&lt;&gt;"Chi"),"",IFERROR(INDEX('Danh mục'!$C$39:$C$78,MATCH(D1623,'Danh mục'!$A$39:$A$78,0))&amp;"",""))</f>
      </c>
      <c r="H1623" s="11"/>
      <c r="I1623" s="20"/>
      <c r="J1623" s="11"/>
      <c r="K1623" s="11"/>
      <c r="L1623" s="11"/>
    </row>
    <row r="1624" spans="1:12" x14ac:dyDescent="0.3">
      <c r="A1624" s="31"/>
      <c r="B1624" s="32">
        <f>IF(A1624="","",DATE(YEAR(A1624),MONTH(A1624),1))</f>
      </c>
      <c r="C1624" s="11"/>
      <c r="D1624" s="11"/>
      <c r="E1624" s="16">
        <f>IF(OR(D1624="",C1624&lt;&gt;"Chi"),"",IFERROR(INDEX('Danh mục'!$B$39:$B$78,MATCH(D1624,'Danh mục'!$A$39:$A$78,0))&amp;"","?"))</f>
      </c>
      <c r="F1624" s="16">
        <f>IF(D1624="","",IF(C1624="Thu",IFERROR(INDEX('Danh mục'!$B$26:$B$35,MATCH(D1624,'Danh mục'!$A$26:$A$35,0))&amp;"","?"),IFERROR(INDEX('Danh mục'!$D$39:$D$78,MATCH(D1624,'Danh mục'!$A$39:$A$78,0))&amp;"","?")))</f>
      </c>
      <c r="G1624" s="16">
        <f>IF(OR(D1624="",C1624&lt;&gt;"Chi"),"",IFERROR(INDEX('Danh mục'!$C$39:$C$78,MATCH(D1624,'Danh mục'!$A$39:$A$78,0))&amp;"",""))</f>
      </c>
      <c r="H1624" s="11"/>
      <c r="I1624" s="20"/>
      <c r="J1624" s="11"/>
      <c r="K1624" s="11"/>
      <c r="L1624" s="11"/>
    </row>
    <row r="1625" spans="1:12" x14ac:dyDescent="0.3">
      <c r="A1625" s="31"/>
      <c r="B1625" s="32">
        <f>IF(A1625="","",DATE(YEAR(A1625),MONTH(A1625),1))</f>
      </c>
      <c r="C1625" s="11"/>
      <c r="D1625" s="11"/>
      <c r="E1625" s="16">
        <f>IF(OR(D1625="",C1625&lt;&gt;"Chi"),"",IFERROR(INDEX('Danh mục'!$B$39:$B$78,MATCH(D1625,'Danh mục'!$A$39:$A$78,0))&amp;"","?"))</f>
      </c>
      <c r="F1625" s="16">
        <f>IF(D1625="","",IF(C1625="Thu",IFERROR(INDEX('Danh mục'!$B$26:$B$35,MATCH(D1625,'Danh mục'!$A$26:$A$35,0))&amp;"","?"),IFERROR(INDEX('Danh mục'!$D$39:$D$78,MATCH(D1625,'Danh mục'!$A$39:$A$78,0))&amp;"","?")))</f>
      </c>
      <c r="G1625" s="16">
        <f>IF(OR(D1625="",C1625&lt;&gt;"Chi"),"",IFERROR(INDEX('Danh mục'!$C$39:$C$78,MATCH(D1625,'Danh mục'!$A$39:$A$78,0))&amp;"",""))</f>
      </c>
      <c r="H1625" s="11"/>
      <c r="I1625" s="20"/>
      <c r="J1625" s="11"/>
      <c r="K1625" s="11"/>
      <c r="L1625" s="11"/>
    </row>
    <row r="1626" spans="1:12" x14ac:dyDescent="0.3">
      <c r="A1626" s="31"/>
      <c r="B1626" s="32">
        <f>IF(A1626="","",DATE(YEAR(A1626),MONTH(A1626),1))</f>
      </c>
      <c r="C1626" s="11"/>
      <c r="D1626" s="11"/>
      <c r="E1626" s="16">
        <f>IF(OR(D1626="",C1626&lt;&gt;"Chi"),"",IFERROR(INDEX('Danh mục'!$B$39:$B$78,MATCH(D1626,'Danh mục'!$A$39:$A$78,0))&amp;"","?"))</f>
      </c>
      <c r="F1626" s="16">
        <f>IF(D1626="","",IF(C1626="Thu",IFERROR(INDEX('Danh mục'!$B$26:$B$35,MATCH(D1626,'Danh mục'!$A$26:$A$35,0))&amp;"","?"),IFERROR(INDEX('Danh mục'!$D$39:$D$78,MATCH(D1626,'Danh mục'!$A$39:$A$78,0))&amp;"","?")))</f>
      </c>
      <c r="G1626" s="16">
        <f>IF(OR(D1626="",C1626&lt;&gt;"Chi"),"",IFERROR(INDEX('Danh mục'!$C$39:$C$78,MATCH(D1626,'Danh mục'!$A$39:$A$78,0))&amp;"",""))</f>
      </c>
      <c r="H1626" s="11"/>
      <c r="I1626" s="20"/>
      <c r="J1626" s="11"/>
      <c r="K1626" s="11"/>
      <c r="L1626" s="11"/>
    </row>
    <row r="1627" spans="1:12" x14ac:dyDescent="0.3">
      <c r="A1627" s="31"/>
      <c r="B1627" s="32">
        <f>IF(A1627="","",DATE(YEAR(A1627),MONTH(A1627),1))</f>
      </c>
      <c r="C1627" s="11"/>
      <c r="D1627" s="11"/>
      <c r="E1627" s="16">
        <f>IF(OR(D1627="",C1627&lt;&gt;"Chi"),"",IFERROR(INDEX('Danh mục'!$B$39:$B$78,MATCH(D1627,'Danh mục'!$A$39:$A$78,0))&amp;"","?"))</f>
      </c>
      <c r="F1627" s="16">
        <f>IF(D1627="","",IF(C1627="Thu",IFERROR(INDEX('Danh mục'!$B$26:$B$35,MATCH(D1627,'Danh mục'!$A$26:$A$35,0))&amp;"","?"),IFERROR(INDEX('Danh mục'!$D$39:$D$78,MATCH(D1627,'Danh mục'!$A$39:$A$78,0))&amp;"","?")))</f>
      </c>
      <c r="G1627" s="16">
        <f>IF(OR(D1627="",C1627&lt;&gt;"Chi"),"",IFERROR(INDEX('Danh mục'!$C$39:$C$78,MATCH(D1627,'Danh mục'!$A$39:$A$78,0))&amp;"",""))</f>
      </c>
      <c r="H1627" s="11"/>
      <c r="I1627" s="20"/>
      <c r="J1627" s="11"/>
      <c r="K1627" s="11"/>
      <c r="L1627" s="11"/>
    </row>
    <row r="1628" spans="1:12" x14ac:dyDescent="0.3">
      <c r="A1628" s="31"/>
      <c r="B1628" s="32">
        <f>IF(A1628="","",DATE(YEAR(A1628),MONTH(A1628),1))</f>
      </c>
      <c r="C1628" s="11"/>
      <c r="D1628" s="11"/>
      <c r="E1628" s="16">
        <f>IF(OR(D1628="",C1628&lt;&gt;"Chi"),"",IFERROR(INDEX('Danh mục'!$B$39:$B$78,MATCH(D1628,'Danh mục'!$A$39:$A$78,0))&amp;"","?"))</f>
      </c>
      <c r="F1628" s="16">
        <f>IF(D1628="","",IF(C1628="Thu",IFERROR(INDEX('Danh mục'!$B$26:$B$35,MATCH(D1628,'Danh mục'!$A$26:$A$35,0))&amp;"","?"),IFERROR(INDEX('Danh mục'!$D$39:$D$78,MATCH(D1628,'Danh mục'!$A$39:$A$78,0))&amp;"","?")))</f>
      </c>
      <c r="G1628" s="16">
        <f>IF(OR(D1628="",C1628&lt;&gt;"Chi"),"",IFERROR(INDEX('Danh mục'!$C$39:$C$78,MATCH(D1628,'Danh mục'!$A$39:$A$78,0))&amp;"",""))</f>
      </c>
      <c r="H1628" s="11"/>
      <c r="I1628" s="20"/>
      <c r="J1628" s="11"/>
      <c r="K1628" s="11"/>
      <c r="L1628" s="11"/>
    </row>
    <row r="1629" spans="1:12" x14ac:dyDescent="0.3">
      <c r="A1629" s="31"/>
      <c r="B1629" s="32">
        <f>IF(A1629="","",DATE(YEAR(A1629),MONTH(A1629),1))</f>
      </c>
      <c r="C1629" s="11"/>
      <c r="D1629" s="11"/>
      <c r="E1629" s="16">
        <f>IF(OR(D1629="",C1629&lt;&gt;"Chi"),"",IFERROR(INDEX('Danh mục'!$B$39:$B$78,MATCH(D1629,'Danh mục'!$A$39:$A$78,0))&amp;"","?"))</f>
      </c>
      <c r="F1629" s="16">
        <f>IF(D1629="","",IF(C1629="Thu",IFERROR(INDEX('Danh mục'!$B$26:$B$35,MATCH(D1629,'Danh mục'!$A$26:$A$35,0))&amp;"","?"),IFERROR(INDEX('Danh mục'!$D$39:$D$78,MATCH(D1629,'Danh mục'!$A$39:$A$78,0))&amp;"","?")))</f>
      </c>
      <c r="G1629" s="16">
        <f>IF(OR(D1629="",C1629&lt;&gt;"Chi"),"",IFERROR(INDEX('Danh mục'!$C$39:$C$78,MATCH(D1629,'Danh mục'!$A$39:$A$78,0))&amp;"",""))</f>
      </c>
      <c r="H1629" s="11"/>
      <c r="I1629" s="20"/>
      <c r="J1629" s="11"/>
      <c r="K1629" s="11"/>
      <c r="L1629" s="11"/>
    </row>
    <row r="1630" spans="1:12" x14ac:dyDescent="0.3">
      <c r="A1630" s="31"/>
      <c r="B1630" s="32">
        <f>IF(A1630="","",DATE(YEAR(A1630),MONTH(A1630),1))</f>
      </c>
      <c r="C1630" s="11"/>
      <c r="D1630" s="11"/>
      <c r="E1630" s="16">
        <f>IF(OR(D1630="",C1630&lt;&gt;"Chi"),"",IFERROR(INDEX('Danh mục'!$B$39:$B$78,MATCH(D1630,'Danh mục'!$A$39:$A$78,0))&amp;"","?"))</f>
      </c>
      <c r="F1630" s="16">
        <f>IF(D1630="","",IF(C1630="Thu",IFERROR(INDEX('Danh mục'!$B$26:$B$35,MATCH(D1630,'Danh mục'!$A$26:$A$35,0))&amp;"","?"),IFERROR(INDEX('Danh mục'!$D$39:$D$78,MATCH(D1630,'Danh mục'!$A$39:$A$78,0))&amp;"","?")))</f>
      </c>
      <c r="G1630" s="16">
        <f>IF(OR(D1630="",C1630&lt;&gt;"Chi"),"",IFERROR(INDEX('Danh mục'!$C$39:$C$78,MATCH(D1630,'Danh mục'!$A$39:$A$78,0))&amp;"",""))</f>
      </c>
      <c r="H1630" s="11"/>
      <c r="I1630" s="20"/>
      <c r="J1630" s="11"/>
      <c r="K1630" s="11"/>
      <c r="L1630" s="11"/>
    </row>
    <row r="1631" spans="1:12" x14ac:dyDescent="0.3">
      <c r="A1631" s="31"/>
      <c r="B1631" s="32">
        <f>IF(A1631="","",DATE(YEAR(A1631),MONTH(A1631),1))</f>
      </c>
      <c r="C1631" s="11"/>
      <c r="D1631" s="11"/>
      <c r="E1631" s="16">
        <f>IF(OR(D1631="",C1631&lt;&gt;"Chi"),"",IFERROR(INDEX('Danh mục'!$B$39:$B$78,MATCH(D1631,'Danh mục'!$A$39:$A$78,0))&amp;"","?"))</f>
      </c>
      <c r="F1631" s="16">
        <f>IF(D1631="","",IF(C1631="Thu",IFERROR(INDEX('Danh mục'!$B$26:$B$35,MATCH(D1631,'Danh mục'!$A$26:$A$35,0))&amp;"","?"),IFERROR(INDEX('Danh mục'!$D$39:$D$78,MATCH(D1631,'Danh mục'!$A$39:$A$78,0))&amp;"","?")))</f>
      </c>
      <c r="G1631" s="16">
        <f>IF(OR(D1631="",C1631&lt;&gt;"Chi"),"",IFERROR(INDEX('Danh mục'!$C$39:$C$78,MATCH(D1631,'Danh mục'!$A$39:$A$78,0))&amp;"",""))</f>
      </c>
      <c r="H1631" s="11"/>
      <c r="I1631" s="20"/>
      <c r="J1631" s="11"/>
      <c r="K1631" s="11"/>
      <c r="L1631" s="11"/>
    </row>
    <row r="1632" spans="1:12" x14ac:dyDescent="0.3">
      <c r="A1632" s="31"/>
      <c r="B1632" s="32">
        <f>IF(A1632="","",DATE(YEAR(A1632),MONTH(A1632),1))</f>
      </c>
      <c r="C1632" s="11"/>
      <c r="D1632" s="11"/>
      <c r="E1632" s="16">
        <f>IF(OR(D1632="",C1632&lt;&gt;"Chi"),"",IFERROR(INDEX('Danh mục'!$B$39:$B$78,MATCH(D1632,'Danh mục'!$A$39:$A$78,0))&amp;"","?"))</f>
      </c>
      <c r="F1632" s="16">
        <f>IF(D1632="","",IF(C1632="Thu",IFERROR(INDEX('Danh mục'!$B$26:$B$35,MATCH(D1632,'Danh mục'!$A$26:$A$35,0))&amp;"","?"),IFERROR(INDEX('Danh mục'!$D$39:$D$78,MATCH(D1632,'Danh mục'!$A$39:$A$78,0))&amp;"","?")))</f>
      </c>
      <c r="G1632" s="16">
        <f>IF(OR(D1632="",C1632&lt;&gt;"Chi"),"",IFERROR(INDEX('Danh mục'!$C$39:$C$78,MATCH(D1632,'Danh mục'!$A$39:$A$78,0))&amp;"",""))</f>
      </c>
      <c r="H1632" s="11"/>
      <c r="I1632" s="20"/>
      <c r="J1632" s="11"/>
      <c r="K1632" s="11"/>
      <c r="L1632" s="11"/>
    </row>
    <row r="1633" spans="1:12" x14ac:dyDescent="0.3">
      <c r="A1633" s="31"/>
      <c r="B1633" s="32">
        <f>IF(A1633="","",DATE(YEAR(A1633),MONTH(A1633),1))</f>
      </c>
      <c r="C1633" s="11"/>
      <c r="D1633" s="11"/>
      <c r="E1633" s="16">
        <f>IF(OR(D1633="",C1633&lt;&gt;"Chi"),"",IFERROR(INDEX('Danh mục'!$B$39:$B$78,MATCH(D1633,'Danh mục'!$A$39:$A$78,0))&amp;"","?"))</f>
      </c>
      <c r="F1633" s="16">
        <f>IF(D1633="","",IF(C1633="Thu",IFERROR(INDEX('Danh mục'!$B$26:$B$35,MATCH(D1633,'Danh mục'!$A$26:$A$35,0))&amp;"","?"),IFERROR(INDEX('Danh mục'!$D$39:$D$78,MATCH(D1633,'Danh mục'!$A$39:$A$78,0))&amp;"","?")))</f>
      </c>
      <c r="G1633" s="16">
        <f>IF(OR(D1633="",C1633&lt;&gt;"Chi"),"",IFERROR(INDEX('Danh mục'!$C$39:$C$78,MATCH(D1633,'Danh mục'!$A$39:$A$78,0))&amp;"",""))</f>
      </c>
      <c r="H1633" s="11"/>
      <c r="I1633" s="20"/>
      <c r="J1633" s="11"/>
      <c r="K1633" s="11"/>
      <c r="L1633" s="11"/>
    </row>
    <row r="1634" spans="1:12" x14ac:dyDescent="0.3">
      <c r="A1634" s="31"/>
      <c r="B1634" s="32">
        <f>IF(A1634="","",DATE(YEAR(A1634),MONTH(A1634),1))</f>
      </c>
      <c r="C1634" s="11"/>
      <c r="D1634" s="11"/>
      <c r="E1634" s="16">
        <f>IF(OR(D1634="",C1634&lt;&gt;"Chi"),"",IFERROR(INDEX('Danh mục'!$B$39:$B$78,MATCH(D1634,'Danh mục'!$A$39:$A$78,0))&amp;"","?"))</f>
      </c>
      <c r="F1634" s="16">
        <f>IF(D1634="","",IF(C1634="Thu",IFERROR(INDEX('Danh mục'!$B$26:$B$35,MATCH(D1634,'Danh mục'!$A$26:$A$35,0))&amp;"","?"),IFERROR(INDEX('Danh mục'!$D$39:$D$78,MATCH(D1634,'Danh mục'!$A$39:$A$78,0))&amp;"","?")))</f>
      </c>
      <c r="G1634" s="16">
        <f>IF(OR(D1634="",C1634&lt;&gt;"Chi"),"",IFERROR(INDEX('Danh mục'!$C$39:$C$78,MATCH(D1634,'Danh mục'!$A$39:$A$78,0))&amp;"",""))</f>
      </c>
      <c r="H1634" s="11"/>
      <c r="I1634" s="20"/>
      <c r="J1634" s="11"/>
      <c r="K1634" s="11"/>
      <c r="L1634" s="11"/>
    </row>
    <row r="1635" spans="1:12" x14ac:dyDescent="0.3">
      <c r="A1635" s="31"/>
      <c r="B1635" s="32">
        <f>IF(A1635="","",DATE(YEAR(A1635),MONTH(A1635),1))</f>
      </c>
      <c r="C1635" s="11"/>
      <c r="D1635" s="11"/>
      <c r="E1635" s="16">
        <f>IF(OR(D1635="",C1635&lt;&gt;"Chi"),"",IFERROR(INDEX('Danh mục'!$B$39:$B$78,MATCH(D1635,'Danh mục'!$A$39:$A$78,0))&amp;"","?"))</f>
      </c>
      <c r="F1635" s="16">
        <f>IF(D1635="","",IF(C1635="Thu",IFERROR(INDEX('Danh mục'!$B$26:$B$35,MATCH(D1635,'Danh mục'!$A$26:$A$35,0))&amp;"","?"),IFERROR(INDEX('Danh mục'!$D$39:$D$78,MATCH(D1635,'Danh mục'!$A$39:$A$78,0))&amp;"","?")))</f>
      </c>
      <c r="G1635" s="16">
        <f>IF(OR(D1635="",C1635&lt;&gt;"Chi"),"",IFERROR(INDEX('Danh mục'!$C$39:$C$78,MATCH(D1635,'Danh mục'!$A$39:$A$78,0))&amp;"",""))</f>
      </c>
      <c r="H1635" s="11"/>
      <c r="I1635" s="20"/>
      <c r="J1635" s="11"/>
      <c r="K1635" s="11"/>
      <c r="L1635" s="11"/>
    </row>
    <row r="1636" spans="1:12" x14ac:dyDescent="0.3">
      <c r="A1636" s="31"/>
      <c r="B1636" s="32">
        <f>IF(A1636="","",DATE(YEAR(A1636),MONTH(A1636),1))</f>
      </c>
      <c r="C1636" s="11"/>
      <c r="D1636" s="11"/>
      <c r="E1636" s="16">
        <f>IF(OR(D1636="",C1636&lt;&gt;"Chi"),"",IFERROR(INDEX('Danh mục'!$B$39:$B$78,MATCH(D1636,'Danh mục'!$A$39:$A$78,0))&amp;"","?"))</f>
      </c>
      <c r="F1636" s="16">
        <f>IF(D1636="","",IF(C1636="Thu",IFERROR(INDEX('Danh mục'!$B$26:$B$35,MATCH(D1636,'Danh mục'!$A$26:$A$35,0))&amp;"","?"),IFERROR(INDEX('Danh mục'!$D$39:$D$78,MATCH(D1636,'Danh mục'!$A$39:$A$78,0))&amp;"","?")))</f>
      </c>
      <c r="G1636" s="16">
        <f>IF(OR(D1636="",C1636&lt;&gt;"Chi"),"",IFERROR(INDEX('Danh mục'!$C$39:$C$78,MATCH(D1636,'Danh mục'!$A$39:$A$78,0))&amp;"",""))</f>
      </c>
      <c r="H1636" s="11"/>
      <c r="I1636" s="20"/>
      <c r="J1636" s="11"/>
      <c r="K1636" s="11"/>
      <c r="L1636" s="11"/>
    </row>
    <row r="1637" spans="1:12" x14ac:dyDescent="0.3">
      <c r="A1637" s="31"/>
      <c r="B1637" s="32">
        <f>IF(A1637="","",DATE(YEAR(A1637),MONTH(A1637),1))</f>
      </c>
      <c r="C1637" s="11"/>
      <c r="D1637" s="11"/>
      <c r="E1637" s="16">
        <f>IF(OR(D1637="",C1637&lt;&gt;"Chi"),"",IFERROR(INDEX('Danh mục'!$B$39:$B$78,MATCH(D1637,'Danh mục'!$A$39:$A$78,0))&amp;"","?"))</f>
      </c>
      <c r="F1637" s="16">
        <f>IF(D1637="","",IF(C1637="Thu",IFERROR(INDEX('Danh mục'!$B$26:$B$35,MATCH(D1637,'Danh mục'!$A$26:$A$35,0))&amp;"","?"),IFERROR(INDEX('Danh mục'!$D$39:$D$78,MATCH(D1637,'Danh mục'!$A$39:$A$78,0))&amp;"","?")))</f>
      </c>
      <c r="G1637" s="16">
        <f>IF(OR(D1637="",C1637&lt;&gt;"Chi"),"",IFERROR(INDEX('Danh mục'!$C$39:$C$78,MATCH(D1637,'Danh mục'!$A$39:$A$78,0))&amp;"",""))</f>
      </c>
      <c r="H1637" s="11"/>
      <c r="I1637" s="20"/>
      <c r="J1637" s="11"/>
      <c r="K1637" s="11"/>
      <c r="L1637" s="11"/>
    </row>
    <row r="1638" spans="1:12" x14ac:dyDescent="0.3">
      <c r="A1638" s="31"/>
      <c r="B1638" s="32">
        <f>IF(A1638="","",DATE(YEAR(A1638),MONTH(A1638),1))</f>
      </c>
      <c r="C1638" s="11"/>
      <c r="D1638" s="11"/>
      <c r="E1638" s="16">
        <f>IF(OR(D1638="",C1638&lt;&gt;"Chi"),"",IFERROR(INDEX('Danh mục'!$B$39:$B$78,MATCH(D1638,'Danh mục'!$A$39:$A$78,0))&amp;"","?"))</f>
      </c>
      <c r="F1638" s="16">
        <f>IF(D1638="","",IF(C1638="Thu",IFERROR(INDEX('Danh mục'!$B$26:$B$35,MATCH(D1638,'Danh mục'!$A$26:$A$35,0))&amp;"","?"),IFERROR(INDEX('Danh mục'!$D$39:$D$78,MATCH(D1638,'Danh mục'!$A$39:$A$78,0))&amp;"","?")))</f>
      </c>
      <c r="G1638" s="16">
        <f>IF(OR(D1638="",C1638&lt;&gt;"Chi"),"",IFERROR(INDEX('Danh mục'!$C$39:$C$78,MATCH(D1638,'Danh mục'!$A$39:$A$78,0))&amp;"",""))</f>
      </c>
      <c r="H1638" s="11"/>
      <c r="I1638" s="20"/>
      <c r="J1638" s="11"/>
      <c r="K1638" s="11"/>
      <c r="L1638" s="11"/>
    </row>
    <row r="1639" spans="1:12" x14ac:dyDescent="0.3">
      <c r="A1639" s="31"/>
      <c r="B1639" s="32">
        <f>IF(A1639="","",DATE(YEAR(A1639),MONTH(A1639),1))</f>
      </c>
      <c r="C1639" s="11"/>
      <c r="D1639" s="11"/>
      <c r="E1639" s="16">
        <f>IF(OR(D1639="",C1639&lt;&gt;"Chi"),"",IFERROR(INDEX('Danh mục'!$B$39:$B$78,MATCH(D1639,'Danh mục'!$A$39:$A$78,0))&amp;"","?"))</f>
      </c>
      <c r="F1639" s="16">
        <f>IF(D1639="","",IF(C1639="Thu",IFERROR(INDEX('Danh mục'!$B$26:$B$35,MATCH(D1639,'Danh mục'!$A$26:$A$35,0))&amp;"","?"),IFERROR(INDEX('Danh mục'!$D$39:$D$78,MATCH(D1639,'Danh mục'!$A$39:$A$78,0))&amp;"","?")))</f>
      </c>
      <c r="G1639" s="16">
        <f>IF(OR(D1639="",C1639&lt;&gt;"Chi"),"",IFERROR(INDEX('Danh mục'!$C$39:$C$78,MATCH(D1639,'Danh mục'!$A$39:$A$78,0))&amp;"",""))</f>
      </c>
      <c r="H1639" s="11"/>
      <c r="I1639" s="20"/>
      <c r="J1639" s="11"/>
      <c r="K1639" s="11"/>
      <c r="L1639" s="11"/>
    </row>
    <row r="1640" spans="1:12" x14ac:dyDescent="0.3">
      <c r="A1640" s="31"/>
      <c r="B1640" s="32">
        <f>IF(A1640="","",DATE(YEAR(A1640),MONTH(A1640),1))</f>
      </c>
      <c r="C1640" s="11"/>
      <c r="D1640" s="11"/>
      <c r="E1640" s="16">
        <f>IF(OR(D1640="",C1640&lt;&gt;"Chi"),"",IFERROR(INDEX('Danh mục'!$B$39:$B$78,MATCH(D1640,'Danh mục'!$A$39:$A$78,0))&amp;"","?"))</f>
      </c>
      <c r="F1640" s="16">
        <f>IF(D1640="","",IF(C1640="Thu",IFERROR(INDEX('Danh mục'!$B$26:$B$35,MATCH(D1640,'Danh mục'!$A$26:$A$35,0))&amp;"","?"),IFERROR(INDEX('Danh mục'!$D$39:$D$78,MATCH(D1640,'Danh mục'!$A$39:$A$78,0))&amp;"","?")))</f>
      </c>
      <c r="G1640" s="16">
        <f>IF(OR(D1640="",C1640&lt;&gt;"Chi"),"",IFERROR(INDEX('Danh mục'!$C$39:$C$78,MATCH(D1640,'Danh mục'!$A$39:$A$78,0))&amp;"",""))</f>
      </c>
      <c r="H1640" s="11"/>
      <c r="I1640" s="20"/>
      <c r="J1640" s="11"/>
      <c r="K1640" s="11"/>
      <c r="L1640" s="11"/>
    </row>
    <row r="1641" spans="1:12" x14ac:dyDescent="0.3">
      <c r="A1641" s="31"/>
      <c r="B1641" s="32">
        <f>IF(A1641="","",DATE(YEAR(A1641),MONTH(A1641),1))</f>
      </c>
      <c r="C1641" s="11"/>
      <c r="D1641" s="11"/>
      <c r="E1641" s="16">
        <f>IF(OR(D1641="",C1641&lt;&gt;"Chi"),"",IFERROR(INDEX('Danh mục'!$B$39:$B$78,MATCH(D1641,'Danh mục'!$A$39:$A$78,0))&amp;"","?"))</f>
      </c>
      <c r="F1641" s="16">
        <f>IF(D1641="","",IF(C1641="Thu",IFERROR(INDEX('Danh mục'!$B$26:$B$35,MATCH(D1641,'Danh mục'!$A$26:$A$35,0))&amp;"","?"),IFERROR(INDEX('Danh mục'!$D$39:$D$78,MATCH(D1641,'Danh mục'!$A$39:$A$78,0))&amp;"","?")))</f>
      </c>
      <c r="G1641" s="16">
        <f>IF(OR(D1641="",C1641&lt;&gt;"Chi"),"",IFERROR(INDEX('Danh mục'!$C$39:$C$78,MATCH(D1641,'Danh mục'!$A$39:$A$78,0))&amp;"",""))</f>
      </c>
      <c r="H1641" s="11"/>
      <c r="I1641" s="20"/>
      <c r="J1641" s="11"/>
      <c r="K1641" s="11"/>
      <c r="L1641" s="11"/>
    </row>
    <row r="1642" spans="1:12" x14ac:dyDescent="0.3">
      <c r="A1642" s="31"/>
      <c r="B1642" s="32">
        <f>IF(A1642="","",DATE(YEAR(A1642),MONTH(A1642),1))</f>
      </c>
      <c r="C1642" s="11"/>
      <c r="D1642" s="11"/>
      <c r="E1642" s="16">
        <f>IF(OR(D1642="",C1642&lt;&gt;"Chi"),"",IFERROR(INDEX('Danh mục'!$B$39:$B$78,MATCH(D1642,'Danh mục'!$A$39:$A$78,0))&amp;"","?"))</f>
      </c>
      <c r="F1642" s="16">
        <f>IF(D1642="","",IF(C1642="Thu",IFERROR(INDEX('Danh mục'!$B$26:$B$35,MATCH(D1642,'Danh mục'!$A$26:$A$35,0))&amp;"","?"),IFERROR(INDEX('Danh mục'!$D$39:$D$78,MATCH(D1642,'Danh mục'!$A$39:$A$78,0))&amp;"","?")))</f>
      </c>
      <c r="G1642" s="16">
        <f>IF(OR(D1642="",C1642&lt;&gt;"Chi"),"",IFERROR(INDEX('Danh mục'!$C$39:$C$78,MATCH(D1642,'Danh mục'!$A$39:$A$78,0))&amp;"",""))</f>
      </c>
      <c r="H1642" s="11"/>
      <c r="I1642" s="20"/>
      <c r="J1642" s="11"/>
      <c r="K1642" s="11"/>
      <c r="L1642" s="11"/>
    </row>
    <row r="1643" spans="1:12" x14ac:dyDescent="0.3">
      <c r="A1643" s="31"/>
      <c r="B1643" s="32">
        <f>IF(A1643="","",DATE(YEAR(A1643),MONTH(A1643),1))</f>
      </c>
      <c r="C1643" s="11"/>
      <c r="D1643" s="11"/>
      <c r="E1643" s="16">
        <f>IF(OR(D1643="",C1643&lt;&gt;"Chi"),"",IFERROR(INDEX('Danh mục'!$B$39:$B$78,MATCH(D1643,'Danh mục'!$A$39:$A$78,0))&amp;"","?"))</f>
      </c>
      <c r="F1643" s="16">
        <f>IF(D1643="","",IF(C1643="Thu",IFERROR(INDEX('Danh mục'!$B$26:$B$35,MATCH(D1643,'Danh mục'!$A$26:$A$35,0))&amp;"","?"),IFERROR(INDEX('Danh mục'!$D$39:$D$78,MATCH(D1643,'Danh mục'!$A$39:$A$78,0))&amp;"","?")))</f>
      </c>
      <c r="G1643" s="16">
        <f>IF(OR(D1643="",C1643&lt;&gt;"Chi"),"",IFERROR(INDEX('Danh mục'!$C$39:$C$78,MATCH(D1643,'Danh mục'!$A$39:$A$78,0))&amp;"",""))</f>
      </c>
      <c r="H1643" s="11"/>
      <c r="I1643" s="20"/>
      <c r="J1643" s="11"/>
      <c r="K1643" s="11"/>
      <c r="L1643" s="11"/>
    </row>
    <row r="1644" spans="1:12" x14ac:dyDescent="0.3">
      <c r="A1644" s="31"/>
      <c r="B1644" s="32">
        <f>IF(A1644="","",DATE(YEAR(A1644),MONTH(A1644),1))</f>
      </c>
      <c r="C1644" s="11"/>
      <c r="D1644" s="11"/>
      <c r="E1644" s="16">
        <f>IF(OR(D1644="",C1644&lt;&gt;"Chi"),"",IFERROR(INDEX('Danh mục'!$B$39:$B$78,MATCH(D1644,'Danh mục'!$A$39:$A$78,0))&amp;"","?"))</f>
      </c>
      <c r="F1644" s="16">
        <f>IF(D1644="","",IF(C1644="Thu",IFERROR(INDEX('Danh mục'!$B$26:$B$35,MATCH(D1644,'Danh mục'!$A$26:$A$35,0))&amp;"","?"),IFERROR(INDEX('Danh mục'!$D$39:$D$78,MATCH(D1644,'Danh mục'!$A$39:$A$78,0))&amp;"","?")))</f>
      </c>
      <c r="G1644" s="16">
        <f>IF(OR(D1644="",C1644&lt;&gt;"Chi"),"",IFERROR(INDEX('Danh mục'!$C$39:$C$78,MATCH(D1644,'Danh mục'!$A$39:$A$78,0))&amp;"",""))</f>
      </c>
      <c r="H1644" s="11"/>
      <c r="I1644" s="20"/>
      <c r="J1644" s="11"/>
      <c r="K1644" s="11"/>
      <c r="L1644" s="11"/>
    </row>
    <row r="1645" spans="1:12" x14ac:dyDescent="0.3">
      <c r="A1645" s="31"/>
      <c r="B1645" s="32">
        <f>IF(A1645="","",DATE(YEAR(A1645),MONTH(A1645),1))</f>
      </c>
      <c r="C1645" s="11"/>
      <c r="D1645" s="11"/>
      <c r="E1645" s="16">
        <f>IF(OR(D1645="",C1645&lt;&gt;"Chi"),"",IFERROR(INDEX('Danh mục'!$B$39:$B$78,MATCH(D1645,'Danh mục'!$A$39:$A$78,0))&amp;"","?"))</f>
      </c>
      <c r="F1645" s="16">
        <f>IF(D1645="","",IF(C1645="Thu",IFERROR(INDEX('Danh mục'!$B$26:$B$35,MATCH(D1645,'Danh mục'!$A$26:$A$35,0))&amp;"","?"),IFERROR(INDEX('Danh mục'!$D$39:$D$78,MATCH(D1645,'Danh mục'!$A$39:$A$78,0))&amp;"","?")))</f>
      </c>
      <c r="G1645" s="16">
        <f>IF(OR(D1645="",C1645&lt;&gt;"Chi"),"",IFERROR(INDEX('Danh mục'!$C$39:$C$78,MATCH(D1645,'Danh mục'!$A$39:$A$78,0))&amp;"",""))</f>
      </c>
      <c r="H1645" s="11"/>
      <c r="I1645" s="20"/>
      <c r="J1645" s="11"/>
      <c r="K1645" s="11"/>
      <c r="L1645" s="11"/>
    </row>
    <row r="1646" spans="1:12" x14ac:dyDescent="0.3">
      <c r="A1646" s="31"/>
      <c r="B1646" s="32">
        <f>IF(A1646="","",DATE(YEAR(A1646),MONTH(A1646),1))</f>
      </c>
      <c r="C1646" s="11"/>
      <c r="D1646" s="11"/>
      <c r="E1646" s="16">
        <f>IF(OR(D1646="",C1646&lt;&gt;"Chi"),"",IFERROR(INDEX('Danh mục'!$B$39:$B$78,MATCH(D1646,'Danh mục'!$A$39:$A$78,0))&amp;"","?"))</f>
      </c>
      <c r="F1646" s="16">
        <f>IF(D1646="","",IF(C1646="Thu",IFERROR(INDEX('Danh mục'!$B$26:$B$35,MATCH(D1646,'Danh mục'!$A$26:$A$35,0))&amp;"","?"),IFERROR(INDEX('Danh mục'!$D$39:$D$78,MATCH(D1646,'Danh mục'!$A$39:$A$78,0))&amp;"","?")))</f>
      </c>
      <c r="G1646" s="16">
        <f>IF(OR(D1646="",C1646&lt;&gt;"Chi"),"",IFERROR(INDEX('Danh mục'!$C$39:$C$78,MATCH(D1646,'Danh mục'!$A$39:$A$78,0))&amp;"",""))</f>
      </c>
      <c r="H1646" s="11"/>
      <c r="I1646" s="20"/>
      <c r="J1646" s="11"/>
      <c r="K1646" s="11"/>
      <c r="L1646" s="11"/>
    </row>
    <row r="1647" spans="1:12" x14ac:dyDescent="0.3">
      <c r="A1647" s="31"/>
      <c r="B1647" s="32">
        <f>IF(A1647="","",DATE(YEAR(A1647),MONTH(A1647),1))</f>
      </c>
      <c r="C1647" s="11"/>
      <c r="D1647" s="11"/>
      <c r="E1647" s="16">
        <f>IF(OR(D1647="",C1647&lt;&gt;"Chi"),"",IFERROR(INDEX('Danh mục'!$B$39:$B$78,MATCH(D1647,'Danh mục'!$A$39:$A$78,0))&amp;"","?"))</f>
      </c>
      <c r="F1647" s="16">
        <f>IF(D1647="","",IF(C1647="Thu",IFERROR(INDEX('Danh mục'!$B$26:$B$35,MATCH(D1647,'Danh mục'!$A$26:$A$35,0))&amp;"","?"),IFERROR(INDEX('Danh mục'!$D$39:$D$78,MATCH(D1647,'Danh mục'!$A$39:$A$78,0))&amp;"","?")))</f>
      </c>
      <c r="G1647" s="16">
        <f>IF(OR(D1647="",C1647&lt;&gt;"Chi"),"",IFERROR(INDEX('Danh mục'!$C$39:$C$78,MATCH(D1647,'Danh mục'!$A$39:$A$78,0))&amp;"",""))</f>
      </c>
      <c r="H1647" s="11"/>
      <c r="I1647" s="20"/>
      <c r="J1647" s="11"/>
      <c r="K1647" s="11"/>
      <c r="L1647" s="11"/>
    </row>
    <row r="1648" spans="1:12" x14ac:dyDescent="0.3">
      <c r="A1648" s="31"/>
      <c r="B1648" s="32">
        <f>IF(A1648="","",DATE(YEAR(A1648),MONTH(A1648),1))</f>
      </c>
      <c r="C1648" s="11"/>
      <c r="D1648" s="11"/>
      <c r="E1648" s="16">
        <f>IF(OR(D1648="",C1648&lt;&gt;"Chi"),"",IFERROR(INDEX('Danh mục'!$B$39:$B$78,MATCH(D1648,'Danh mục'!$A$39:$A$78,0))&amp;"","?"))</f>
      </c>
      <c r="F1648" s="16">
        <f>IF(D1648="","",IF(C1648="Thu",IFERROR(INDEX('Danh mục'!$B$26:$B$35,MATCH(D1648,'Danh mục'!$A$26:$A$35,0))&amp;"","?"),IFERROR(INDEX('Danh mục'!$D$39:$D$78,MATCH(D1648,'Danh mục'!$A$39:$A$78,0))&amp;"","?")))</f>
      </c>
      <c r="G1648" s="16">
        <f>IF(OR(D1648="",C1648&lt;&gt;"Chi"),"",IFERROR(INDEX('Danh mục'!$C$39:$C$78,MATCH(D1648,'Danh mục'!$A$39:$A$78,0))&amp;"",""))</f>
      </c>
      <c r="H1648" s="11"/>
      <c r="I1648" s="20"/>
      <c r="J1648" s="11"/>
      <c r="K1648" s="11"/>
      <c r="L1648" s="11"/>
    </row>
    <row r="1649" spans="1:12" x14ac:dyDescent="0.3">
      <c r="A1649" s="31"/>
      <c r="B1649" s="32">
        <f>IF(A1649="","",DATE(YEAR(A1649),MONTH(A1649),1))</f>
      </c>
      <c r="C1649" s="11"/>
      <c r="D1649" s="11"/>
      <c r="E1649" s="16">
        <f>IF(OR(D1649="",C1649&lt;&gt;"Chi"),"",IFERROR(INDEX('Danh mục'!$B$39:$B$78,MATCH(D1649,'Danh mục'!$A$39:$A$78,0))&amp;"","?"))</f>
      </c>
      <c r="F1649" s="16">
        <f>IF(D1649="","",IF(C1649="Thu",IFERROR(INDEX('Danh mục'!$B$26:$B$35,MATCH(D1649,'Danh mục'!$A$26:$A$35,0))&amp;"","?"),IFERROR(INDEX('Danh mục'!$D$39:$D$78,MATCH(D1649,'Danh mục'!$A$39:$A$78,0))&amp;"","?")))</f>
      </c>
      <c r="G1649" s="16">
        <f>IF(OR(D1649="",C1649&lt;&gt;"Chi"),"",IFERROR(INDEX('Danh mục'!$C$39:$C$78,MATCH(D1649,'Danh mục'!$A$39:$A$78,0))&amp;"",""))</f>
      </c>
      <c r="H1649" s="11"/>
      <c r="I1649" s="20"/>
      <c r="J1649" s="11"/>
      <c r="K1649" s="11"/>
      <c r="L1649" s="11"/>
    </row>
    <row r="1650" spans="1:12" x14ac:dyDescent="0.3">
      <c r="A1650" s="31"/>
      <c r="B1650" s="32">
        <f>IF(A1650="","",DATE(YEAR(A1650),MONTH(A1650),1))</f>
      </c>
      <c r="C1650" s="11"/>
      <c r="D1650" s="11"/>
      <c r="E1650" s="16">
        <f>IF(OR(D1650="",C1650&lt;&gt;"Chi"),"",IFERROR(INDEX('Danh mục'!$B$39:$B$78,MATCH(D1650,'Danh mục'!$A$39:$A$78,0))&amp;"","?"))</f>
      </c>
      <c r="F1650" s="16">
        <f>IF(D1650="","",IF(C1650="Thu",IFERROR(INDEX('Danh mục'!$B$26:$B$35,MATCH(D1650,'Danh mục'!$A$26:$A$35,0))&amp;"","?"),IFERROR(INDEX('Danh mục'!$D$39:$D$78,MATCH(D1650,'Danh mục'!$A$39:$A$78,0))&amp;"","?")))</f>
      </c>
      <c r="G1650" s="16">
        <f>IF(OR(D1650="",C1650&lt;&gt;"Chi"),"",IFERROR(INDEX('Danh mục'!$C$39:$C$78,MATCH(D1650,'Danh mục'!$A$39:$A$78,0))&amp;"",""))</f>
      </c>
      <c r="H1650" s="11"/>
      <c r="I1650" s="20"/>
      <c r="J1650" s="11"/>
      <c r="K1650" s="11"/>
      <c r="L1650" s="11"/>
    </row>
    <row r="1651" spans="1:12" x14ac:dyDescent="0.3">
      <c r="A1651" s="31"/>
      <c r="B1651" s="32">
        <f>IF(A1651="","",DATE(YEAR(A1651),MONTH(A1651),1))</f>
      </c>
      <c r="C1651" s="11"/>
      <c r="D1651" s="11"/>
      <c r="E1651" s="16">
        <f>IF(OR(D1651="",C1651&lt;&gt;"Chi"),"",IFERROR(INDEX('Danh mục'!$B$39:$B$78,MATCH(D1651,'Danh mục'!$A$39:$A$78,0))&amp;"","?"))</f>
      </c>
      <c r="F1651" s="16">
        <f>IF(D1651="","",IF(C1651="Thu",IFERROR(INDEX('Danh mục'!$B$26:$B$35,MATCH(D1651,'Danh mục'!$A$26:$A$35,0))&amp;"","?"),IFERROR(INDEX('Danh mục'!$D$39:$D$78,MATCH(D1651,'Danh mục'!$A$39:$A$78,0))&amp;"","?")))</f>
      </c>
      <c r="G1651" s="16">
        <f>IF(OR(D1651="",C1651&lt;&gt;"Chi"),"",IFERROR(INDEX('Danh mục'!$C$39:$C$78,MATCH(D1651,'Danh mục'!$A$39:$A$78,0))&amp;"",""))</f>
      </c>
      <c r="H1651" s="11"/>
      <c r="I1651" s="20"/>
      <c r="J1651" s="11"/>
      <c r="K1651" s="11"/>
      <c r="L1651" s="11"/>
    </row>
    <row r="1652" spans="1:12" x14ac:dyDescent="0.3">
      <c r="A1652" s="31"/>
      <c r="B1652" s="32">
        <f>IF(A1652="","",DATE(YEAR(A1652),MONTH(A1652),1))</f>
      </c>
      <c r="C1652" s="11"/>
      <c r="D1652" s="11"/>
      <c r="E1652" s="16">
        <f>IF(OR(D1652="",C1652&lt;&gt;"Chi"),"",IFERROR(INDEX('Danh mục'!$B$39:$B$78,MATCH(D1652,'Danh mục'!$A$39:$A$78,0))&amp;"","?"))</f>
      </c>
      <c r="F1652" s="16">
        <f>IF(D1652="","",IF(C1652="Thu",IFERROR(INDEX('Danh mục'!$B$26:$B$35,MATCH(D1652,'Danh mục'!$A$26:$A$35,0))&amp;"","?"),IFERROR(INDEX('Danh mục'!$D$39:$D$78,MATCH(D1652,'Danh mục'!$A$39:$A$78,0))&amp;"","?")))</f>
      </c>
      <c r="G1652" s="16">
        <f>IF(OR(D1652="",C1652&lt;&gt;"Chi"),"",IFERROR(INDEX('Danh mục'!$C$39:$C$78,MATCH(D1652,'Danh mục'!$A$39:$A$78,0))&amp;"",""))</f>
      </c>
      <c r="H1652" s="11"/>
      <c r="I1652" s="20"/>
      <c r="J1652" s="11"/>
      <c r="K1652" s="11"/>
      <c r="L1652" s="11"/>
    </row>
    <row r="1653" spans="1:12" x14ac:dyDescent="0.3">
      <c r="A1653" s="31"/>
      <c r="B1653" s="32">
        <f>IF(A1653="","",DATE(YEAR(A1653),MONTH(A1653),1))</f>
      </c>
      <c r="C1653" s="11"/>
      <c r="D1653" s="11"/>
      <c r="E1653" s="16">
        <f>IF(OR(D1653="",C1653&lt;&gt;"Chi"),"",IFERROR(INDEX('Danh mục'!$B$39:$B$78,MATCH(D1653,'Danh mục'!$A$39:$A$78,0))&amp;"","?"))</f>
      </c>
      <c r="F1653" s="16">
        <f>IF(D1653="","",IF(C1653="Thu",IFERROR(INDEX('Danh mục'!$B$26:$B$35,MATCH(D1653,'Danh mục'!$A$26:$A$35,0))&amp;"","?"),IFERROR(INDEX('Danh mục'!$D$39:$D$78,MATCH(D1653,'Danh mục'!$A$39:$A$78,0))&amp;"","?")))</f>
      </c>
      <c r="G1653" s="16">
        <f>IF(OR(D1653="",C1653&lt;&gt;"Chi"),"",IFERROR(INDEX('Danh mục'!$C$39:$C$78,MATCH(D1653,'Danh mục'!$A$39:$A$78,0))&amp;"",""))</f>
      </c>
      <c r="H1653" s="11"/>
      <c r="I1653" s="20"/>
      <c r="J1653" s="11"/>
      <c r="K1653" s="11"/>
      <c r="L1653" s="11"/>
    </row>
    <row r="1654" spans="1:12" x14ac:dyDescent="0.3">
      <c r="A1654" s="31"/>
      <c r="B1654" s="32">
        <f>IF(A1654="","",DATE(YEAR(A1654),MONTH(A1654),1))</f>
      </c>
      <c r="C1654" s="11"/>
      <c r="D1654" s="11"/>
      <c r="E1654" s="16">
        <f>IF(OR(D1654="",C1654&lt;&gt;"Chi"),"",IFERROR(INDEX('Danh mục'!$B$39:$B$78,MATCH(D1654,'Danh mục'!$A$39:$A$78,0))&amp;"","?"))</f>
      </c>
      <c r="F1654" s="16">
        <f>IF(D1654="","",IF(C1654="Thu",IFERROR(INDEX('Danh mục'!$B$26:$B$35,MATCH(D1654,'Danh mục'!$A$26:$A$35,0))&amp;"","?"),IFERROR(INDEX('Danh mục'!$D$39:$D$78,MATCH(D1654,'Danh mục'!$A$39:$A$78,0))&amp;"","?")))</f>
      </c>
      <c r="G1654" s="16">
        <f>IF(OR(D1654="",C1654&lt;&gt;"Chi"),"",IFERROR(INDEX('Danh mục'!$C$39:$C$78,MATCH(D1654,'Danh mục'!$A$39:$A$78,0))&amp;"",""))</f>
      </c>
      <c r="H1654" s="11"/>
      <c r="I1654" s="20"/>
      <c r="J1654" s="11"/>
      <c r="K1654" s="11"/>
      <c r="L1654" s="11"/>
    </row>
    <row r="1655" spans="1:12" x14ac:dyDescent="0.3">
      <c r="A1655" s="31"/>
      <c r="B1655" s="32">
        <f>IF(A1655="","",DATE(YEAR(A1655),MONTH(A1655),1))</f>
      </c>
      <c r="C1655" s="11"/>
      <c r="D1655" s="11"/>
      <c r="E1655" s="16">
        <f>IF(OR(D1655="",C1655&lt;&gt;"Chi"),"",IFERROR(INDEX('Danh mục'!$B$39:$B$78,MATCH(D1655,'Danh mục'!$A$39:$A$78,0))&amp;"","?"))</f>
      </c>
      <c r="F1655" s="16">
        <f>IF(D1655="","",IF(C1655="Thu",IFERROR(INDEX('Danh mục'!$B$26:$B$35,MATCH(D1655,'Danh mục'!$A$26:$A$35,0))&amp;"","?"),IFERROR(INDEX('Danh mục'!$D$39:$D$78,MATCH(D1655,'Danh mục'!$A$39:$A$78,0))&amp;"","?")))</f>
      </c>
      <c r="G1655" s="16">
        <f>IF(OR(D1655="",C1655&lt;&gt;"Chi"),"",IFERROR(INDEX('Danh mục'!$C$39:$C$78,MATCH(D1655,'Danh mục'!$A$39:$A$78,0))&amp;"",""))</f>
      </c>
      <c r="H1655" s="11"/>
      <c r="I1655" s="20"/>
      <c r="J1655" s="11"/>
      <c r="K1655" s="11"/>
      <c r="L1655" s="11"/>
    </row>
    <row r="1656" spans="1:12" x14ac:dyDescent="0.3">
      <c r="A1656" s="31"/>
      <c r="B1656" s="32">
        <f>IF(A1656="","",DATE(YEAR(A1656),MONTH(A1656),1))</f>
      </c>
      <c r="C1656" s="11"/>
      <c r="D1656" s="11"/>
      <c r="E1656" s="16">
        <f>IF(OR(D1656="",C1656&lt;&gt;"Chi"),"",IFERROR(INDEX('Danh mục'!$B$39:$B$78,MATCH(D1656,'Danh mục'!$A$39:$A$78,0))&amp;"","?"))</f>
      </c>
      <c r="F1656" s="16">
        <f>IF(D1656="","",IF(C1656="Thu",IFERROR(INDEX('Danh mục'!$B$26:$B$35,MATCH(D1656,'Danh mục'!$A$26:$A$35,0))&amp;"","?"),IFERROR(INDEX('Danh mục'!$D$39:$D$78,MATCH(D1656,'Danh mục'!$A$39:$A$78,0))&amp;"","?")))</f>
      </c>
      <c r="G1656" s="16">
        <f>IF(OR(D1656="",C1656&lt;&gt;"Chi"),"",IFERROR(INDEX('Danh mục'!$C$39:$C$78,MATCH(D1656,'Danh mục'!$A$39:$A$78,0))&amp;"",""))</f>
      </c>
      <c r="H1656" s="11"/>
      <c r="I1656" s="20"/>
      <c r="J1656" s="11"/>
      <c r="K1656" s="11"/>
      <c r="L1656" s="11"/>
    </row>
    <row r="1657" spans="1:12" x14ac:dyDescent="0.3">
      <c r="A1657" s="31"/>
      <c r="B1657" s="32">
        <f>IF(A1657="","",DATE(YEAR(A1657),MONTH(A1657),1))</f>
      </c>
      <c r="C1657" s="11"/>
      <c r="D1657" s="11"/>
      <c r="E1657" s="16">
        <f>IF(OR(D1657="",C1657&lt;&gt;"Chi"),"",IFERROR(INDEX('Danh mục'!$B$39:$B$78,MATCH(D1657,'Danh mục'!$A$39:$A$78,0))&amp;"","?"))</f>
      </c>
      <c r="F1657" s="16">
        <f>IF(D1657="","",IF(C1657="Thu",IFERROR(INDEX('Danh mục'!$B$26:$B$35,MATCH(D1657,'Danh mục'!$A$26:$A$35,0))&amp;"","?"),IFERROR(INDEX('Danh mục'!$D$39:$D$78,MATCH(D1657,'Danh mục'!$A$39:$A$78,0))&amp;"","?")))</f>
      </c>
      <c r="G1657" s="16">
        <f>IF(OR(D1657="",C1657&lt;&gt;"Chi"),"",IFERROR(INDEX('Danh mục'!$C$39:$C$78,MATCH(D1657,'Danh mục'!$A$39:$A$78,0))&amp;"",""))</f>
      </c>
      <c r="H1657" s="11"/>
      <c r="I1657" s="20"/>
      <c r="J1657" s="11"/>
      <c r="K1657" s="11"/>
      <c r="L1657" s="11"/>
    </row>
    <row r="1658" spans="1:12" x14ac:dyDescent="0.3">
      <c r="A1658" s="31"/>
      <c r="B1658" s="32">
        <f>IF(A1658="","",DATE(YEAR(A1658),MONTH(A1658),1))</f>
      </c>
      <c r="C1658" s="11"/>
      <c r="D1658" s="11"/>
      <c r="E1658" s="16">
        <f>IF(OR(D1658="",C1658&lt;&gt;"Chi"),"",IFERROR(INDEX('Danh mục'!$B$39:$B$78,MATCH(D1658,'Danh mục'!$A$39:$A$78,0))&amp;"","?"))</f>
      </c>
      <c r="F1658" s="16">
        <f>IF(D1658="","",IF(C1658="Thu",IFERROR(INDEX('Danh mục'!$B$26:$B$35,MATCH(D1658,'Danh mục'!$A$26:$A$35,0))&amp;"","?"),IFERROR(INDEX('Danh mục'!$D$39:$D$78,MATCH(D1658,'Danh mục'!$A$39:$A$78,0))&amp;"","?")))</f>
      </c>
      <c r="G1658" s="16">
        <f>IF(OR(D1658="",C1658&lt;&gt;"Chi"),"",IFERROR(INDEX('Danh mục'!$C$39:$C$78,MATCH(D1658,'Danh mục'!$A$39:$A$78,0))&amp;"",""))</f>
      </c>
      <c r="H1658" s="11"/>
      <c r="I1658" s="20"/>
      <c r="J1658" s="11"/>
      <c r="K1658" s="11"/>
      <c r="L1658" s="11"/>
    </row>
    <row r="1659" spans="1:12" x14ac:dyDescent="0.3">
      <c r="A1659" s="31"/>
      <c r="B1659" s="32">
        <f>IF(A1659="","",DATE(YEAR(A1659),MONTH(A1659),1))</f>
      </c>
      <c r="C1659" s="11"/>
      <c r="D1659" s="11"/>
      <c r="E1659" s="16">
        <f>IF(OR(D1659="",C1659&lt;&gt;"Chi"),"",IFERROR(INDEX('Danh mục'!$B$39:$B$78,MATCH(D1659,'Danh mục'!$A$39:$A$78,0))&amp;"","?"))</f>
      </c>
      <c r="F1659" s="16">
        <f>IF(D1659="","",IF(C1659="Thu",IFERROR(INDEX('Danh mục'!$B$26:$B$35,MATCH(D1659,'Danh mục'!$A$26:$A$35,0))&amp;"","?"),IFERROR(INDEX('Danh mục'!$D$39:$D$78,MATCH(D1659,'Danh mục'!$A$39:$A$78,0))&amp;"","?")))</f>
      </c>
      <c r="G1659" s="16">
        <f>IF(OR(D1659="",C1659&lt;&gt;"Chi"),"",IFERROR(INDEX('Danh mục'!$C$39:$C$78,MATCH(D1659,'Danh mục'!$A$39:$A$78,0))&amp;"",""))</f>
      </c>
      <c r="H1659" s="11"/>
      <c r="I1659" s="20"/>
      <c r="J1659" s="11"/>
      <c r="K1659" s="11"/>
      <c r="L1659" s="11"/>
    </row>
    <row r="1660" spans="1:12" x14ac:dyDescent="0.3">
      <c r="A1660" s="31"/>
      <c r="B1660" s="32">
        <f>IF(A1660="","",DATE(YEAR(A1660),MONTH(A1660),1))</f>
      </c>
      <c r="C1660" s="11"/>
      <c r="D1660" s="11"/>
      <c r="E1660" s="16">
        <f>IF(OR(D1660="",C1660&lt;&gt;"Chi"),"",IFERROR(INDEX('Danh mục'!$B$39:$B$78,MATCH(D1660,'Danh mục'!$A$39:$A$78,0))&amp;"","?"))</f>
      </c>
      <c r="F1660" s="16">
        <f>IF(D1660="","",IF(C1660="Thu",IFERROR(INDEX('Danh mục'!$B$26:$B$35,MATCH(D1660,'Danh mục'!$A$26:$A$35,0))&amp;"","?"),IFERROR(INDEX('Danh mục'!$D$39:$D$78,MATCH(D1660,'Danh mục'!$A$39:$A$78,0))&amp;"","?")))</f>
      </c>
      <c r="G1660" s="16">
        <f>IF(OR(D1660="",C1660&lt;&gt;"Chi"),"",IFERROR(INDEX('Danh mục'!$C$39:$C$78,MATCH(D1660,'Danh mục'!$A$39:$A$78,0))&amp;"",""))</f>
      </c>
      <c r="H1660" s="11"/>
      <c r="I1660" s="20"/>
      <c r="J1660" s="11"/>
      <c r="K1660" s="11"/>
      <c r="L1660" s="11"/>
    </row>
    <row r="1661" spans="1:12" x14ac:dyDescent="0.3">
      <c r="A1661" s="31"/>
      <c r="B1661" s="32">
        <f>IF(A1661="","",DATE(YEAR(A1661),MONTH(A1661),1))</f>
      </c>
      <c r="C1661" s="11"/>
      <c r="D1661" s="11"/>
      <c r="E1661" s="16">
        <f>IF(OR(D1661="",C1661&lt;&gt;"Chi"),"",IFERROR(INDEX('Danh mục'!$B$39:$B$78,MATCH(D1661,'Danh mục'!$A$39:$A$78,0))&amp;"","?"))</f>
      </c>
      <c r="F1661" s="16">
        <f>IF(D1661="","",IF(C1661="Thu",IFERROR(INDEX('Danh mục'!$B$26:$B$35,MATCH(D1661,'Danh mục'!$A$26:$A$35,0))&amp;"","?"),IFERROR(INDEX('Danh mục'!$D$39:$D$78,MATCH(D1661,'Danh mục'!$A$39:$A$78,0))&amp;"","?")))</f>
      </c>
      <c r="G1661" s="16">
        <f>IF(OR(D1661="",C1661&lt;&gt;"Chi"),"",IFERROR(INDEX('Danh mục'!$C$39:$C$78,MATCH(D1661,'Danh mục'!$A$39:$A$78,0))&amp;"",""))</f>
      </c>
      <c r="H1661" s="11"/>
      <c r="I1661" s="20"/>
      <c r="J1661" s="11"/>
      <c r="K1661" s="11"/>
      <c r="L1661" s="11"/>
    </row>
    <row r="1662" spans="1:12" x14ac:dyDescent="0.3">
      <c r="A1662" s="31"/>
      <c r="B1662" s="32">
        <f>IF(A1662="","",DATE(YEAR(A1662),MONTH(A1662),1))</f>
      </c>
      <c r="C1662" s="11"/>
      <c r="D1662" s="11"/>
      <c r="E1662" s="16">
        <f>IF(OR(D1662="",C1662&lt;&gt;"Chi"),"",IFERROR(INDEX('Danh mục'!$B$39:$B$78,MATCH(D1662,'Danh mục'!$A$39:$A$78,0))&amp;"","?"))</f>
      </c>
      <c r="F1662" s="16">
        <f>IF(D1662="","",IF(C1662="Thu",IFERROR(INDEX('Danh mục'!$B$26:$B$35,MATCH(D1662,'Danh mục'!$A$26:$A$35,0))&amp;"","?"),IFERROR(INDEX('Danh mục'!$D$39:$D$78,MATCH(D1662,'Danh mục'!$A$39:$A$78,0))&amp;"","?")))</f>
      </c>
      <c r="G1662" s="16">
        <f>IF(OR(D1662="",C1662&lt;&gt;"Chi"),"",IFERROR(INDEX('Danh mục'!$C$39:$C$78,MATCH(D1662,'Danh mục'!$A$39:$A$78,0))&amp;"",""))</f>
      </c>
      <c r="H1662" s="11"/>
      <c r="I1662" s="20"/>
      <c r="J1662" s="11"/>
      <c r="K1662" s="11"/>
      <c r="L1662" s="11"/>
    </row>
    <row r="1663" spans="1:12" x14ac:dyDescent="0.3">
      <c r="A1663" s="31"/>
      <c r="B1663" s="32">
        <f>IF(A1663="","",DATE(YEAR(A1663),MONTH(A1663),1))</f>
      </c>
      <c r="C1663" s="11"/>
      <c r="D1663" s="11"/>
      <c r="E1663" s="16">
        <f>IF(OR(D1663="",C1663&lt;&gt;"Chi"),"",IFERROR(INDEX('Danh mục'!$B$39:$B$78,MATCH(D1663,'Danh mục'!$A$39:$A$78,0))&amp;"","?"))</f>
      </c>
      <c r="F1663" s="16">
        <f>IF(D1663="","",IF(C1663="Thu",IFERROR(INDEX('Danh mục'!$B$26:$B$35,MATCH(D1663,'Danh mục'!$A$26:$A$35,0))&amp;"","?"),IFERROR(INDEX('Danh mục'!$D$39:$D$78,MATCH(D1663,'Danh mục'!$A$39:$A$78,0))&amp;"","?")))</f>
      </c>
      <c r="G1663" s="16">
        <f>IF(OR(D1663="",C1663&lt;&gt;"Chi"),"",IFERROR(INDEX('Danh mục'!$C$39:$C$78,MATCH(D1663,'Danh mục'!$A$39:$A$78,0))&amp;"",""))</f>
      </c>
      <c r="H1663" s="11"/>
      <c r="I1663" s="20"/>
      <c r="J1663" s="11"/>
      <c r="K1663" s="11"/>
      <c r="L1663" s="11"/>
    </row>
    <row r="1664" spans="1:12" x14ac:dyDescent="0.3">
      <c r="A1664" s="31"/>
      <c r="B1664" s="32">
        <f>IF(A1664="","",DATE(YEAR(A1664),MONTH(A1664),1))</f>
      </c>
      <c r="C1664" s="11"/>
      <c r="D1664" s="11"/>
      <c r="E1664" s="16">
        <f>IF(OR(D1664="",C1664&lt;&gt;"Chi"),"",IFERROR(INDEX('Danh mục'!$B$39:$B$78,MATCH(D1664,'Danh mục'!$A$39:$A$78,0))&amp;"","?"))</f>
      </c>
      <c r="F1664" s="16">
        <f>IF(D1664="","",IF(C1664="Thu",IFERROR(INDEX('Danh mục'!$B$26:$B$35,MATCH(D1664,'Danh mục'!$A$26:$A$35,0))&amp;"","?"),IFERROR(INDEX('Danh mục'!$D$39:$D$78,MATCH(D1664,'Danh mục'!$A$39:$A$78,0))&amp;"","?")))</f>
      </c>
      <c r="G1664" s="16">
        <f>IF(OR(D1664="",C1664&lt;&gt;"Chi"),"",IFERROR(INDEX('Danh mục'!$C$39:$C$78,MATCH(D1664,'Danh mục'!$A$39:$A$78,0))&amp;"",""))</f>
      </c>
      <c r="H1664" s="11"/>
      <c r="I1664" s="20"/>
      <c r="J1664" s="11"/>
      <c r="K1664" s="11"/>
      <c r="L1664" s="11"/>
    </row>
    <row r="1665" spans="1:12" x14ac:dyDescent="0.3">
      <c r="A1665" s="31"/>
      <c r="B1665" s="32">
        <f>IF(A1665="","",DATE(YEAR(A1665),MONTH(A1665),1))</f>
      </c>
      <c r="C1665" s="11"/>
      <c r="D1665" s="11"/>
      <c r="E1665" s="16">
        <f>IF(OR(D1665="",C1665&lt;&gt;"Chi"),"",IFERROR(INDEX('Danh mục'!$B$39:$B$78,MATCH(D1665,'Danh mục'!$A$39:$A$78,0))&amp;"","?"))</f>
      </c>
      <c r="F1665" s="16">
        <f>IF(D1665="","",IF(C1665="Thu",IFERROR(INDEX('Danh mục'!$B$26:$B$35,MATCH(D1665,'Danh mục'!$A$26:$A$35,0))&amp;"","?"),IFERROR(INDEX('Danh mục'!$D$39:$D$78,MATCH(D1665,'Danh mục'!$A$39:$A$78,0))&amp;"","?")))</f>
      </c>
      <c r="G1665" s="16">
        <f>IF(OR(D1665="",C1665&lt;&gt;"Chi"),"",IFERROR(INDEX('Danh mục'!$C$39:$C$78,MATCH(D1665,'Danh mục'!$A$39:$A$78,0))&amp;"",""))</f>
      </c>
      <c r="H1665" s="11"/>
      <c r="I1665" s="20"/>
      <c r="J1665" s="11"/>
      <c r="K1665" s="11"/>
      <c r="L1665" s="11"/>
    </row>
    <row r="1666" spans="1:12" x14ac:dyDescent="0.3">
      <c r="A1666" s="31"/>
      <c r="B1666" s="32">
        <f>IF(A1666="","",DATE(YEAR(A1666),MONTH(A1666),1))</f>
      </c>
      <c r="C1666" s="11"/>
      <c r="D1666" s="11"/>
      <c r="E1666" s="16">
        <f>IF(OR(D1666="",C1666&lt;&gt;"Chi"),"",IFERROR(INDEX('Danh mục'!$B$39:$B$78,MATCH(D1666,'Danh mục'!$A$39:$A$78,0))&amp;"","?"))</f>
      </c>
      <c r="F1666" s="16">
        <f>IF(D1666="","",IF(C1666="Thu",IFERROR(INDEX('Danh mục'!$B$26:$B$35,MATCH(D1666,'Danh mục'!$A$26:$A$35,0))&amp;"","?"),IFERROR(INDEX('Danh mục'!$D$39:$D$78,MATCH(D1666,'Danh mục'!$A$39:$A$78,0))&amp;"","?")))</f>
      </c>
      <c r="G1666" s="16">
        <f>IF(OR(D1666="",C1666&lt;&gt;"Chi"),"",IFERROR(INDEX('Danh mục'!$C$39:$C$78,MATCH(D1666,'Danh mục'!$A$39:$A$78,0))&amp;"",""))</f>
      </c>
      <c r="H1666" s="11"/>
      <c r="I1666" s="20"/>
      <c r="J1666" s="11"/>
      <c r="K1666" s="11"/>
      <c r="L1666" s="11"/>
    </row>
    <row r="1667" spans="1:12" x14ac:dyDescent="0.3">
      <c r="A1667" s="31"/>
      <c r="B1667" s="32">
        <f>IF(A1667="","",DATE(YEAR(A1667),MONTH(A1667),1))</f>
      </c>
      <c r="C1667" s="11"/>
      <c r="D1667" s="11"/>
      <c r="E1667" s="16">
        <f>IF(OR(D1667="",C1667&lt;&gt;"Chi"),"",IFERROR(INDEX('Danh mục'!$B$39:$B$78,MATCH(D1667,'Danh mục'!$A$39:$A$78,0))&amp;"","?"))</f>
      </c>
      <c r="F1667" s="16">
        <f>IF(D1667="","",IF(C1667="Thu",IFERROR(INDEX('Danh mục'!$B$26:$B$35,MATCH(D1667,'Danh mục'!$A$26:$A$35,0))&amp;"","?"),IFERROR(INDEX('Danh mục'!$D$39:$D$78,MATCH(D1667,'Danh mục'!$A$39:$A$78,0))&amp;"","?")))</f>
      </c>
      <c r="G1667" s="16">
        <f>IF(OR(D1667="",C1667&lt;&gt;"Chi"),"",IFERROR(INDEX('Danh mục'!$C$39:$C$78,MATCH(D1667,'Danh mục'!$A$39:$A$78,0))&amp;"",""))</f>
      </c>
      <c r="H1667" s="11"/>
      <c r="I1667" s="20"/>
      <c r="J1667" s="11"/>
      <c r="K1667" s="11"/>
      <c r="L1667" s="11"/>
    </row>
    <row r="1668" spans="1:12" x14ac:dyDescent="0.3">
      <c r="A1668" s="31"/>
      <c r="B1668" s="32">
        <f>IF(A1668="","",DATE(YEAR(A1668),MONTH(A1668),1))</f>
      </c>
      <c r="C1668" s="11"/>
      <c r="D1668" s="11"/>
      <c r="E1668" s="16">
        <f>IF(OR(D1668="",C1668&lt;&gt;"Chi"),"",IFERROR(INDEX('Danh mục'!$B$39:$B$78,MATCH(D1668,'Danh mục'!$A$39:$A$78,0))&amp;"","?"))</f>
      </c>
      <c r="F1668" s="16">
        <f>IF(D1668="","",IF(C1668="Thu",IFERROR(INDEX('Danh mục'!$B$26:$B$35,MATCH(D1668,'Danh mục'!$A$26:$A$35,0))&amp;"","?"),IFERROR(INDEX('Danh mục'!$D$39:$D$78,MATCH(D1668,'Danh mục'!$A$39:$A$78,0))&amp;"","?")))</f>
      </c>
      <c r="G1668" s="16">
        <f>IF(OR(D1668="",C1668&lt;&gt;"Chi"),"",IFERROR(INDEX('Danh mục'!$C$39:$C$78,MATCH(D1668,'Danh mục'!$A$39:$A$78,0))&amp;"",""))</f>
      </c>
      <c r="H1668" s="11"/>
      <c r="I1668" s="20"/>
      <c r="J1668" s="11"/>
      <c r="K1668" s="11"/>
      <c r="L1668" s="11"/>
    </row>
    <row r="1669" spans="1:12" x14ac:dyDescent="0.3">
      <c r="A1669" s="31"/>
      <c r="B1669" s="32">
        <f>IF(A1669="","",DATE(YEAR(A1669),MONTH(A1669),1))</f>
      </c>
      <c r="C1669" s="11"/>
      <c r="D1669" s="11"/>
      <c r="E1669" s="16">
        <f>IF(OR(D1669="",C1669&lt;&gt;"Chi"),"",IFERROR(INDEX('Danh mục'!$B$39:$B$78,MATCH(D1669,'Danh mục'!$A$39:$A$78,0))&amp;"","?"))</f>
      </c>
      <c r="F1669" s="16">
        <f>IF(D1669="","",IF(C1669="Thu",IFERROR(INDEX('Danh mục'!$B$26:$B$35,MATCH(D1669,'Danh mục'!$A$26:$A$35,0))&amp;"","?"),IFERROR(INDEX('Danh mục'!$D$39:$D$78,MATCH(D1669,'Danh mục'!$A$39:$A$78,0))&amp;"","?")))</f>
      </c>
      <c r="G1669" s="16">
        <f>IF(OR(D1669="",C1669&lt;&gt;"Chi"),"",IFERROR(INDEX('Danh mục'!$C$39:$C$78,MATCH(D1669,'Danh mục'!$A$39:$A$78,0))&amp;"",""))</f>
      </c>
      <c r="H1669" s="11"/>
      <c r="I1669" s="20"/>
      <c r="J1669" s="11"/>
      <c r="K1669" s="11"/>
      <c r="L1669" s="11"/>
    </row>
    <row r="1670" spans="1:12" x14ac:dyDescent="0.3">
      <c r="A1670" s="31"/>
      <c r="B1670" s="32">
        <f>IF(A1670="","",DATE(YEAR(A1670),MONTH(A1670),1))</f>
      </c>
      <c r="C1670" s="11"/>
      <c r="D1670" s="11"/>
      <c r="E1670" s="16">
        <f>IF(OR(D1670="",C1670&lt;&gt;"Chi"),"",IFERROR(INDEX('Danh mục'!$B$39:$B$78,MATCH(D1670,'Danh mục'!$A$39:$A$78,0))&amp;"","?"))</f>
      </c>
      <c r="F1670" s="16">
        <f>IF(D1670="","",IF(C1670="Thu",IFERROR(INDEX('Danh mục'!$B$26:$B$35,MATCH(D1670,'Danh mục'!$A$26:$A$35,0))&amp;"","?"),IFERROR(INDEX('Danh mục'!$D$39:$D$78,MATCH(D1670,'Danh mục'!$A$39:$A$78,0))&amp;"","?")))</f>
      </c>
      <c r="G1670" s="16">
        <f>IF(OR(D1670="",C1670&lt;&gt;"Chi"),"",IFERROR(INDEX('Danh mục'!$C$39:$C$78,MATCH(D1670,'Danh mục'!$A$39:$A$78,0))&amp;"",""))</f>
      </c>
      <c r="H1670" s="11"/>
      <c r="I1670" s="20"/>
      <c r="J1670" s="11"/>
      <c r="K1670" s="11"/>
      <c r="L1670" s="11"/>
    </row>
    <row r="1671" spans="1:12" x14ac:dyDescent="0.3">
      <c r="A1671" s="31"/>
      <c r="B1671" s="32">
        <f>IF(A1671="","",DATE(YEAR(A1671),MONTH(A1671),1))</f>
      </c>
      <c r="C1671" s="11"/>
      <c r="D1671" s="11"/>
      <c r="E1671" s="16">
        <f>IF(OR(D1671="",C1671&lt;&gt;"Chi"),"",IFERROR(INDEX('Danh mục'!$B$39:$B$78,MATCH(D1671,'Danh mục'!$A$39:$A$78,0))&amp;"","?"))</f>
      </c>
      <c r="F1671" s="16">
        <f>IF(D1671="","",IF(C1671="Thu",IFERROR(INDEX('Danh mục'!$B$26:$B$35,MATCH(D1671,'Danh mục'!$A$26:$A$35,0))&amp;"","?"),IFERROR(INDEX('Danh mục'!$D$39:$D$78,MATCH(D1671,'Danh mục'!$A$39:$A$78,0))&amp;"","?")))</f>
      </c>
      <c r="G1671" s="16">
        <f>IF(OR(D1671="",C1671&lt;&gt;"Chi"),"",IFERROR(INDEX('Danh mục'!$C$39:$C$78,MATCH(D1671,'Danh mục'!$A$39:$A$78,0))&amp;"",""))</f>
      </c>
      <c r="H1671" s="11"/>
      <c r="I1671" s="20"/>
      <c r="J1671" s="11"/>
      <c r="K1671" s="11"/>
      <c r="L1671" s="11"/>
    </row>
    <row r="1672" spans="1:12" x14ac:dyDescent="0.3">
      <c r="A1672" s="31"/>
      <c r="B1672" s="32">
        <f>IF(A1672="","",DATE(YEAR(A1672),MONTH(A1672),1))</f>
      </c>
      <c r="C1672" s="11"/>
      <c r="D1672" s="11"/>
      <c r="E1672" s="16">
        <f>IF(OR(D1672="",C1672&lt;&gt;"Chi"),"",IFERROR(INDEX('Danh mục'!$B$39:$B$78,MATCH(D1672,'Danh mục'!$A$39:$A$78,0))&amp;"","?"))</f>
      </c>
      <c r="F1672" s="16">
        <f>IF(D1672="","",IF(C1672="Thu",IFERROR(INDEX('Danh mục'!$B$26:$B$35,MATCH(D1672,'Danh mục'!$A$26:$A$35,0))&amp;"","?"),IFERROR(INDEX('Danh mục'!$D$39:$D$78,MATCH(D1672,'Danh mục'!$A$39:$A$78,0))&amp;"","?")))</f>
      </c>
      <c r="G1672" s="16">
        <f>IF(OR(D1672="",C1672&lt;&gt;"Chi"),"",IFERROR(INDEX('Danh mục'!$C$39:$C$78,MATCH(D1672,'Danh mục'!$A$39:$A$78,0))&amp;"",""))</f>
      </c>
      <c r="H1672" s="11"/>
      <c r="I1672" s="20"/>
      <c r="J1672" s="11"/>
      <c r="K1672" s="11"/>
      <c r="L1672" s="11"/>
    </row>
    <row r="1673" spans="1:12" x14ac:dyDescent="0.3">
      <c r="A1673" s="31"/>
      <c r="B1673" s="32">
        <f>IF(A1673="","",DATE(YEAR(A1673),MONTH(A1673),1))</f>
      </c>
      <c r="C1673" s="11"/>
      <c r="D1673" s="11"/>
      <c r="E1673" s="16">
        <f>IF(OR(D1673="",C1673&lt;&gt;"Chi"),"",IFERROR(INDEX('Danh mục'!$B$39:$B$78,MATCH(D1673,'Danh mục'!$A$39:$A$78,0))&amp;"","?"))</f>
      </c>
      <c r="F1673" s="16">
        <f>IF(D1673="","",IF(C1673="Thu",IFERROR(INDEX('Danh mục'!$B$26:$B$35,MATCH(D1673,'Danh mục'!$A$26:$A$35,0))&amp;"","?"),IFERROR(INDEX('Danh mục'!$D$39:$D$78,MATCH(D1673,'Danh mục'!$A$39:$A$78,0))&amp;"","?")))</f>
      </c>
      <c r="G1673" s="16">
        <f>IF(OR(D1673="",C1673&lt;&gt;"Chi"),"",IFERROR(INDEX('Danh mục'!$C$39:$C$78,MATCH(D1673,'Danh mục'!$A$39:$A$78,0))&amp;"",""))</f>
      </c>
      <c r="H1673" s="11"/>
      <c r="I1673" s="20"/>
      <c r="J1673" s="11"/>
      <c r="K1673" s="11"/>
      <c r="L1673" s="11"/>
    </row>
    <row r="1674" spans="1:12" x14ac:dyDescent="0.3">
      <c r="A1674" s="31"/>
      <c r="B1674" s="32">
        <f>IF(A1674="","",DATE(YEAR(A1674),MONTH(A1674),1))</f>
      </c>
      <c r="C1674" s="11"/>
      <c r="D1674" s="11"/>
      <c r="E1674" s="16">
        <f>IF(OR(D1674="",C1674&lt;&gt;"Chi"),"",IFERROR(INDEX('Danh mục'!$B$39:$B$78,MATCH(D1674,'Danh mục'!$A$39:$A$78,0))&amp;"","?"))</f>
      </c>
      <c r="F1674" s="16">
        <f>IF(D1674="","",IF(C1674="Thu",IFERROR(INDEX('Danh mục'!$B$26:$B$35,MATCH(D1674,'Danh mục'!$A$26:$A$35,0))&amp;"","?"),IFERROR(INDEX('Danh mục'!$D$39:$D$78,MATCH(D1674,'Danh mục'!$A$39:$A$78,0))&amp;"","?")))</f>
      </c>
      <c r="G1674" s="16">
        <f>IF(OR(D1674="",C1674&lt;&gt;"Chi"),"",IFERROR(INDEX('Danh mục'!$C$39:$C$78,MATCH(D1674,'Danh mục'!$A$39:$A$78,0))&amp;"",""))</f>
      </c>
      <c r="H1674" s="11"/>
      <c r="I1674" s="20"/>
      <c r="J1674" s="11"/>
      <c r="K1674" s="11"/>
      <c r="L1674" s="11"/>
    </row>
    <row r="1675" spans="1:12" x14ac:dyDescent="0.3">
      <c r="A1675" s="31"/>
      <c r="B1675" s="32">
        <f>IF(A1675="","",DATE(YEAR(A1675),MONTH(A1675),1))</f>
      </c>
      <c r="C1675" s="11"/>
      <c r="D1675" s="11"/>
      <c r="E1675" s="16">
        <f>IF(OR(D1675="",C1675&lt;&gt;"Chi"),"",IFERROR(INDEX('Danh mục'!$B$39:$B$78,MATCH(D1675,'Danh mục'!$A$39:$A$78,0))&amp;"","?"))</f>
      </c>
      <c r="F1675" s="16">
        <f>IF(D1675="","",IF(C1675="Thu",IFERROR(INDEX('Danh mục'!$B$26:$B$35,MATCH(D1675,'Danh mục'!$A$26:$A$35,0))&amp;"","?"),IFERROR(INDEX('Danh mục'!$D$39:$D$78,MATCH(D1675,'Danh mục'!$A$39:$A$78,0))&amp;"","?")))</f>
      </c>
      <c r="G1675" s="16">
        <f>IF(OR(D1675="",C1675&lt;&gt;"Chi"),"",IFERROR(INDEX('Danh mục'!$C$39:$C$78,MATCH(D1675,'Danh mục'!$A$39:$A$78,0))&amp;"",""))</f>
      </c>
      <c r="H1675" s="11"/>
      <c r="I1675" s="20"/>
      <c r="J1675" s="11"/>
      <c r="K1675" s="11"/>
      <c r="L1675" s="11"/>
    </row>
    <row r="1676" spans="1:12" x14ac:dyDescent="0.3">
      <c r="A1676" s="31"/>
      <c r="B1676" s="32">
        <f>IF(A1676="","",DATE(YEAR(A1676),MONTH(A1676),1))</f>
      </c>
      <c r="C1676" s="11"/>
      <c r="D1676" s="11"/>
      <c r="E1676" s="16">
        <f>IF(OR(D1676="",C1676&lt;&gt;"Chi"),"",IFERROR(INDEX('Danh mục'!$B$39:$B$78,MATCH(D1676,'Danh mục'!$A$39:$A$78,0))&amp;"","?"))</f>
      </c>
      <c r="F1676" s="16">
        <f>IF(D1676="","",IF(C1676="Thu",IFERROR(INDEX('Danh mục'!$B$26:$B$35,MATCH(D1676,'Danh mục'!$A$26:$A$35,0))&amp;"","?"),IFERROR(INDEX('Danh mục'!$D$39:$D$78,MATCH(D1676,'Danh mục'!$A$39:$A$78,0))&amp;"","?")))</f>
      </c>
      <c r="G1676" s="16">
        <f>IF(OR(D1676="",C1676&lt;&gt;"Chi"),"",IFERROR(INDEX('Danh mục'!$C$39:$C$78,MATCH(D1676,'Danh mục'!$A$39:$A$78,0))&amp;"",""))</f>
      </c>
      <c r="H1676" s="11"/>
      <c r="I1676" s="20"/>
      <c r="J1676" s="11"/>
      <c r="K1676" s="11"/>
      <c r="L1676" s="11"/>
    </row>
    <row r="1677" spans="1:12" x14ac:dyDescent="0.3">
      <c r="A1677" s="31"/>
      <c r="B1677" s="32">
        <f>IF(A1677="","",DATE(YEAR(A1677),MONTH(A1677),1))</f>
      </c>
      <c r="C1677" s="11"/>
      <c r="D1677" s="11"/>
      <c r="E1677" s="16">
        <f>IF(OR(D1677="",C1677&lt;&gt;"Chi"),"",IFERROR(INDEX('Danh mục'!$B$39:$B$78,MATCH(D1677,'Danh mục'!$A$39:$A$78,0))&amp;"","?"))</f>
      </c>
      <c r="F1677" s="16">
        <f>IF(D1677="","",IF(C1677="Thu",IFERROR(INDEX('Danh mục'!$B$26:$B$35,MATCH(D1677,'Danh mục'!$A$26:$A$35,0))&amp;"","?"),IFERROR(INDEX('Danh mục'!$D$39:$D$78,MATCH(D1677,'Danh mục'!$A$39:$A$78,0))&amp;"","?")))</f>
      </c>
      <c r="G1677" s="16">
        <f>IF(OR(D1677="",C1677&lt;&gt;"Chi"),"",IFERROR(INDEX('Danh mục'!$C$39:$C$78,MATCH(D1677,'Danh mục'!$A$39:$A$78,0))&amp;"",""))</f>
      </c>
      <c r="H1677" s="11"/>
      <c r="I1677" s="20"/>
      <c r="J1677" s="11"/>
      <c r="K1677" s="11"/>
      <c r="L1677" s="11"/>
    </row>
    <row r="1678" spans="1:12" x14ac:dyDescent="0.3">
      <c r="A1678" s="31"/>
      <c r="B1678" s="32">
        <f>IF(A1678="","",DATE(YEAR(A1678),MONTH(A1678),1))</f>
      </c>
      <c r="C1678" s="11"/>
      <c r="D1678" s="11"/>
      <c r="E1678" s="16">
        <f>IF(OR(D1678="",C1678&lt;&gt;"Chi"),"",IFERROR(INDEX('Danh mục'!$B$39:$B$78,MATCH(D1678,'Danh mục'!$A$39:$A$78,0))&amp;"","?"))</f>
      </c>
      <c r="F1678" s="16">
        <f>IF(D1678="","",IF(C1678="Thu",IFERROR(INDEX('Danh mục'!$B$26:$B$35,MATCH(D1678,'Danh mục'!$A$26:$A$35,0))&amp;"","?"),IFERROR(INDEX('Danh mục'!$D$39:$D$78,MATCH(D1678,'Danh mục'!$A$39:$A$78,0))&amp;"","?")))</f>
      </c>
      <c r="G1678" s="16">
        <f>IF(OR(D1678="",C1678&lt;&gt;"Chi"),"",IFERROR(INDEX('Danh mục'!$C$39:$C$78,MATCH(D1678,'Danh mục'!$A$39:$A$78,0))&amp;"",""))</f>
      </c>
      <c r="H1678" s="11"/>
      <c r="I1678" s="20"/>
      <c r="J1678" s="11"/>
      <c r="K1678" s="11"/>
      <c r="L1678" s="11"/>
    </row>
    <row r="1679" spans="1:12" x14ac:dyDescent="0.3">
      <c r="A1679" s="31"/>
      <c r="B1679" s="32">
        <f>IF(A1679="","",DATE(YEAR(A1679),MONTH(A1679),1))</f>
      </c>
      <c r="C1679" s="11"/>
      <c r="D1679" s="11"/>
      <c r="E1679" s="16">
        <f>IF(OR(D1679="",C1679&lt;&gt;"Chi"),"",IFERROR(INDEX('Danh mục'!$B$39:$B$78,MATCH(D1679,'Danh mục'!$A$39:$A$78,0))&amp;"","?"))</f>
      </c>
      <c r="F1679" s="16">
        <f>IF(D1679="","",IF(C1679="Thu",IFERROR(INDEX('Danh mục'!$B$26:$B$35,MATCH(D1679,'Danh mục'!$A$26:$A$35,0))&amp;"","?"),IFERROR(INDEX('Danh mục'!$D$39:$D$78,MATCH(D1679,'Danh mục'!$A$39:$A$78,0))&amp;"","?")))</f>
      </c>
      <c r="G1679" s="16">
        <f>IF(OR(D1679="",C1679&lt;&gt;"Chi"),"",IFERROR(INDEX('Danh mục'!$C$39:$C$78,MATCH(D1679,'Danh mục'!$A$39:$A$78,0))&amp;"",""))</f>
      </c>
      <c r="H1679" s="11"/>
      <c r="I1679" s="20"/>
      <c r="J1679" s="11"/>
      <c r="K1679" s="11"/>
      <c r="L1679" s="11"/>
    </row>
    <row r="1680" spans="1:12" x14ac:dyDescent="0.3">
      <c r="A1680" s="31"/>
      <c r="B1680" s="32">
        <f>IF(A1680="","",DATE(YEAR(A1680),MONTH(A1680),1))</f>
      </c>
      <c r="C1680" s="11"/>
      <c r="D1680" s="11"/>
      <c r="E1680" s="16">
        <f>IF(OR(D1680="",C1680&lt;&gt;"Chi"),"",IFERROR(INDEX('Danh mục'!$B$39:$B$78,MATCH(D1680,'Danh mục'!$A$39:$A$78,0))&amp;"","?"))</f>
      </c>
      <c r="F1680" s="16">
        <f>IF(D1680="","",IF(C1680="Thu",IFERROR(INDEX('Danh mục'!$B$26:$B$35,MATCH(D1680,'Danh mục'!$A$26:$A$35,0))&amp;"","?"),IFERROR(INDEX('Danh mục'!$D$39:$D$78,MATCH(D1680,'Danh mục'!$A$39:$A$78,0))&amp;"","?")))</f>
      </c>
      <c r="G1680" s="16">
        <f>IF(OR(D1680="",C1680&lt;&gt;"Chi"),"",IFERROR(INDEX('Danh mục'!$C$39:$C$78,MATCH(D1680,'Danh mục'!$A$39:$A$78,0))&amp;"",""))</f>
      </c>
      <c r="H1680" s="11"/>
      <c r="I1680" s="20"/>
      <c r="J1680" s="11"/>
      <c r="K1680" s="11"/>
      <c r="L1680" s="11"/>
    </row>
    <row r="1681" spans="1:12" x14ac:dyDescent="0.3">
      <c r="A1681" s="31"/>
      <c r="B1681" s="32">
        <f>IF(A1681="","",DATE(YEAR(A1681),MONTH(A1681),1))</f>
      </c>
      <c r="C1681" s="11"/>
      <c r="D1681" s="11"/>
      <c r="E1681" s="16">
        <f>IF(OR(D1681="",C1681&lt;&gt;"Chi"),"",IFERROR(INDEX('Danh mục'!$B$39:$B$78,MATCH(D1681,'Danh mục'!$A$39:$A$78,0))&amp;"","?"))</f>
      </c>
      <c r="F1681" s="16">
        <f>IF(D1681="","",IF(C1681="Thu",IFERROR(INDEX('Danh mục'!$B$26:$B$35,MATCH(D1681,'Danh mục'!$A$26:$A$35,0))&amp;"","?"),IFERROR(INDEX('Danh mục'!$D$39:$D$78,MATCH(D1681,'Danh mục'!$A$39:$A$78,0))&amp;"","?")))</f>
      </c>
      <c r="G1681" s="16">
        <f>IF(OR(D1681="",C1681&lt;&gt;"Chi"),"",IFERROR(INDEX('Danh mục'!$C$39:$C$78,MATCH(D1681,'Danh mục'!$A$39:$A$78,0))&amp;"",""))</f>
      </c>
      <c r="H1681" s="11"/>
      <c r="I1681" s="20"/>
      <c r="J1681" s="11"/>
      <c r="K1681" s="11"/>
      <c r="L1681" s="11"/>
    </row>
    <row r="1682" spans="1:12" x14ac:dyDescent="0.3">
      <c r="A1682" s="31"/>
      <c r="B1682" s="32">
        <f>IF(A1682="","",DATE(YEAR(A1682),MONTH(A1682),1))</f>
      </c>
      <c r="C1682" s="11"/>
      <c r="D1682" s="11"/>
      <c r="E1682" s="16">
        <f>IF(OR(D1682="",C1682&lt;&gt;"Chi"),"",IFERROR(INDEX('Danh mục'!$B$39:$B$78,MATCH(D1682,'Danh mục'!$A$39:$A$78,0))&amp;"","?"))</f>
      </c>
      <c r="F1682" s="16">
        <f>IF(D1682="","",IF(C1682="Thu",IFERROR(INDEX('Danh mục'!$B$26:$B$35,MATCH(D1682,'Danh mục'!$A$26:$A$35,0))&amp;"","?"),IFERROR(INDEX('Danh mục'!$D$39:$D$78,MATCH(D1682,'Danh mục'!$A$39:$A$78,0))&amp;"","?")))</f>
      </c>
      <c r="G1682" s="16">
        <f>IF(OR(D1682="",C1682&lt;&gt;"Chi"),"",IFERROR(INDEX('Danh mục'!$C$39:$C$78,MATCH(D1682,'Danh mục'!$A$39:$A$78,0))&amp;"",""))</f>
      </c>
      <c r="H1682" s="11"/>
      <c r="I1682" s="20"/>
      <c r="J1682" s="11"/>
      <c r="K1682" s="11"/>
      <c r="L1682" s="11"/>
    </row>
    <row r="1683" spans="1:12" x14ac:dyDescent="0.3">
      <c r="A1683" s="31"/>
      <c r="B1683" s="32">
        <f>IF(A1683="","",DATE(YEAR(A1683),MONTH(A1683),1))</f>
      </c>
      <c r="C1683" s="11"/>
      <c r="D1683" s="11"/>
      <c r="E1683" s="16">
        <f>IF(OR(D1683="",C1683&lt;&gt;"Chi"),"",IFERROR(INDEX('Danh mục'!$B$39:$B$78,MATCH(D1683,'Danh mục'!$A$39:$A$78,0))&amp;"","?"))</f>
      </c>
      <c r="F1683" s="16">
        <f>IF(D1683="","",IF(C1683="Thu",IFERROR(INDEX('Danh mục'!$B$26:$B$35,MATCH(D1683,'Danh mục'!$A$26:$A$35,0))&amp;"","?"),IFERROR(INDEX('Danh mục'!$D$39:$D$78,MATCH(D1683,'Danh mục'!$A$39:$A$78,0))&amp;"","?")))</f>
      </c>
      <c r="G1683" s="16">
        <f>IF(OR(D1683="",C1683&lt;&gt;"Chi"),"",IFERROR(INDEX('Danh mục'!$C$39:$C$78,MATCH(D1683,'Danh mục'!$A$39:$A$78,0))&amp;"",""))</f>
      </c>
      <c r="H1683" s="11"/>
      <c r="I1683" s="20"/>
      <c r="J1683" s="11"/>
      <c r="K1683" s="11"/>
      <c r="L1683" s="11"/>
    </row>
    <row r="1684" spans="1:12" x14ac:dyDescent="0.3">
      <c r="A1684" s="31"/>
      <c r="B1684" s="32">
        <f>IF(A1684="","",DATE(YEAR(A1684),MONTH(A1684),1))</f>
      </c>
      <c r="C1684" s="11"/>
      <c r="D1684" s="11"/>
      <c r="E1684" s="16">
        <f>IF(OR(D1684="",C1684&lt;&gt;"Chi"),"",IFERROR(INDEX('Danh mục'!$B$39:$B$78,MATCH(D1684,'Danh mục'!$A$39:$A$78,0))&amp;"","?"))</f>
      </c>
      <c r="F1684" s="16">
        <f>IF(D1684="","",IF(C1684="Thu",IFERROR(INDEX('Danh mục'!$B$26:$B$35,MATCH(D1684,'Danh mục'!$A$26:$A$35,0))&amp;"","?"),IFERROR(INDEX('Danh mục'!$D$39:$D$78,MATCH(D1684,'Danh mục'!$A$39:$A$78,0))&amp;"","?")))</f>
      </c>
      <c r="G1684" s="16">
        <f>IF(OR(D1684="",C1684&lt;&gt;"Chi"),"",IFERROR(INDEX('Danh mục'!$C$39:$C$78,MATCH(D1684,'Danh mục'!$A$39:$A$78,0))&amp;"",""))</f>
      </c>
      <c r="H1684" s="11"/>
      <c r="I1684" s="20"/>
      <c r="J1684" s="11"/>
      <c r="K1684" s="11"/>
      <c r="L1684" s="11"/>
    </row>
    <row r="1685" spans="1:12" x14ac:dyDescent="0.3">
      <c r="A1685" s="31"/>
      <c r="B1685" s="32">
        <f>IF(A1685="","",DATE(YEAR(A1685),MONTH(A1685),1))</f>
      </c>
      <c r="C1685" s="11"/>
      <c r="D1685" s="11"/>
      <c r="E1685" s="16">
        <f>IF(OR(D1685="",C1685&lt;&gt;"Chi"),"",IFERROR(INDEX('Danh mục'!$B$39:$B$78,MATCH(D1685,'Danh mục'!$A$39:$A$78,0))&amp;"","?"))</f>
      </c>
      <c r="F1685" s="16">
        <f>IF(D1685="","",IF(C1685="Thu",IFERROR(INDEX('Danh mục'!$B$26:$B$35,MATCH(D1685,'Danh mục'!$A$26:$A$35,0))&amp;"","?"),IFERROR(INDEX('Danh mục'!$D$39:$D$78,MATCH(D1685,'Danh mục'!$A$39:$A$78,0))&amp;"","?")))</f>
      </c>
      <c r="G1685" s="16">
        <f>IF(OR(D1685="",C1685&lt;&gt;"Chi"),"",IFERROR(INDEX('Danh mục'!$C$39:$C$78,MATCH(D1685,'Danh mục'!$A$39:$A$78,0))&amp;"",""))</f>
      </c>
      <c r="H1685" s="11"/>
      <c r="I1685" s="20"/>
      <c r="J1685" s="11"/>
      <c r="K1685" s="11"/>
      <c r="L1685" s="11"/>
    </row>
    <row r="1686" spans="1:12" x14ac:dyDescent="0.3">
      <c r="A1686" s="31"/>
      <c r="B1686" s="32">
        <f>IF(A1686="","",DATE(YEAR(A1686),MONTH(A1686),1))</f>
      </c>
      <c r="C1686" s="11"/>
      <c r="D1686" s="11"/>
      <c r="E1686" s="16">
        <f>IF(OR(D1686="",C1686&lt;&gt;"Chi"),"",IFERROR(INDEX('Danh mục'!$B$39:$B$78,MATCH(D1686,'Danh mục'!$A$39:$A$78,0))&amp;"","?"))</f>
      </c>
      <c r="F1686" s="16">
        <f>IF(D1686="","",IF(C1686="Thu",IFERROR(INDEX('Danh mục'!$B$26:$B$35,MATCH(D1686,'Danh mục'!$A$26:$A$35,0))&amp;"","?"),IFERROR(INDEX('Danh mục'!$D$39:$D$78,MATCH(D1686,'Danh mục'!$A$39:$A$78,0))&amp;"","?")))</f>
      </c>
      <c r="G1686" s="16">
        <f>IF(OR(D1686="",C1686&lt;&gt;"Chi"),"",IFERROR(INDEX('Danh mục'!$C$39:$C$78,MATCH(D1686,'Danh mục'!$A$39:$A$78,0))&amp;"",""))</f>
      </c>
      <c r="H1686" s="11"/>
      <c r="I1686" s="20"/>
      <c r="J1686" s="11"/>
      <c r="K1686" s="11"/>
      <c r="L1686" s="11"/>
    </row>
    <row r="1687" spans="1:12" x14ac:dyDescent="0.3">
      <c r="A1687" s="31"/>
      <c r="B1687" s="32">
        <f>IF(A1687="","",DATE(YEAR(A1687),MONTH(A1687),1))</f>
      </c>
      <c r="C1687" s="11"/>
      <c r="D1687" s="11"/>
      <c r="E1687" s="16">
        <f>IF(OR(D1687="",C1687&lt;&gt;"Chi"),"",IFERROR(INDEX('Danh mục'!$B$39:$B$78,MATCH(D1687,'Danh mục'!$A$39:$A$78,0))&amp;"","?"))</f>
      </c>
      <c r="F1687" s="16">
        <f>IF(D1687="","",IF(C1687="Thu",IFERROR(INDEX('Danh mục'!$B$26:$B$35,MATCH(D1687,'Danh mục'!$A$26:$A$35,0))&amp;"","?"),IFERROR(INDEX('Danh mục'!$D$39:$D$78,MATCH(D1687,'Danh mục'!$A$39:$A$78,0))&amp;"","?")))</f>
      </c>
      <c r="G1687" s="16">
        <f>IF(OR(D1687="",C1687&lt;&gt;"Chi"),"",IFERROR(INDEX('Danh mục'!$C$39:$C$78,MATCH(D1687,'Danh mục'!$A$39:$A$78,0))&amp;"",""))</f>
      </c>
      <c r="H1687" s="11"/>
      <c r="I1687" s="20"/>
      <c r="J1687" s="11"/>
      <c r="K1687" s="11"/>
      <c r="L1687" s="11"/>
    </row>
    <row r="1688" spans="1:12" x14ac:dyDescent="0.3">
      <c r="A1688" s="31"/>
      <c r="B1688" s="32">
        <f>IF(A1688="","",DATE(YEAR(A1688),MONTH(A1688),1))</f>
      </c>
      <c r="C1688" s="11"/>
      <c r="D1688" s="11"/>
      <c r="E1688" s="16">
        <f>IF(OR(D1688="",C1688&lt;&gt;"Chi"),"",IFERROR(INDEX('Danh mục'!$B$39:$B$78,MATCH(D1688,'Danh mục'!$A$39:$A$78,0))&amp;"","?"))</f>
      </c>
      <c r="F1688" s="16">
        <f>IF(D1688="","",IF(C1688="Thu",IFERROR(INDEX('Danh mục'!$B$26:$B$35,MATCH(D1688,'Danh mục'!$A$26:$A$35,0))&amp;"","?"),IFERROR(INDEX('Danh mục'!$D$39:$D$78,MATCH(D1688,'Danh mục'!$A$39:$A$78,0))&amp;"","?")))</f>
      </c>
      <c r="G1688" s="16">
        <f>IF(OR(D1688="",C1688&lt;&gt;"Chi"),"",IFERROR(INDEX('Danh mục'!$C$39:$C$78,MATCH(D1688,'Danh mục'!$A$39:$A$78,0))&amp;"",""))</f>
      </c>
      <c r="H1688" s="11"/>
      <c r="I1688" s="20"/>
      <c r="J1688" s="11"/>
      <c r="K1688" s="11"/>
      <c r="L1688" s="11"/>
    </row>
    <row r="1689" spans="1:12" x14ac:dyDescent="0.3">
      <c r="A1689" s="31"/>
      <c r="B1689" s="32">
        <f>IF(A1689="","",DATE(YEAR(A1689),MONTH(A1689),1))</f>
      </c>
      <c r="C1689" s="11"/>
      <c r="D1689" s="11"/>
      <c r="E1689" s="16">
        <f>IF(OR(D1689="",C1689&lt;&gt;"Chi"),"",IFERROR(INDEX('Danh mục'!$B$39:$B$78,MATCH(D1689,'Danh mục'!$A$39:$A$78,0))&amp;"","?"))</f>
      </c>
      <c r="F1689" s="16">
        <f>IF(D1689="","",IF(C1689="Thu",IFERROR(INDEX('Danh mục'!$B$26:$B$35,MATCH(D1689,'Danh mục'!$A$26:$A$35,0))&amp;"","?"),IFERROR(INDEX('Danh mục'!$D$39:$D$78,MATCH(D1689,'Danh mục'!$A$39:$A$78,0))&amp;"","?")))</f>
      </c>
      <c r="G1689" s="16">
        <f>IF(OR(D1689="",C1689&lt;&gt;"Chi"),"",IFERROR(INDEX('Danh mục'!$C$39:$C$78,MATCH(D1689,'Danh mục'!$A$39:$A$78,0))&amp;"",""))</f>
      </c>
      <c r="H1689" s="11"/>
      <c r="I1689" s="20"/>
      <c r="J1689" s="11"/>
      <c r="K1689" s="11"/>
      <c r="L1689" s="11"/>
    </row>
    <row r="1690" spans="1:12" x14ac:dyDescent="0.3">
      <c r="A1690" s="31"/>
      <c r="B1690" s="32">
        <f>IF(A1690="","",DATE(YEAR(A1690),MONTH(A1690),1))</f>
      </c>
      <c r="C1690" s="11"/>
      <c r="D1690" s="11"/>
      <c r="E1690" s="16">
        <f>IF(OR(D1690="",C1690&lt;&gt;"Chi"),"",IFERROR(INDEX('Danh mục'!$B$39:$B$78,MATCH(D1690,'Danh mục'!$A$39:$A$78,0))&amp;"","?"))</f>
      </c>
      <c r="F1690" s="16">
        <f>IF(D1690="","",IF(C1690="Thu",IFERROR(INDEX('Danh mục'!$B$26:$B$35,MATCH(D1690,'Danh mục'!$A$26:$A$35,0))&amp;"","?"),IFERROR(INDEX('Danh mục'!$D$39:$D$78,MATCH(D1690,'Danh mục'!$A$39:$A$78,0))&amp;"","?")))</f>
      </c>
      <c r="G1690" s="16">
        <f>IF(OR(D1690="",C1690&lt;&gt;"Chi"),"",IFERROR(INDEX('Danh mục'!$C$39:$C$78,MATCH(D1690,'Danh mục'!$A$39:$A$78,0))&amp;"",""))</f>
      </c>
      <c r="H1690" s="11"/>
      <c r="I1690" s="20"/>
      <c r="J1690" s="11"/>
      <c r="K1690" s="11"/>
      <c r="L1690" s="11"/>
    </row>
    <row r="1691" spans="1:12" x14ac:dyDescent="0.3">
      <c r="A1691" s="31"/>
      <c r="B1691" s="32">
        <f>IF(A1691="","",DATE(YEAR(A1691),MONTH(A1691),1))</f>
      </c>
      <c r="C1691" s="11"/>
      <c r="D1691" s="11"/>
      <c r="E1691" s="16">
        <f>IF(OR(D1691="",C1691&lt;&gt;"Chi"),"",IFERROR(INDEX('Danh mục'!$B$39:$B$78,MATCH(D1691,'Danh mục'!$A$39:$A$78,0))&amp;"","?"))</f>
      </c>
      <c r="F1691" s="16">
        <f>IF(D1691="","",IF(C1691="Thu",IFERROR(INDEX('Danh mục'!$B$26:$B$35,MATCH(D1691,'Danh mục'!$A$26:$A$35,0))&amp;"","?"),IFERROR(INDEX('Danh mục'!$D$39:$D$78,MATCH(D1691,'Danh mục'!$A$39:$A$78,0))&amp;"","?")))</f>
      </c>
      <c r="G1691" s="16">
        <f>IF(OR(D1691="",C1691&lt;&gt;"Chi"),"",IFERROR(INDEX('Danh mục'!$C$39:$C$78,MATCH(D1691,'Danh mục'!$A$39:$A$78,0))&amp;"",""))</f>
      </c>
      <c r="H1691" s="11"/>
      <c r="I1691" s="20"/>
      <c r="J1691" s="11"/>
      <c r="K1691" s="11"/>
      <c r="L1691" s="11"/>
    </row>
    <row r="1692" spans="1:12" x14ac:dyDescent="0.3">
      <c r="A1692" s="31"/>
      <c r="B1692" s="32">
        <f>IF(A1692="","",DATE(YEAR(A1692),MONTH(A1692),1))</f>
      </c>
      <c r="C1692" s="11"/>
      <c r="D1692" s="11"/>
      <c r="E1692" s="16">
        <f>IF(OR(D1692="",C1692&lt;&gt;"Chi"),"",IFERROR(INDEX('Danh mục'!$B$39:$B$78,MATCH(D1692,'Danh mục'!$A$39:$A$78,0))&amp;"","?"))</f>
      </c>
      <c r="F1692" s="16">
        <f>IF(D1692="","",IF(C1692="Thu",IFERROR(INDEX('Danh mục'!$B$26:$B$35,MATCH(D1692,'Danh mục'!$A$26:$A$35,0))&amp;"","?"),IFERROR(INDEX('Danh mục'!$D$39:$D$78,MATCH(D1692,'Danh mục'!$A$39:$A$78,0))&amp;"","?")))</f>
      </c>
      <c r="G1692" s="16">
        <f>IF(OR(D1692="",C1692&lt;&gt;"Chi"),"",IFERROR(INDEX('Danh mục'!$C$39:$C$78,MATCH(D1692,'Danh mục'!$A$39:$A$78,0))&amp;"",""))</f>
      </c>
      <c r="H1692" s="11"/>
      <c r="I1692" s="20"/>
      <c r="J1692" s="11"/>
      <c r="K1692" s="11"/>
      <c r="L1692" s="11"/>
    </row>
    <row r="1693" spans="1:12" x14ac:dyDescent="0.3">
      <c r="A1693" s="31"/>
      <c r="B1693" s="32">
        <f>IF(A1693="","",DATE(YEAR(A1693),MONTH(A1693),1))</f>
      </c>
      <c r="C1693" s="11"/>
      <c r="D1693" s="11"/>
      <c r="E1693" s="16">
        <f>IF(OR(D1693="",C1693&lt;&gt;"Chi"),"",IFERROR(INDEX('Danh mục'!$B$39:$B$78,MATCH(D1693,'Danh mục'!$A$39:$A$78,0))&amp;"","?"))</f>
      </c>
      <c r="F1693" s="16">
        <f>IF(D1693="","",IF(C1693="Thu",IFERROR(INDEX('Danh mục'!$B$26:$B$35,MATCH(D1693,'Danh mục'!$A$26:$A$35,0))&amp;"","?"),IFERROR(INDEX('Danh mục'!$D$39:$D$78,MATCH(D1693,'Danh mục'!$A$39:$A$78,0))&amp;"","?")))</f>
      </c>
      <c r="G1693" s="16">
        <f>IF(OR(D1693="",C1693&lt;&gt;"Chi"),"",IFERROR(INDEX('Danh mục'!$C$39:$C$78,MATCH(D1693,'Danh mục'!$A$39:$A$78,0))&amp;"",""))</f>
      </c>
      <c r="H1693" s="11"/>
      <c r="I1693" s="20"/>
      <c r="J1693" s="11"/>
      <c r="K1693" s="11"/>
      <c r="L1693" s="11"/>
    </row>
    <row r="1694" spans="1:12" x14ac:dyDescent="0.3">
      <c r="A1694" s="31"/>
      <c r="B1694" s="32">
        <f>IF(A1694="","",DATE(YEAR(A1694),MONTH(A1694),1))</f>
      </c>
      <c r="C1694" s="11"/>
      <c r="D1694" s="11"/>
      <c r="E1694" s="16">
        <f>IF(OR(D1694="",C1694&lt;&gt;"Chi"),"",IFERROR(INDEX('Danh mục'!$B$39:$B$78,MATCH(D1694,'Danh mục'!$A$39:$A$78,0))&amp;"","?"))</f>
      </c>
      <c r="F1694" s="16">
        <f>IF(D1694="","",IF(C1694="Thu",IFERROR(INDEX('Danh mục'!$B$26:$B$35,MATCH(D1694,'Danh mục'!$A$26:$A$35,0))&amp;"","?"),IFERROR(INDEX('Danh mục'!$D$39:$D$78,MATCH(D1694,'Danh mục'!$A$39:$A$78,0))&amp;"","?")))</f>
      </c>
      <c r="G1694" s="16">
        <f>IF(OR(D1694="",C1694&lt;&gt;"Chi"),"",IFERROR(INDEX('Danh mục'!$C$39:$C$78,MATCH(D1694,'Danh mục'!$A$39:$A$78,0))&amp;"",""))</f>
      </c>
      <c r="H1694" s="11"/>
      <c r="I1694" s="20"/>
      <c r="J1694" s="11"/>
      <c r="K1694" s="11"/>
      <c r="L1694" s="11"/>
    </row>
    <row r="1695" spans="1:12" x14ac:dyDescent="0.3">
      <c r="A1695" s="31"/>
      <c r="B1695" s="32">
        <f>IF(A1695="","",DATE(YEAR(A1695),MONTH(A1695),1))</f>
      </c>
      <c r="C1695" s="11"/>
      <c r="D1695" s="11"/>
      <c r="E1695" s="16">
        <f>IF(OR(D1695="",C1695&lt;&gt;"Chi"),"",IFERROR(INDEX('Danh mục'!$B$39:$B$78,MATCH(D1695,'Danh mục'!$A$39:$A$78,0))&amp;"","?"))</f>
      </c>
      <c r="F1695" s="16">
        <f>IF(D1695="","",IF(C1695="Thu",IFERROR(INDEX('Danh mục'!$B$26:$B$35,MATCH(D1695,'Danh mục'!$A$26:$A$35,0))&amp;"","?"),IFERROR(INDEX('Danh mục'!$D$39:$D$78,MATCH(D1695,'Danh mục'!$A$39:$A$78,0))&amp;"","?")))</f>
      </c>
      <c r="G1695" s="16">
        <f>IF(OR(D1695="",C1695&lt;&gt;"Chi"),"",IFERROR(INDEX('Danh mục'!$C$39:$C$78,MATCH(D1695,'Danh mục'!$A$39:$A$78,0))&amp;"",""))</f>
      </c>
      <c r="H1695" s="11"/>
      <c r="I1695" s="20"/>
      <c r="J1695" s="11"/>
      <c r="K1695" s="11"/>
      <c r="L1695" s="11"/>
    </row>
    <row r="1696" spans="1:12" x14ac:dyDescent="0.3">
      <c r="A1696" s="31"/>
      <c r="B1696" s="32">
        <f>IF(A1696="","",DATE(YEAR(A1696),MONTH(A1696),1))</f>
      </c>
      <c r="C1696" s="11"/>
      <c r="D1696" s="11"/>
      <c r="E1696" s="16">
        <f>IF(OR(D1696="",C1696&lt;&gt;"Chi"),"",IFERROR(INDEX('Danh mục'!$B$39:$B$78,MATCH(D1696,'Danh mục'!$A$39:$A$78,0))&amp;"","?"))</f>
      </c>
      <c r="F1696" s="16">
        <f>IF(D1696="","",IF(C1696="Thu",IFERROR(INDEX('Danh mục'!$B$26:$B$35,MATCH(D1696,'Danh mục'!$A$26:$A$35,0))&amp;"","?"),IFERROR(INDEX('Danh mục'!$D$39:$D$78,MATCH(D1696,'Danh mục'!$A$39:$A$78,0))&amp;"","?")))</f>
      </c>
      <c r="G1696" s="16">
        <f>IF(OR(D1696="",C1696&lt;&gt;"Chi"),"",IFERROR(INDEX('Danh mục'!$C$39:$C$78,MATCH(D1696,'Danh mục'!$A$39:$A$78,0))&amp;"",""))</f>
      </c>
      <c r="H1696" s="11"/>
      <c r="I1696" s="20"/>
      <c r="J1696" s="11"/>
      <c r="K1696" s="11"/>
      <c r="L1696" s="11"/>
    </row>
    <row r="1697" spans="1:12" x14ac:dyDescent="0.3">
      <c r="A1697" s="31"/>
      <c r="B1697" s="32">
        <f>IF(A1697="","",DATE(YEAR(A1697),MONTH(A1697),1))</f>
      </c>
      <c r="C1697" s="11"/>
      <c r="D1697" s="11"/>
      <c r="E1697" s="16">
        <f>IF(OR(D1697="",C1697&lt;&gt;"Chi"),"",IFERROR(INDEX('Danh mục'!$B$39:$B$78,MATCH(D1697,'Danh mục'!$A$39:$A$78,0))&amp;"","?"))</f>
      </c>
      <c r="F1697" s="16">
        <f>IF(D1697="","",IF(C1697="Thu",IFERROR(INDEX('Danh mục'!$B$26:$B$35,MATCH(D1697,'Danh mục'!$A$26:$A$35,0))&amp;"","?"),IFERROR(INDEX('Danh mục'!$D$39:$D$78,MATCH(D1697,'Danh mục'!$A$39:$A$78,0))&amp;"","?")))</f>
      </c>
      <c r="G1697" s="16">
        <f>IF(OR(D1697="",C1697&lt;&gt;"Chi"),"",IFERROR(INDEX('Danh mục'!$C$39:$C$78,MATCH(D1697,'Danh mục'!$A$39:$A$78,0))&amp;"",""))</f>
      </c>
      <c r="H1697" s="11"/>
      <c r="I1697" s="20"/>
      <c r="J1697" s="11"/>
      <c r="K1697" s="11"/>
      <c r="L1697" s="11"/>
    </row>
    <row r="1698" spans="1:12" x14ac:dyDescent="0.3">
      <c r="A1698" s="31"/>
      <c r="B1698" s="32">
        <f>IF(A1698="","",DATE(YEAR(A1698),MONTH(A1698),1))</f>
      </c>
      <c r="C1698" s="11"/>
      <c r="D1698" s="11"/>
      <c r="E1698" s="16">
        <f>IF(OR(D1698="",C1698&lt;&gt;"Chi"),"",IFERROR(INDEX('Danh mục'!$B$39:$B$78,MATCH(D1698,'Danh mục'!$A$39:$A$78,0))&amp;"","?"))</f>
      </c>
      <c r="F1698" s="16">
        <f>IF(D1698="","",IF(C1698="Thu",IFERROR(INDEX('Danh mục'!$B$26:$B$35,MATCH(D1698,'Danh mục'!$A$26:$A$35,0))&amp;"","?"),IFERROR(INDEX('Danh mục'!$D$39:$D$78,MATCH(D1698,'Danh mục'!$A$39:$A$78,0))&amp;"","?")))</f>
      </c>
      <c r="G1698" s="16">
        <f>IF(OR(D1698="",C1698&lt;&gt;"Chi"),"",IFERROR(INDEX('Danh mục'!$C$39:$C$78,MATCH(D1698,'Danh mục'!$A$39:$A$78,0))&amp;"",""))</f>
      </c>
      <c r="H1698" s="11"/>
      <c r="I1698" s="20"/>
      <c r="J1698" s="11"/>
      <c r="K1698" s="11"/>
      <c r="L1698" s="11"/>
    </row>
    <row r="1699" spans="1:12" x14ac:dyDescent="0.3">
      <c r="A1699" s="31"/>
      <c r="B1699" s="32">
        <f>IF(A1699="","",DATE(YEAR(A1699),MONTH(A1699),1))</f>
      </c>
      <c r="C1699" s="11"/>
      <c r="D1699" s="11"/>
      <c r="E1699" s="16">
        <f>IF(OR(D1699="",C1699&lt;&gt;"Chi"),"",IFERROR(INDEX('Danh mục'!$B$39:$B$78,MATCH(D1699,'Danh mục'!$A$39:$A$78,0))&amp;"","?"))</f>
      </c>
      <c r="F1699" s="16">
        <f>IF(D1699="","",IF(C1699="Thu",IFERROR(INDEX('Danh mục'!$B$26:$B$35,MATCH(D1699,'Danh mục'!$A$26:$A$35,0))&amp;"","?"),IFERROR(INDEX('Danh mục'!$D$39:$D$78,MATCH(D1699,'Danh mục'!$A$39:$A$78,0))&amp;"","?")))</f>
      </c>
      <c r="G1699" s="16">
        <f>IF(OR(D1699="",C1699&lt;&gt;"Chi"),"",IFERROR(INDEX('Danh mục'!$C$39:$C$78,MATCH(D1699,'Danh mục'!$A$39:$A$78,0))&amp;"",""))</f>
      </c>
      <c r="H1699" s="11"/>
      <c r="I1699" s="20"/>
      <c r="J1699" s="11"/>
      <c r="K1699" s="11"/>
      <c r="L1699" s="11"/>
    </row>
    <row r="1700" spans="1:12" x14ac:dyDescent="0.3">
      <c r="A1700" s="31"/>
      <c r="B1700" s="32">
        <f>IF(A1700="","",DATE(YEAR(A1700),MONTH(A1700),1))</f>
      </c>
      <c r="C1700" s="11"/>
      <c r="D1700" s="11"/>
      <c r="E1700" s="16">
        <f>IF(OR(D1700="",C1700&lt;&gt;"Chi"),"",IFERROR(INDEX('Danh mục'!$B$39:$B$78,MATCH(D1700,'Danh mục'!$A$39:$A$78,0))&amp;"","?"))</f>
      </c>
      <c r="F1700" s="16">
        <f>IF(D1700="","",IF(C1700="Thu",IFERROR(INDEX('Danh mục'!$B$26:$B$35,MATCH(D1700,'Danh mục'!$A$26:$A$35,0))&amp;"","?"),IFERROR(INDEX('Danh mục'!$D$39:$D$78,MATCH(D1700,'Danh mục'!$A$39:$A$78,0))&amp;"","?")))</f>
      </c>
      <c r="G1700" s="16">
        <f>IF(OR(D1700="",C1700&lt;&gt;"Chi"),"",IFERROR(INDEX('Danh mục'!$C$39:$C$78,MATCH(D1700,'Danh mục'!$A$39:$A$78,0))&amp;"",""))</f>
      </c>
      <c r="H1700" s="11"/>
      <c r="I1700" s="20"/>
      <c r="J1700" s="11"/>
      <c r="K1700" s="11"/>
      <c r="L1700" s="11"/>
    </row>
    <row r="1701" spans="1:12" x14ac:dyDescent="0.3">
      <c r="A1701" s="31"/>
      <c r="B1701" s="32">
        <f>IF(A1701="","",DATE(YEAR(A1701),MONTH(A1701),1))</f>
      </c>
      <c r="C1701" s="11"/>
      <c r="D1701" s="11"/>
      <c r="E1701" s="16">
        <f>IF(OR(D1701="",C1701&lt;&gt;"Chi"),"",IFERROR(INDEX('Danh mục'!$B$39:$B$78,MATCH(D1701,'Danh mục'!$A$39:$A$78,0))&amp;"","?"))</f>
      </c>
      <c r="F1701" s="16">
        <f>IF(D1701="","",IF(C1701="Thu",IFERROR(INDEX('Danh mục'!$B$26:$B$35,MATCH(D1701,'Danh mục'!$A$26:$A$35,0))&amp;"","?"),IFERROR(INDEX('Danh mục'!$D$39:$D$78,MATCH(D1701,'Danh mục'!$A$39:$A$78,0))&amp;"","?")))</f>
      </c>
      <c r="G1701" s="16">
        <f>IF(OR(D1701="",C1701&lt;&gt;"Chi"),"",IFERROR(INDEX('Danh mục'!$C$39:$C$78,MATCH(D1701,'Danh mục'!$A$39:$A$78,0))&amp;"",""))</f>
      </c>
      <c r="H1701" s="11"/>
      <c r="I1701" s="20"/>
      <c r="J1701" s="11"/>
      <c r="K1701" s="11"/>
      <c r="L1701" s="11"/>
    </row>
    <row r="1702" spans="1:12" x14ac:dyDescent="0.3">
      <c r="A1702" s="31"/>
      <c r="B1702" s="32">
        <f>IF(A1702="","",DATE(YEAR(A1702),MONTH(A1702),1))</f>
      </c>
      <c r="C1702" s="11"/>
      <c r="D1702" s="11"/>
      <c r="E1702" s="16">
        <f>IF(OR(D1702="",C1702&lt;&gt;"Chi"),"",IFERROR(INDEX('Danh mục'!$B$39:$B$78,MATCH(D1702,'Danh mục'!$A$39:$A$78,0))&amp;"","?"))</f>
      </c>
      <c r="F1702" s="16">
        <f>IF(D1702="","",IF(C1702="Thu",IFERROR(INDEX('Danh mục'!$B$26:$B$35,MATCH(D1702,'Danh mục'!$A$26:$A$35,0))&amp;"","?"),IFERROR(INDEX('Danh mục'!$D$39:$D$78,MATCH(D1702,'Danh mục'!$A$39:$A$78,0))&amp;"","?")))</f>
      </c>
      <c r="G1702" s="16">
        <f>IF(OR(D1702="",C1702&lt;&gt;"Chi"),"",IFERROR(INDEX('Danh mục'!$C$39:$C$78,MATCH(D1702,'Danh mục'!$A$39:$A$78,0))&amp;"",""))</f>
      </c>
      <c r="H1702" s="11"/>
      <c r="I1702" s="20"/>
      <c r="J1702" s="11"/>
      <c r="K1702" s="11"/>
      <c r="L1702" s="11"/>
    </row>
    <row r="1703" spans="1:12" x14ac:dyDescent="0.3">
      <c r="A1703" s="31"/>
      <c r="B1703" s="32">
        <f>IF(A1703="","",DATE(YEAR(A1703),MONTH(A1703),1))</f>
      </c>
      <c r="C1703" s="11"/>
      <c r="D1703" s="11"/>
      <c r="E1703" s="16">
        <f>IF(OR(D1703="",C1703&lt;&gt;"Chi"),"",IFERROR(INDEX('Danh mục'!$B$39:$B$78,MATCH(D1703,'Danh mục'!$A$39:$A$78,0))&amp;"","?"))</f>
      </c>
      <c r="F1703" s="16">
        <f>IF(D1703="","",IF(C1703="Thu",IFERROR(INDEX('Danh mục'!$B$26:$B$35,MATCH(D1703,'Danh mục'!$A$26:$A$35,0))&amp;"","?"),IFERROR(INDEX('Danh mục'!$D$39:$D$78,MATCH(D1703,'Danh mục'!$A$39:$A$78,0))&amp;"","?")))</f>
      </c>
      <c r="G1703" s="16">
        <f>IF(OR(D1703="",C1703&lt;&gt;"Chi"),"",IFERROR(INDEX('Danh mục'!$C$39:$C$78,MATCH(D1703,'Danh mục'!$A$39:$A$78,0))&amp;"",""))</f>
      </c>
      <c r="H1703" s="11"/>
      <c r="I1703" s="20"/>
      <c r="J1703" s="11"/>
      <c r="K1703" s="11"/>
      <c r="L1703" s="11"/>
    </row>
    <row r="1704" spans="1:12" x14ac:dyDescent="0.3">
      <c r="A1704" s="31"/>
      <c r="B1704" s="32">
        <f>IF(A1704="","",DATE(YEAR(A1704),MONTH(A1704),1))</f>
      </c>
      <c r="C1704" s="11"/>
      <c r="D1704" s="11"/>
      <c r="E1704" s="16">
        <f>IF(OR(D1704="",C1704&lt;&gt;"Chi"),"",IFERROR(INDEX('Danh mục'!$B$39:$B$78,MATCH(D1704,'Danh mục'!$A$39:$A$78,0))&amp;"","?"))</f>
      </c>
      <c r="F1704" s="16">
        <f>IF(D1704="","",IF(C1704="Thu",IFERROR(INDEX('Danh mục'!$B$26:$B$35,MATCH(D1704,'Danh mục'!$A$26:$A$35,0))&amp;"","?"),IFERROR(INDEX('Danh mục'!$D$39:$D$78,MATCH(D1704,'Danh mục'!$A$39:$A$78,0))&amp;"","?")))</f>
      </c>
      <c r="G1704" s="16">
        <f>IF(OR(D1704="",C1704&lt;&gt;"Chi"),"",IFERROR(INDEX('Danh mục'!$C$39:$C$78,MATCH(D1704,'Danh mục'!$A$39:$A$78,0))&amp;"",""))</f>
      </c>
      <c r="H1704" s="11"/>
      <c r="I1704" s="20"/>
      <c r="J1704" s="11"/>
      <c r="K1704" s="11"/>
      <c r="L1704" s="11"/>
    </row>
    <row r="1705" spans="1:12" x14ac:dyDescent="0.3">
      <c r="A1705" s="31"/>
      <c r="B1705" s="32">
        <f>IF(A1705="","",DATE(YEAR(A1705),MONTH(A1705),1))</f>
      </c>
      <c r="C1705" s="11"/>
      <c r="D1705" s="11"/>
      <c r="E1705" s="16">
        <f>IF(OR(D1705="",C1705&lt;&gt;"Chi"),"",IFERROR(INDEX('Danh mục'!$B$39:$B$78,MATCH(D1705,'Danh mục'!$A$39:$A$78,0))&amp;"","?"))</f>
      </c>
      <c r="F1705" s="16">
        <f>IF(D1705="","",IF(C1705="Thu",IFERROR(INDEX('Danh mục'!$B$26:$B$35,MATCH(D1705,'Danh mục'!$A$26:$A$35,0))&amp;"","?"),IFERROR(INDEX('Danh mục'!$D$39:$D$78,MATCH(D1705,'Danh mục'!$A$39:$A$78,0))&amp;"","?")))</f>
      </c>
      <c r="G1705" s="16">
        <f>IF(OR(D1705="",C1705&lt;&gt;"Chi"),"",IFERROR(INDEX('Danh mục'!$C$39:$C$78,MATCH(D1705,'Danh mục'!$A$39:$A$78,0))&amp;"",""))</f>
      </c>
      <c r="H1705" s="11"/>
      <c r="I1705" s="20"/>
      <c r="J1705" s="11"/>
      <c r="K1705" s="11"/>
      <c r="L1705" s="11"/>
    </row>
    <row r="1706" spans="1:12" x14ac:dyDescent="0.3">
      <c r="A1706" s="31"/>
      <c r="B1706" s="32">
        <f>IF(A1706="","",DATE(YEAR(A1706),MONTH(A1706),1))</f>
      </c>
      <c r="C1706" s="11"/>
      <c r="D1706" s="11"/>
      <c r="E1706" s="16">
        <f>IF(OR(D1706="",C1706&lt;&gt;"Chi"),"",IFERROR(INDEX('Danh mục'!$B$39:$B$78,MATCH(D1706,'Danh mục'!$A$39:$A$78,0))&amp;"","?"))</f>
      </c>
      <c r="F1706" s="16">
        <f>IF(D1706="","",IF(C1706="Thu",IFERROR(INDEX('Danh mục'!$B$26:$B$35,MATCH(D1706,'Danh mục'!$A$26:$A$35,0))&amp;"","?"),IFERROR(INDEX('Danh mục'!$D$39:$D$78,MATCH(D1706,'Danh mục'!$A$39:$A$78,0))&amp;"","?")))</f>
      </c>
      <c r="G1706" s="16">
        <f>IF(OR(D1706="",C1706&lt;&gt;"Chi"),"",IFERROR(INDEX('Danh mục'!$C$39:$C$78,MATCH(D1706,'Danh mục'!$A$39:$A$78,0))&amp;"",""))</f>
      </c>
      <c r="H1706" s="11"/>
      <c r="I1706" s="20"/>
      <c r="J1706" s="11"/>
      <c r="K1706" s="11"/>
      <c r="L1706" s="11"/>
    </row>
    <row r="1707" spans="1:12" x14ac:dyDescent="0.3">
      <c r="A1707" s="31"/>
      <c r="B1707" s="32">
        <f>IF(A1707="","",DATE(YEAR(A1707),MONTH(A1707),1))</f>
      </c>
      <c r="C1707" s="11"/>
      <c r="D1707" s="11"/>
      <c r="E1707" s="16">
        <f>IF(OR(D1707="",C1707&lt;&gt;"Chi"),"",IFERROR(INDEX('Danh mục'!$B$39:$B$78,MATCH(D1707,'Danh mục'!$A$39:$A$78,0))&amp;"","?"))</f>
      </c>
      <c r="F1707" s="16">
        <f>IF(D1707="","",IF(C1707="Thu",IFERROR(INDEX('Danh mục'!$B$26:$B$35,MATCH(D1707,'Danh mục'!$A$26:$A$35,0))&amp;"","?"),IFERROR(INDEX('Danh mục'!$D$39:$D$78,MATCH(D1707,'Danh mục'!$A$39:$A$78,0))&amp;"","?")))</f>
      </c>
      <c r="G1707" s="16">
        <f>IF(OR(D1707="",C1707&lt;&gt;"Chi"),"",IFERROR(INDEX('Danh mục'!$C$39:$C$78,MATCH(D1707,'Danh mục'!$A$39:$A$78,0))&amp;"",""))</f>
      </c>
      <c r="H1707" s="11"/>
      <c r="I1707" s="20"/>
      <c r="J1707" s="11"/>
      <c r="K1707" s="11"/>
      <c r="L1707" s="11"/>
    </row>
    <row r="1708" spans="1:12" x14ac:dyDescent="0.3">
      <c r="A1708" s="31"/>
      <c r="B1708" s="32">
        <f>IF(A1708="","",DATE(YEAR(A1708),MONTH(A1708),1))</f>
      </c>
      <c r="C1708" s="11"/>
      <c r="D1708" s="11"/>
      <c r="E1708" s="16">
        <f>IF(OR(D1708="",C1708&lt;&gt;"Chi"),"",IFERROR(INDEX('Danh mục'!$B$39:$B$78,MATCH(D1708,'Danh mục'!$A$39:$A$78,0))&amp;"","?"))</f>
      </c>
      <c r="F1708" s="16">
        <f>IF(D1708="","",IF(C1708="Thu",IFERROR(INDEX('Danh mục'!$B$26:$B$35,MATCH(D1708,'Danh mục'!$A$26:$A$35,0))&amp;"","?"),IFERROR(INDEX('Danh mục'!$D$39:$D$78,MATCH(D1708,'Danh mục'!$A$39:$A$78,0))&amp;"","?")))</f>
      </c>
      <c r="G1708" s="16">
        <f>IF(OR(D1708="",C1708&lt;&gt;"Chi"),"",IFERROR(INDEX('Danh mục'!$C$39:$C$78,MATCH(D1708,'Danh mục'!$A$39:$A$78,0))&amp;"",""))</f>
      </c>
      <c r="H1708" s="11"/>
      <c r="I1708" s="20"/>
      <c r="J1708" s="11"/>
      <c r="K1708" s="11"/>
      <c r="L1708" s="11"/>
    </row>
    <row r="1709" spans="1:12" x14ac:dyDescent="0.3">
      <c r="A1709" s="31"/>
      <c r="B1709" s="32">
        <f>IF(A1709="","",DATE(YEAR(A1709),MONTH(A1709),1))</f>
      </c>
      <c r="C1709" s="11"/>
      <c r="D1709" s="11"/>
      <c r="E1709" s="16">
        <f>IF(OR(D1709="",C1709&lt;&gt;"Chi"),"",IFERROR(INDEX('Danh mục'!$B$39:$B$78,MATCH(D1709,'Danh mục'!$A$39:$A$78,0))&amp;"","?"))</f>
      </c>
      <c r="F1709" s="16">
        <f>IF(D1709="","",IF(C1709="Thu",IFERROR(INDEX('Danh mục'!$B$26:$B$35,MATCH(D1709,'Danh mục'!$A$26:$A$35,0))&amp;"","?"),IFERROR(INDEX('Danh mục'!$D$39:$D$78,MATCH(D1709,'Danh mục'!$A$39:$A$78,0))&amp;"","?")))</f>
      </c>
      <c r="G1709" s="16">
        <f>IF(OR(D1709="",C1709&lt;&gt;"Chi"),"",IFERROR(INDEX('Danh mục'!$C$39:$C$78,MATCH(D1709,'Danh mục'!$A$39:$A$78,0))&amp;"",""))</f>
      </c>
      <c r="H1709" s="11"/>
      <c r="I1709" s="20"/>
      <c r="J1709" s="11"/>
      <c r="K1709" s="11"/>
      <c r="L1709" s="11"/>
    </row>
    <row r="1710" spans="1:12" x14ac:dyDescent="0.3">
      <c r="A1710" s="31"/>
      <c r="B1710" s="32">
        <f>IF(A1710="","",DATE(YEAR(A1710),MONTH(A1710),1))</f>
      </c>
      <c r="C1710" s="11"/>
      <c r="D1710" s="11"/>
      <c r="E1710" s="16">
        <f>IF(OR(D1710="",C1710&lt;&gt;"Chi"),"",IFERROR(INDEX('Danh mục'!$B$39:$B$78,MATCH(D1710,'Danh mục'!$A$39:$A$78,0))&amp;"","?"))</f>
      </c>
      <c r="F1710" s="16">
        <f>IF(D1710="","",IF(C1710="Thu",IFERROR(INDEX('Danh mục'!$B$26:$B$35,MATCH(D1710,'Danh mục'!$A$26:$A$35,0))&amp;"","?"),IFERROR(INDEX('Danh mục'!$D$39:$D$78,MATCH(D1710,'Danh mục'!$A$39:$A$78,0))&amp;"","?")))</f>
      </c>
      <c r="G1710" s="16">
        <f>IF(OR(D1710="",C1710&lt;&gt;"Chi"),"",IFERROR(INDEX('Danh mục'!$C$39:$C$78,MATCH(D1710,'Danh mục'!$A$39:$A$78,0))&amp;"",""))</f>
      </c>
      <c r="H1710" s="11"/>
      <c r="I1710" s="20"/>
      <c r="J1710" s="11"/>
      <c r="K1710" s="11"/>
      <c r="L1710" s="11"/>
    </row>
    <row r="1711" spans="1:12" x14ac:dyDescent="0.3">
      <c r="A1711" s="31"/>
      <c r="B1711" s="32">
        <f>IF(A1711="","",DATE(YEAR(A1711),MONTH(A1711),1))</f>
      </c>
      <c r="C1711" s="11"/>
      <c r="D1711" s="11"/>
      <c r="E1711" s="16">
        <f>IF(OR(D1711="",C1711&lt;&gt;"Chi"),"",IFERROR(INDEX('Danh mục'!$B$39:$B$78,MATCH(D1711,'Danh mục'!$A$39:$A$78,0))&amp;"","?"))</f>
      </c>
      <c r="F1711" s="16">
        <f>IF(D1711="","",IF(C1711="Thu",IFERROR(INDEX('Danh mục'!$B$26:$B$35,MATCH(D1711,'Danh mục'!$A$26:$A$35,0))&amp;"","?"),IFERROR(INDEX('Danh mục'!$D$39:$D$78,MATCH(D1711,'Danh mục'!$A$39:$A$78,0))&amp;"","?")))</f>
      </c>
      <c r="G1711" s="16">
        <f>IF(OR(D1711="",C1711&lt;&gt;"Chi"),"",IFERROR(INDEX('Danh mục'!$C$39:$C$78,MATCH(D1711,'Danh mục'!$A$39:$A$78,0))&amp;"",""))</f>
      </c>
      <c r="H1711" s="11"/>
      <c r="I1711" s="20"/>
      <c r="J1711" s="11"/>
      <c r="K1711" s="11"/>
      <c r="L1711" s="11"/>
    </row>
    <row r="1712" spans="1:12" x14ac:dyDescent="0.3">
      <c r="A1712" s="31"/>
      <c r="B1712" s="32">
        <f>IF(A1712="","",DATE(YEAR(A1712),MONTH(A1712),1))</f>
      </c>
      <c r="C1712" s="11"/>
      <c r="D1712" s="11"/>
      <c r="E1712" s="16">
        <f>IF(OR(D1712="",C1712&lt;&gt;"Chi"),"",IFERROR(INDEX('Danh mục'!$B$39:$B$78,MATCH(D1712,'Danh mục'!$A$39:$A$78,0))&amp;"","?"))</f>
      </c>
      <c r="F1712" s="16">
        <f>IF(D1712="","",IF(C1712="Thu",IFERROR(INDEX('Danh mục'!$B$26:$B$35,MATCH(D1712,'Danh mục'!$A$26:$A$35,0))&amp;"","?"),IFERROR(INDEX('Danh mục'!$D$39:$D$78,MATCH(D1712,'Danh mục'!$A$39:$A$78,0))&amp;"","?")))</f>
      </c>
      <c r="G1712" s="16">
        <f>IF(OR(D1712="",C1712&lt;&gt;"Chi"),"",IFERROR(INDEX('Danh mục'!$C$39:$C$78,MATCH(D1712,'Danh mục'!$A$39:$A$78,0))&amp;"",""))</f>
      </c>
      <c r="H1712" s="11"/>
      <c r="I1712" s="20"/>
      <c r="J1712" s="11"/>
      <c r="K1712" s="11"/>
      <c r="L1712" s="11"/>
    </row>
    <row r="1713" spans="1:12" x14ac:dyDescent="0.3">
      <c r="A1713" s="31"/>
      <c r="B1713" s="32">
        <f>IF(A1713="","",DATE(YEAR(A1713),MONTH(A1713),1))</f>
      </c>
      <c r="C1713" s="11"/>
      <c r="D1713" s="11"/>
      <c r="E1713" s="16">
        <f>IF(OR(D1713="",C1713&lt;&gt;"Chi"),"",IFERROR(INDEX('Danh mục'!$B$39:$B$78,MATCH(D1713,'Danh mục'!$A$39:$A$78,0))&amp;"","?"))</f>
      </c>
      <c r="F1713" s="16">
        <f>IF(D1713="","",IF(C1713="Thu",IFERROR(INDEX('Danh mục'!$B$26:$B$35,MATCH(D1713,'Danh mục'!$A$26:$A$35,0))&amp;"","?"),IFERROR(INDEX('Danh mục'!$D$39:$D$78,MATCH(D1713,'Danh mục'!$A$39:$A$78,0))&amp;"","?")))</f>
      </c>
      <c r="G1713" s="16">
        <f>IF(OR(D1713="",C1713&lt;&gt;"Chi"),"",IFERROR(INDEX('Danh mục'!$C$39:$C$78,MATCH(D1713,'Danh mục'!$A$39:$A$78,0))&amp;"",""))</f>
      </c>
      <c r="H1713" s="11"/>
      <c r="I1713" s="20"/>
      <c r="J1713" s="11"/>
      <c r="K1713" s="11"/>
      <c r="L1713" s="11"/>
    </row>
    <row r="1714" spans="1:12" x14ac:dyDescent="0.3">
      <c r="A1714" s="31"/>
      <c r="B1714" s="32">
        <f>IF(A1714="","",DATE(YEAR(A1714),MONTH(A1714),1))</f>
      </c>
      <c r="C1714" s="11"/>
      <c r="D1714" s="11"/>
      <c r="E1714" s="16">
        <f>IF(OR(D1714="",C1714&lt;&gt;"Chi"),"",IFERROR(INDEX('Danh mục'!$B$39:$B$78,MATCH(D1714,'Danh mục'!$A$39:$A$78,0))&amp;"","?"))</f>
      </c>
      <c r="F1714" s="16">
        <f>IF(D1714="","",IF(C1714="Thu",IFERROR(INDEX('Danh mục'!$B$26:$B$35,MATCH(D1714,'Danh mục'!$A$26:$A$35,0))&amp;"","?"),IFERROR(INDEX('Danh mục'!$D$39:$D$78,MATCH(D1714,'Danh mục'!$A$39:$A$78,0))&amp;"","?")))</f>
      </c>
      <c r="G1714" s="16">
        <f>IF(OR(D1714="",C1714&lt;&gt;"Chi"),"",IFERROR(INDEX('Danh mục'!$C$39:$C$78,MATCH(D1714,'Danh mục'!$A$39:$A$78,0))&amp;"",""))</f>
      </c>
      <c r="H1714" s="11"/>
      <c r="I1714" s="20"/>
      <c r="J1714" s="11"/>
      <c r="K1714" s="11"/>
      <c r="L1714" s="11"/>
    </row>
    <row r="1715" spans="1:12" x14ac:dyDescent="0.3">
      <c r="A1715" s="31"/>
      <c r="B1715" s="32">
        <f>IF(A1715="","",DATE(YEAR(A1715),MONTH(A1715),1))</f>
      </c>
      <c r="C1715" s="11"/>
      <c r="D1715" s="11"/>
      <c r="E1715" s="16">
        <f>IF(OR(D1715="",C1715&lt;&gt;"Chi"),"",IFERROR(INDEX('Danh mục'!$B$39:$B$78,MATCH(D1715,'Danh mục'!$A$39:$A$78,0))&amp;"","?"))</f>
      </c>
      <c r="F1715" s="16">
        <f>IF(D1715="","",IF(C1715="Thu",IFERROR(INDEX('Danh mục'!$B$26:$B$35,MATCH(D1715,'Danh mục'!$A$26:$A$35,0))&amp;"","?"),IFERROR(INDEX('Danh mục'!$D$39:$D$78,MATCH(D1715,'Danh mục'!$A$39:$A$78,0))&amp;"","?")))</f>
      </c>
      <c r="G1715" s="16">
        <f>IF(OR(D1715="",C1715&lt;&gt;"Chi"),"",IFERROR(INDEX('Danh mục'!$C$39:$C$78,MATCH(D1715,'Danh mục'!$A$39:$A$78,0))&amp;"",""))</f>
      </c>
      <c r="H1715" s="11"/>
      <c r="I1715" s="20"/>
      <c r="J1715" s="11"/>
      <c r="K1715" s="11"/>
      <c r="L1715" s="11"/>
    </row>
    <row r="1716" spans="1:12" x14ac:dyDescent="0.3">
      <c r="A1716" s="31"/>
      <c r="B1716" s="32">
        <f>IF(A1716="","",DATE(YEAR(A1716),MONTH(A1716),1))</f>
      </c>
      <c r="C1716" s="11"/>
      <c r="D1716" s="11"/>
      <c r="E1716" s="16">
        <f>IF(OR(D1716="",C1716&lt;&gt;"Chi"),"",IFERROR(INDEX('Danh mục'!$B$39:$B$78,MATCH(D1716,'Danh mục'!$A$39:$A$78,0))&amp;"","?"))</f>
      </c>
      <c r="F1716" s="16">
        <f>IF(D1716="","",IF(C1716="Thu",IFERROR(INDEX('Danh mục'!$B$26:$B$35,MATCH(D1716,'Danh mục'!$A$26:$A$35,0))&amp;"","?"),IFERROR(INDEX('Danh mục'!$D$39:$D$78,MATCH(D1716,'Danh mục'!$A$39:$A$78,0))&amp;"","?")))</f>
      </c>
      <c r="G1716" s="16">
        <f>IF(OR(D1716="",C1716&lt;&gt;"Chi"),"",IFERROR(INDEX('Danh mục'!$C$39:$C$78,MATCH(D1716,'Danh mục'!$A$39:$A$78,0))&amp;"",""))</f>
      </c>
      <c r="H1716" s="11"/>
      <c r="I1716" s="20"/>
      <c r="J1716" s="11"/>
      <c r="K1716" s="11"/>
      <c r="L1716" s="11"/>
    </row>
    <row r="1717" spans="1:12" x14ac:dyDescent="0.3">
      <c r="A1717" s="31"/>
      <c r="B1717" s="32">
        <f>IF(A1717="","",DATE(YEAR(A1717),MONTH(A1717),1))</f>
      </c>
      <c r="C1717" s="11"/>
      <c r="D1717" s="11"/>
      <c r="E1717" s="16">
        <f>IF(OR(D1717="",C1717&lt;&gt;"Chi"),"",IFERROR(INDEX('Danh mục'!$B$39:$B$78,MATCH(D1717,'Danh mục'!$A$39:$A$78,0))&amp;"","?"))</f>
      </c>
      <c r="F1717" s="16">
        <f>IF(D1717="","",IF(C1717="Thu",IFERROR(INDEX('Danh mục'!$B$26:$B$35,MATCH(D1717,'Danh mục'!$A$26:$A$35,0))&amp;"","?"),IFERROR(INDEX('Danh mục'!$D$39:$D$78,MATCH(D1717,'Danh mục'!$A$39:$A$78,0))&amp;"","?")))</f>
      </c>
      <c r="G1717" s="16">
        <f>IF(OR(D1717="",C1717&lt;&gt;"Chi"),"",IFERROR(INDEX('Danh mục'!$C$39:$C$78,MATCH(D1717,'Danh mục'!$A$39:$A$78,0))&amp;"",""))</f>
      </c>
      <c r="H1717" s="11"/>
      <c r="I1717" s="20"/>
      <c r="J1717" s="11"/>
      <c r="K1717" s="11"/>
      <c r="L1717" s="11"/>
    </row>
    <row r="1718" spans="1:12" x14ac:dyDescent="0.3">
      <c r="A1718" s="31"/>
      <c r="B1718" s="32">
        <f>IF(A1718="","",DATE(YEAR(A1718),MONTH(A1718),1))</f>
      </c>
      <c r="C1718" s="11"/>
      <c r="D1718" s="11"/>
      <c r="E1718" s="16">
        <f>IF(OR(D1718="",C1718&lt;&gt;"Chi"),"",IFERROR(INDEX('Danh mục'!$B$39:$B$78,MATCH(D1718,'Danh mục'!$A$39:$A$78,0))&amp;"","?"))</f>
      </c>
      <c r="F1718" s="16">
        <f>IF(D1718="","",IF(C1718="Thu",IFERROR(INDEX('Danh mục'!$B$26:$B$35,MATCH(D1718,'Danh mục'!$A$26:$A$35,0))&amp;"","?"),IFERROR(INDEX('Danh mục'!$D$39:$D$78,MATCH(D1718,'Danh mục'!$A$39:$A$78,0))&amp;"","?")))</f>
      </c>
      <c r="G1718" s="16">
        <f>IF(OR(D1718="",C1718&lt;&gt;"Chi"),"",IFERROR(INDEX('Danh mục'!$C$39:$C$78,MATCH(D1718,'Danh mục'!$A$39:$A$78,0))&amp;"",""))</f>
      </c>
      <c r="H1718" s="11"/>
      <c r="I1718" s="20"/>
      <c r="J1718" s="11"/>
      <c r="K1718" s="11"/>
      <c r="L1718" s="11"/>
    </row>
    <row r="1719" spans="1:12" x14ac:dyDescent="0.3">
      <c r="A1719" s="31"/>
      <c r="B1719" s="32">
        <f>IF(A1719="","",DATE(YEAR(A1719),MONTH(A1719),1))</f>
      </c>
      <c r="C1719" s="11"/>
      <c r="D1719" s="11"/>
      <c r="E1719" s="16">
        <f>IF(OR(D1719="",C1719&lt;&gt;"Chi"),"",IFERROR(INDEX('Danh mục'!$B$39:$B$78,MATCH(D1719,'Danh mục'!$A$39:$A$78,0))&amp;"","?"))</f>
      </c>
      <c r="F1719" s="16">
        <f>IF(D1719="","",IF(C1719="Thu",IFERROR(INDEX('Danh mục'!$B$26:$B$35,MATCH(D1719,'Danh mục'!$A$26:$A$35,0))&amp;"","?"),IFERROR(INDEX('Danh mục'!$D$39:$D$78,MATCH(D1719,'Danh mục'!$A$39:$A$78,0))&amp;"","?")))</f>
      </c>
      <c r="G1719" s="16">
        <f>IF(OR(D1719="",C1719&lt;&gt;"Chi"),"",IFERROR(INDEX('Danh mục'!$C$39:$C$78,MATCH(D1719,'Danh mục'!$A$39:$A$78,0))&amp;"",""))</f>
      </c>
      <c r="H1719" s="11"/>
      <c r="I1719" s="20"/>
      <c r="J1719" s="11"/>
      <c r="K1719" s="11"/>
      <c r="L1719" s="11"/>
    </row>
    <row r="1720" spans="1:12" x14ac:dyDescent="0.3">
      <c r="A1720" s="31"/>
      <c r="B1720" s="32">
        <f>IF(A1720="","",DATE(YEAR(A1720),MONTH(A1720),1))</f>
      </c>
      <c r="C1720" s="11"/>
      <c r="D1720" s="11"/>
      <c r="E1720" s="16">
        <f>IF(OR(D1720="",C1720&lt;&gt;"Chi"),"",IFERROR(INDEX('Danh mục'!$B$39:$B$78,MATCH(D1720,'Danh mục'!$A$39:$A$78,0))&amp;"","?"))</f>
      </c>
      <c r="F1720" s="16">
        <f>IF(D1720="","",IF(C1720="Thu",IFERROR(INDEX('Danh mục'!$B$26:$B$35,MATCH(D1720,'Danh mục'!$A$26:$A$35,0))&amp;"","?"),IFERROR(INDEX('Danh mục'!$D$39:$D$78,MATCH(D1720,'Danh mục'!$A$39:$A$78,0))&amp;"","?")))</f>
      </c>
      <c r="G1720" s="16">
        <f>IF(OR(D1720="",C1720&lt;&gt;"Chi"),"",IFERROR(INDEX('Danh mục'!$C$39:$C$78,MATCH(D1720,'Danh mục'!$A$39:$A$78,0))&amp;"",""))</f>
      </c>
      <c r="H1720" s="11"/>
      <c r="I1720" s="20"/>
      <c r="J1720" s="11"/>
      <c r="K1720" s="11"/>
      <c r="L1720" s="11"/>
    </row>
    <row r="1721" spans="1:12" x14ac:dyDescent="0.3">
      <c r="A1721" s="31"/>
      <c r="B1721" s="32">
        <f>IF(A1721="","",DATE(YEAR(A1721),MONTH(A1721),1))</f>
      </c>
      <c r="C1721" s="11"/>
      <c r="D1721" s="11"/>
      <c r="E1721" s="16">
        <f>IF(OR(D1721="",C1721&lt;&gt;"Chi"),"",IFERROR(INDEX('Danh mục'!$B$39:$B$78,MATCH(D1721,'Danh mục'!$A$39:$A$78,0))&amp;"","?"))</f>
      </c>
      <c r="F1721" s="16">
        <f>IF(D1721="","",IF(C1721="Thu",IFERROR(INDEX('Danh mục'!$B$26:$B$35,MATCH(D1721,'Danh mục'!$A$26:$A$35,0))&amp;"","?"),IFERROR(INDEX('Danh mục'!$D$39:$D$78,MATCH(D1721,'Danh mục'!$A$39:$A$78,0))&amp;"","?")))</f>
      </c>
      <c r="G1721" s="16">
        <f>IF(OR(D1721="",C1721&lt;&gt;"Chi"),"",IFERROR(INDEX('Danh mục'!$C$39:$C$78,MATCH(D1721,'Danh mục'!$A$39:$A$78,0))&amp;"",""))</f>
      </c>
      <c r="H1721" s="11"/>
      <c r="I1721" s="20"/>
      <c r="J1721" s="11"/>
      <c r="K1721" s="11"/>
      <c r="L1721" s="11"/>
    </row>
    <row r="1722" spans="1:12" x14ac:dyDescent="0.3">
      <c r="A1722" s="31"/>
      <c r="B1722" s="32">
        <f>IF(A1722="","",DATE(YEAR(A1722),MONTH(A1722),1))</f>
      </c>
      <c r="C1722" s="11"/>
      <c r="D1722" s="11"/>
      <c r="E1722" s="16">
        <f>IF(OR(D1722="",C1722&lt;&gt;"Chi"),"",IFERROR(INDEX('Danh mục'!$B$39:$B$78,MATCH(D1722,'Danh mục'!$A$39:$A$78,0))&amp;"","?"))</f>
      </c>
      <c r="F1722" s="16">
        <f>IF(D1722="","",IF(C1722="Thu",IFERROR(INDEX('Danh mục'!$B$26:$B$35,MATCH(D1722,'Danh mục'!$A$26:$A$35,0))&amp;"","?"),IFERROR(INDEX('Danh mục'!$D$39:$D$78,MATCH(D1722,'Danh mục'!$A$39:$A$78,0))&amp;"","?")))</f>
      </c>
      <c r="G1722" s="16">
        <f>IF(OR(D1722="",C1722&lt;&gt;"Chi"),"",IFERROR(INDEX('Danh mục'!$C$39:$C$78,MATCH(D1722,'Danh mục'!$A$39:$A$78,0))&amp;"",""))</f>
      </c>
      <c r="H1722" s="11"/>
      <c r="I1722" s="20"/>
      <c r="J1722" s="11"/>
      <c r="K1722" s="11"/>
      <c r="L1722" s="11"/>
    </row>
    <row r="1723" spans="1:12" x14ac:dyDescent="0.3">
      <c r="A1723" s="31"/>
      <c r="B1723" s="32">
        <f>IF(A1723="","",DATE(YEAR(A1723),MONTH(A1723),1))</f>
      </c>
      <c r="C1723" s="11"/>
      <c r="D1723" s="11"/>
      <c r="E1723" s="16">
        <f>IF(OR(D1723="",C1723&lt;&gt;"Chi"),"",IFERROR(INDEX('Danh mục'!$B$39:$B$78,MATCH(D1723,'Danh mục'!$A$39:$A$78,0))&amp;"","?"))</f>
      </c>
      <c r="F1723" s="16">
        <f>IF(D1723="","",IF(C1723="Thu",IFERROR(INDEX('Danh mục'!$B$26:$B$35,MATCH(D1723,'Danh mục'!$A$26:$A$35,0))&amp;"","?"),IFERROR(INDEX('Danh mục'!$D$39:$D$78,MATCH(D1723,'Danh mục'!$A$39:$A$78,0))&amp;"","?")))</f>
      </c>
      <c r="G1723" s="16">
        <f>IF(OR(D1723="",C1723&lt;&gt;"Chi"),"",IFERROR(INDEX('Danh mục'!$C$39:$C$78,MATCH(D1723,'Danh mục'!$A$39:$A$78,0))&amp;"",""))</f>
      </c>
      <c r="H1723" s="11"/>
      <c r="I1723" s="20"/>
      <c r="J1723" s="11"/>
      <c r="K1723" s="11"/>
      <c r="L1723" s="11"/>
    </row>
    <row r="1724" spans="1:12" x14ac:dyDescent="0.3">
      <c r="A1724" s="31"/>
      <c r="B1724" s="32">
        <f>IF(A1724="","",DATE(YEAR(A1724),MONTH(A1724),1))</f>
      </c>
      <c r="C1724" s="11"/>
      <c r="D1724" s="11"/>
      <c r="E1724" s="16">
        <f>IF(OR(D1724="",C1724&lt;&gt;"Chi"),"",IFERROR(INDEX('Danh mục'!$B$39:$B$78,MATCH(D1724,'Danh mục'!$A$39:$A$78,0))&amp;"","?"))</f>
      </c>
      <c r="F1724" s="16">
        <f>IF(D1724="","",IF(C1724="Thu",IFERROR(INDEX('Danh mục'!$B$26:$B$35,MATCH(D1724,'Danh mục'!$A$26:$A$35,0))&amp;"","?"),IFERROR(INDEX('Danh mục'!$D$39:$D$78,MATCH(D1724,'Danh mục'!$A$39:$A$78,0))&amp;"","?")))</f>
      </c>
      <c r="G1724" s="16">
        <f>IF(OR(D1724="",C1724&lt;&gt;"Chi"),"",IFERROR(INDEX('Danh mục'!$C$39:$C$78,MATCH(D1724,'Danh mục'!$A$39:$A$78,0))&amp;"",""))</f>
      </c>
      <c r="H1724" s="11"/>
      <c r="I1724" s="20"/>
      <c r="J1724" s="11"/>
      <c r="K1724" s="11"/>
      <c r="L1724" s="11"/>
    </row>
    <row r="1725" spans="1:12" x14ac:dyDescent="0.3">
      <c r="A1725" s="31"/>
      <c r="B1725" s="32">
        <f>IF(A1725="","",DATE(YEAR(A1725),MONTH(A1725),1))</f>
      </c>
      <c r="C1725" s="11"/>
      <c r="D1725" s="11"/>
      <c r="E1725" s="16">
        <f>IF(OR(D1725="",C1725&lt;&gt;"Chi"),"",IFERROR(INDEX('Danh mục'!$B$39:$B$78,MATCH(D1725,'Danh mục'!$A$39:$A$78,0))&amp;"","?"))</f>
      </c>
      <c r="F1725" s="16">
        <f>IF(D1725="","",IF(C1725="Thu",IFERROR(INDEX('Danh mục'!$B$26:$B$35,MATCH(D1725,'Danh mục'!$A$26:$A$35,0))&amp;"","?"),IFERROR(INDEX('Danh mục'!$D$39:$D$78,MATCH(D1725,'Danh mục'!$A$39:$A$78,0))&amp;"","?")))</f>
      </c>
      <c r="G1725" s="16">
        <f>IF(OR(D1725="",C1725&lt;&gt;"Chi"),"",IFERROR(INDEX('Danh mục'!$C$39:$C$78,MATCH(D1725,'Danh mục'!$A$39:$A$78,0))&amp;"",""))</f>
      </c>
      <c r="H1725" s="11"/>
      <c r="I1725" s="20"/>
      <c r="J1725" s="11"/>
      <c r="K1725" s="11"/>
      <c r="L1725" s="11"/>
    </row>
    <row r="1726" spans="1:12" x14ac:dyDescent="0.3">
      <c r="A1726" s="31"/>
      <c r="B1726" s="32">
        <f>IF(A1726="","",DATE(YEAR(A1726),MONTH(A1726),1))</f>
      </c>
      <c r="C1726" s="11"/>
      <c r="D1726" s="11"/>
      <c r="E1726" s="16">
        <f>IF(OR(D1726="",C1726&lt;&gt;"Chi"),"",IFERROR(INDEX('Danh mục'!$B$39:$B$78,MATCH(D1726,'Danh mục'!$A$39:$A$78,0))&amp;"","?"))</f>
      </c>
      <c r="F1726" s="16">
        <f>IF(D1726="","",IF(C1726="Thu",IFERROR(INDEX('Danh mục'!$B$26:$B$35,MATCH(D1726,'Danh mục'!$A$26:$A$35,0))&amp;"","?"),IFERROR(INDEX('Danh mục'!$D$39:$D$78,MATCH(D1726,'Danh mục'!$A$39:$A$78,0))&amp;"","?")))</f>
      </c>
      <c r="G1726" s="16">
        <f>IF(OR(D1726="",C1726&lt;&gt;"Chi"),"",IFERROR(INDEX('Danh mục'!$C$39:$C$78,MATCH(D1726,'Danh mục'!$A$39:$A$78,0))&amp;"",""))</f>
      </c>
      <c r="H1726" s="11"/>
      <c r="I1726" s="20"/>
      <c r="J1726" s="11"/>
      <c r="K1726" s="11"/>
      <c r="L1726" s="11"/>
    </row>
    <row r="1727" spans="1:12" x14ac:dyDescent="0.3">
      <c r="A1727" s="31"/>
      <c r="B1727" s="32">
        <f>IF(A1727="","",DATE(YEAR(A1727),MONTH(A1727),1))</f>
      </c>
      <c r="C1727" s="11"/>
      <c r="D1727" s="11"/>
      <c r="E1727" s="16">
        <f>IF(OR(D1727="",C1727&lt;&gt;"Chi"),"",IFERROR(INDEX('Danh mục'!$B$39:$B$78,MATCH(D1727,'Danh mục'!$A$39:$A$78,0))&amp;"","?"))</f>
      </c>
      <c r="F1727" s="16">
        <f>IF(D1727="","",IF(C1727="Thu",IFERROR(INDEX('Danh mục'!$B$26:$B$35,MATCH(D1727,'Danh mục'!$A$26:$A$35,0))&amp;"","?"),IFERROR(INDEX('Danh mục'!$D$39:$D$78,MATCH(D1727,'Danh mục'!$A$39:$A$78,0))&amp;"","?")))</f>
      </c>
      <c r="G1727" s="16">
        <f>IF(OR(D1727="",C1727&lt;&gt;"Chi"),"",IFERROR(INDEX('Danh mục'!$C$39:$C$78,MATCH(D1727,'Danh mục'!$A$39:$A$78,0))&amp;"",""))</f>
      </c>
      <c r="H1727" s="11"/>
      <c r="I1727" s="20"/>
      <c r="J1727" s="11"/>
      <c r="K1727" s="11"/>
      <c r="L1727" s="11"/>
    </row>
    <row r="1728" spans="1:12" x14ac:dyDescent="0.3">
      <c r="A1728" s="31"/>
      <c r="B1728" s="32">
        <f>IF(A1728="","",DATE(YEAR(A1728),MONTH(A1728),1))</f>
      </c>
      <c r="C1728" s="11"/>
      <c r="D1728" s="11"/>
      <c r="E1728" s="16">
        <f>IF(OR(D1728="",C1728&lt;&gt;"Chi"),"",IFERROR(INDEX('Danh mục'!$B$39:$B$78,MATCH(D1728,'Danh mục'!$A$39:$A$78,0))&amp;"","?"))</f>
      </c>
      <c r="F1728" s="16">
        <f>IF(D1728="","",IF(C1728="Thu",IFERROR(INDEX('Danh mục'!$B$26:$B$35,MATCH(D1728,'Danh mục'!$A$26:$A$35,0))&amp;"","?"),IFERROR(INDEX('Danh mục'!$D$39:$D$78,MATCH(D1728,'Danh mục'!$A$39:$A$78,0))&amp;"","?")))</f>
      </c>
      <c r="G1728" s="16">
        <f>IF(OR(D1728="",C1728&lt;&gt;"Chi"),"",IFERROR(INDEX('Danh mục'!$C$39:$C$78,MATCH(D1728,'Danh mục'!$A$39:$A$78,0))&amp;"",""))</f>
      </c>
      <c r="H1728" s="11"/>
      <c r="I1728" s="20"/>
      <c r="J1728" s="11"/>
      <c r="K1728" s="11"/>
      <c r="L1728" s="11"/>
    </row>
    <row r="1729" spans="1:12" x14ac:dyDescent="0.3">
      <c r="A1729" s="31"/>
      <c r="B1729" s="32">
        <f>IF(A1729="","",DATE(YEAR(A1729),MONTH(A1729),1))</f>
      </c>
      <c r="C1729" s="11"/>
      <c r="D1729" s="11"/>
      <c r="E1729" s="16">
        <f>IF(OR(D1729="",C1729&lt;&gt;"Chi"),"",IFERROR(INDEX('Danh mục'!$B$39:$B$78,MATCH(D1729,'Danh mục'!$A$39:$A$78,0))&amp;"","?"))</f>
      </c>
      <c r="F1729" s="16">
        <f>IF(D1729="","",IF(C1729="Thu",IFERROR(INDEX('Danh mục'!$B$26:$B$35,MATCH(D1729,'Danh mục'!$A$26:$A$35,0))&amp;"","?"),IFERROR(INDEX('Danh mục'!$D$39:$D$78,MATCH(D1729,'Danh mục'!$A$39:$A$78,0))&amp;"","?")))</f>
      </c>
      <c r="G1729" s="16">
        <f>IF(OR(D1729="",C1729&lt;&gt;"Chi"),"",IFERROR(INDEX('Danh mục'!$C$39:$C$78,MATCH(D1729,'Danh mục'!$A$39:$A$78,0))&amp;"",""))</f>
      </c>
      <c r="H1729" s="11"/>
      <c r="I1729" s="20"/>
      <c r="J1729" s="11"/>
      <c r="K1729" s="11"/>
      <c r="L1729" s="11"/>
    </row>
    <row r="1730" spans="1:12" x14ac:dyDescent="0.3">
      <c r="A1730" s="31"/>
      <c r="B1730" s="32">
        <f>IF(A1730="","",DATE(YEAR(A1730),MONTH(A1730),1))</f>
      </c>
      <c r="C1730" s="11"/>
      <c r="D1730" s="11"/>
      <c r="E1730" s="16">
        <f>IF(OR(D1730="",C1730&lt;&gt;"Chi"),"",IFERROR(INDEX('Danh mục'!$B$39:$B$78,MATCH(D1730,'Danh mục'!$A$39:$A$78,0))&amp;"","?"))</f>
      </c>
      <c r="F1730" s="16">
        <f>IF(D1730="","",IF(C1730="Thu",IFERROR(INDEX('Danh mục'!$B$26:$B$35,MATCH(D1730,'Danh mục'!$A$26:$A$35,0))&amp;"","?"),IFERROR(INDEX('Danh mục'!$D$39:$D$78,MATCH(D1730,'Danh mục'!$A$39:$A$78,0))&amp;"","?")))</f>
      </c>
      <c r="G1730" s="16">
        <f>IF(OR(D1730="",C1730&lt;&gt;"Chi"),"",IFERROR(INDEX('Danh mục'!$C$39:$C$78,MATCH(D1730,'Danh mục'!$A$39:$A$78,0))&amp;"",""))</f>
      </c>
      <c r="H1730" s="11"/>
      <c r="I1730" s="20"/>
      <c r="J1730" s="11"/>
      <c r="K1730" s="11"/>
      <c r="L1730" s="11"/>
    </row>
    <row r="1731" spans="1:12" x14ac:dyDescent="0.3">
      <c r="A1731" s="31"/>
      <c r="B1731" s="32">
        <f>IF(A1731="","",DATE(YEAR(A1731),MONTH(A1731),1))</f>
      </c>
      <c r="C1731" s="11"/>
      <c r="D1731" s="11"/>
      <c r="E1731" s="16">
        <f>IF(OR(D1731="",C1731&lt;&gt;"Chi"),"",IFERROR(INDEX('Danh mục'!$B$39:$B$78,MATCH(D1731,'Danh mục'!$A$39:$A$78,0))&amp;"","?"))</f>
      </c>
      <c r="F1731" s="16">
        <f>IF(D1731="","",IF(C1731="Thu",IFERROR(INDEX('Danh mục'!$B$26:$B$35,MATCH(D1731,'Danh mục'!$A$26:$A$35,0))&amp;"","?"),IFERROR(INDEX('Danh mục'!$D$39:$D$78,MATCH(D1731,'Danh mục'!$A$39:$A$78,0))&amp;"","?")))</f>
      </c>
      <c r="G1731" s="16">
        <f>IF(OR(D1731="",C1731&lt;&gt;"Chi"),"",IFERROR(INDEX('Danh mục'!$C$39:$C$78,MATCH(D1731,'Danh mục'!$A$39:$A$78,0))&amp;"",""))</f>
      </c>
      <c r="H1731" s="11"/>
      <c r="I1731" s="20"/>
      <c r="J1731" s="11"/>
      <c r="K1731" s="11"/>
      <c r="L1731" s="11"/>
    </row>
    <row r="1732" spans="1:12" x14ac:dyDescent="0.3">
      <c r="A1732" s="31"/>
      <c r="B1732" s="32">
        <f>IF(A1732="","",DATE(YEAR(A1732),MONTH(A1732),1))</f>
      </c>
      <c r="C1732" s="11"/>
      <c r="D1732" s="11"/>
      <c r="E1732" s="16">
        <f>IF(OR(D1732="",C1732&lt;&gt;"Chi"),"",IFERROR(INDEX('Danh mục'!$B$39:$B$78,MATCH(D1732,'Danh mục'!$A$39:$A$78,0))&amp;"","?"))</f>
      </c>
      <c r="F1732" s="16">
        <f>IF(D1732="","",IF(C1732="Thu",IFERROR(INDEX('Danh mục'!$B$26:$B$35,MATCH(D1732,'Danh mục'!$A$26:$A$35,0))&amp;"","?"),IFERROR(INDEX('Danh mục'!$D$39:$D$78,MATCH(D1732,'Danh mục'!$A$39:$A$78,0))&amp;"","?")))</f>
      </c>
      <c r="G1732" s="16">
        <f>IF(OR(D1732="",C1732&lt;&gt;"Chi"),"",IFERROR(INDEX('Danh mục'!$C$39:$C$78,MATCH(D1732,'Danh mục'!$A$39:$A$78,0))&amp;"",""))</f>
      </c>
      <c r="H1732" s="11"/>
      <c r="I1732" s="20"/>
      <c r="J1732" s="11"/>
      <c r="K1732" s="11"/>
      <c r="L1732" s="11"/>
    </row>
    <row r="1733" spans="1:12" x14ac:dyDescent="0.3">
      <c r="A1733" s="31"/>
      <c r="B1733" s="32">
        <f>IF(A1733="","",DATE(YEAR(A1733),MONTH(A1733),1))</f>
      </c>
      <c r="C1733" s="11"/>
      <c r="D1733" s="11"/>
      <c r="E1733" s="16">
        <f>IF(OR(D1733="",C1733&lt;&gt;"Chi"),"",IFERROR(INDEX('Danh mục'!$B$39:$B$78,MATCH(D1733,'Danh mục'!$A$39:$A$78,0))&amp;"","?"))</f>
      </c>
      <c r="F1733" s="16">
        <f>IF(D1733="","",IF(C1733="Thu",IFERROR(INDEX('Danh mục'!$B$26:$B$35,MATCH(D1733,'Danh mục'!$A$26:$A$35,0))&amp;"","?"),IFERROR(INDEX('Danh mục'!$D$39:$D$78,MATCH(D1733,'Danh mục'!$A$39:$A$78,0))&amp;"","?")))</f>
      </c>
      <c r="G1733" s="16">
        <f>IF(OR(D1733="",C1733&lt;&gt;"Chi"),"",IFERROR(INDEX('Danh mục'!$C$39:$C$78,MATCH(D1733,'Danh mục'!$A$39:$A$78,0))&amp;"",""))</f>
      </c>
      <c r="H1733" s="11"/>
      <c r="I1733" s="20"/>
      <c r="J1733" s="11"/>
      <c r="K1733" s="11"/>
      <c r="L1733" s="11"/>
    </row>
    <row r="1734" spans="1:12" x14ac:dyDescent="0.3">
      <c r="A1734" s="31"/>
      <c r="B1734" s="32">
        <f>IF(A1734="","",DATE(YEAR(A1734),MONTH(A1734),1))</f>
      </c>
      <c r="C1734" s="11"/>
      <c r="D1734" s="11"/>
      <c r="E1734" s="16">
        <f>IF(OR(D1734="",C1734&lt;&gt;"Chi"),"",IFERROR(INDEX('Danh mục'!$B$39:$B$78,MATCH(D1734,'Danh mục'!$A$39:$A$78,0))&amp;"","?"))</f>
      </c>
      <c r="F1734" s="16">
        <f>IF(D1734="","",IF(C1734="Thu",IFERROR(INDEX('Danh mục'!$B$26:$B$35,MATCH(D1734,'Danh mục'!$A$26:$A$35,0))&amp;"","?"),IFERROR(INDEX('Danh mục'!$D$39:$D$78,MATCH(D1734,'Danh mục'!$A$39:$A$78,0))&amp;"","?")))</f>
      </c>
      <c r="G1734" s="16">
        <f>IF(OR(D1734="",C1734&lt;&gt;"Chi"),"",IFERROR(INDEX('Danh mục'!$C$39:$C$78,MATCH(D1734,'Danh mục'!$A$39:$A$78,0))&amp;"",""))</f>
      </c>
      <c r="H1734" s="11"/>
      <c r="I1734" s="20"/>
      <c r="J1734" s="11"/>
      <c r="K1734" s="11"/>
      <c r="L1734" s="11"/>
    </row>
    <row r="1735" spans="1:12" x14ac:dyDescent="0.3">
      <c r="A1735" s="31"/>
      <c r="B1735" s="32">
        <f>IF(A1735="","",DATE(YEAR(A1735),MONTH(A1735),1))</f>
      </c>
      <c r="C1735" s="11"/>
      <c r="D1735" s="11"/>
      <c r="E1735" s="16">
        <f>IF(OR(D1735="",C1735&lt;&gt;"Chi"),"",IFERROR(INDEX('Danh mục'!$B$39:$B$78,MATCH(D1735,'Danh mục'!$A$39:$A$78,0))&amp;"","?"))</f>
      </c>
      <c r="F1735" s="16">
        <f>IF(D1735="","",IF(C1735="Thu",IFERROR(INDEX('Danh mục'!$B$26:$B$35,MATCH(D1735,'Danh mục'!$A$26:$A$35,0))&amp;"","?"),IFERROR(INDEX('Danh mục'!$D$39:$D$78,MATCH(D1735,'Danh mục'!$A$39:$A$78,0))&amp;"","?")))</f>
      </c>
      <c r="G1735" s="16">
        <f>IF(OR(D1735="",C1735&lt;&gt;"Chi"),"",IFERROR(INDEX('Danh mục'!$C$39:$C$78,MATCH(D1735,'Danh mục'!$A$39:$A$78,0))&amp;"",""))</f>
      </c>
      <c r="H1735" s="11"/>
      <c r="I1735" s="20"/>
      <c r="J1735" s="11"/>
      <c r="K1735" s="11"/>
      <c r="L1735" s="11"/>
    </row>
    <row r="1736" spans="1:12" x14ac:dyDescent="0.3">
      <c r="A1736" s="31"/>
      <c r="B1736" s="32">
        <f>IF(A1736="","",DATE(YEAR(A1736),MONTH(A1736),1))</f>
      </c>
      <c r="C1736" s="11"/>
      <c r="D1736" s="11"/>
      <c r="E1736" s="16">
        <f>IF(OR(D1736="",C1736&lt;&gt;"Chi"),"",IFERROR(INDEX('Danh mục'!$B$39:$B$78,MATCH(D1736,'Danh mục'!$A$39:$A$78,0))&amp;"","?"))</f>
      </c>
      <c r="F1736" s="16">
        <f>IF(D1736="","",IF(C1736="Thu",IFERROR(INDEX('Danh mục'!$B$26:$B$35,MATCH(D1736,'Danh mục'!$A$26:$A$35,0))&amp;"","?"),IFERROR(INDEX('Danh mục'!$D$39:$D$78,MATCH(D1736,'Danh mục'!$A$39:$A$78,0))&amp;"","?")))</f>
      </c>
      <c r="G1736" s="16">
        <f>IF(OR(D1736="",C1736&lt;&gt;"Chi"),"",IFERROR(INDEX('Danh mục'!$C$39:$C$78,MATCH(D1736,'Danh mục'!$A$39:$A$78,0))&amp;"",""))</f>
      </c>
      <c r="H1736" s="11"/>
      <c r="I1736" s="20"/>
      <c r="J1736" s="11"/>
      <c r="K1736" s="11"/>
      <c r="L1736" s="11"/>
    </row>
    <row r="1737" spans="1:12" x14ac:dyDescent="0.3">
      <c r="A1737" s="31"/>
      <c r="B1737" s="32">
        <f>IF(A1737="","",DATE(YEAR(A1737),MONTH(A1737),1))</f>
      </c>
      <c r="C1737" s="11"/>
      <c r="D1737" s="11"/>
      <c r="E1737" s="16">
        <f>IF(OR(D1737="",C1737&lt;&gt;"Chi"),"",IFERROR(INDEX('Danh mục'!$B$39:$B$78,MATCH(D1737,'Danh mục'!$A$39:$A$78,0))&amp;"","?"))</f>
      </c>
      <c r="F1737" s="16">
        <f>IF(D1737="","",IF(C1737="Thu",IFERROR(INDEX('Danh mục'!$B$26:$B$35,MATCH(D1737,'Danh mục'!$A$26:$A$35,0))&amp;"","?"),IFERROR(INDEX('Danh mục'!$D$39:$D$78,MATCH(D1737,'Danh mục'!$A$39:$A$78,0))&amp;"","?")))</f>
      </c>
      <c r="G1737" s="16">
        <f>IF(OR(D1737="",C1737&lt;&gt;"Chi"),"",IFERROR(INDEX('Danh mục'!$C$39:$C$78,MATCH(D1737,'Danh mục'!$A$39:$A$78,0))&amp;"",""))</f>
      </c>
      <c r="H1737" s="11"/>
      <c r="I1737" s="20"/>
      <c r="J1737" s="11"/>
      <c r="K1737" s="11"/>
      <c r="L1737" s="11"/>
    </row>
    <row r="1738" spans="1:12" x14ac:dyDescent="0.3">
      <c r="A1738" s="31"/>
      <c r="B1738" s="32">
        <f>IF(A1738="","",DATE(YEAR(A1738),MONTH(A1738),1))</f>
      </c>
      <c r="C1738" s="11"/>
      <c r="D1738" s="11"/>
      <c r="E1738" s="16">
        <f>IF(OR(D1738="",C1738&lt;&gt;"Chi"),"",IFERROR(INDEX('Danh mục'!$B$39:$B$78,MATCH(D1738,'Danh mục'!$A$39:$A$78,0))&amp;"","?"))</f>
      </c>
      <c r="F1738" s="16">
        <f>IF(D1738="","",IF(C1738="Thu",IFERROR(INDEX('Danh mục'!$B$26:$B$35,MATCH(D1738,'Danh mục'!$A$26:$A$35,0))&amp;"","?"),IFERROR(INDEX('Danh mục'!$D$39:$D$78,MATCH(D1738,'Danh mục'!$A$39:$A$78,0))&amp;"","?")))</f>
      </c>
      <c r="G1738" s="16">
        <f>IF(OR(D1738="",C1738&lt;&gt;"Chi"),"",IFERROR(INDEX('Danh mục'!$C$39:$C$78,MATCH(D1738,'Danh mục'!$A$39:$A$78,0))&amp;"",""))</f>
      </c>
      <c r="H1738" s="11"/>
      <c r="I1738" s="20"/>
      <c r="J1738" s="11"/>
      <c r="K1738" s="11"/>
      <c r="L1738" s="11"/>
    </row>
    <row r="1739" spans="1:12" x14ac:dyDescent="0.3">
      <c r="A1739" s="31"/>
      <c r="B1739" s="32">
        <f>IF(A1739="","",DATE(YEAR(A1739),MONTH(A1739),1))</f>
      </c>
      <c r="C1739" s="11"/>
      <c r="D1739" s="11"/>
      <c r="E1739" s="16">
        <f>IF(OR(D1739="",C1739&lt;&gt;"Chi"),"",IFERROR(INDEX('Danh mục'!$B$39:$B$78,MATCH(D1739,'Danh mục'!$A$39:$A$78,0))&amp;"","?"))</f>
      </c>
      <c r="F1739" s="16">
        <f>IF(D1739="","",IF(C1739="Thu",IFERROR(INDEX('Danh mục'!$B$26:$B$35,MATCH(D1739,'Danh mục'!$A$26:$A$35,0))&amp;"","?"),IFERROR(INDEX('Danh mục'!$D$39:$D$78,MATCH(D1739,'Danh mục'!$A$39:$A$78,0))&amp;"","?")))</f>
      </c>
      <c r="G1739" s="16">
        <f>IF(OR(D1739="",C1739&lt;&gt;"Chi"),"",IFERROR(INDEX('Danh mục'!$C$39:$C$78,MATCH(D1739,'Danh mục'!$A$39:$A$78,0))&amp;"",""))</f>
      </c>
      <c r="H1739" s="11"/>
      <c r="I1739" s="20"/>
      <c r="J1739" s="11"/>
      <c r="K1739" s="11"/>
      <c r="L1739" s="11"/>
    </row>
    <row r="1740" spans="1:12" x14ac:dyDescent="0.3">
      <c r="A1740" s="31"/>
      <c r="B1740" s="32">
        <f>IF(A1740="","",DATE(YEAR(A1740),MONTH(A1740),1))</f>
      </c>
      <c r="C1740" s="11"/>
      <c r="D1740" s="11"/>
      <c r="E1740" s="16">
        <f>IF(OR(D1740="",C1740&lt;&gt;"Chi"),"",IFERROR(INDEX('Danh mục'!$B$39:$B$78,MATCH(D1740,'Danh mục'!$A$39:$A$78,0))&amp;"","?"))</f>
      </c>
      <c r="F1740" s="16">
        <f>IF(D1740="","",IF(C1740="Thu",IFERROR(INDEX('Danh mục'!$B$26:$B$35,MATCH(D1740,'Danh mục'!$A$26:$A$35,0))&amp;"","?"),IFERROR(INDEX('Danh mục'!$D$39:$D$78,MATCH(D1740,'Danh mục'!$A$39:$A$78,0))&amp;"","?")))</f>
      </c>
      <c r="G1740" s="16">
        <f>IF(OR(D1740="",C1740&lt;&gt;"Chi"),"",IFERROR(INDEX('Danh mục'!$C$39:$C$78,MATCH(D1740,'Danh mục'!$A$39:$A$78,0))&amp;"",""))</f>
      </c>
      <c r="H1740" s="11"/>
      <c r="I1740" s="20"/>
      <c r="J1740" s="11"/>
      <c r="K1740" s="11"/>
      <c r="L1740" s="11"/>
    </row>
    <row r="1741" spans="1:12" x14ac:dyDescent="0.3">
      <c r="A1741" s="31"/>
      <c r="B1741" s="32">
        <f>IF(A1741="","",DATE(YEAR(A1741),MONTH(A1741),1))</f>
      </c>
      <c r="C1741" s="11"/>
      <c r="D1741" s="11"/>
      <c r="E1741" s="16">
        <f>IF(OR(D1741="",C1741&lt;&gt;"Chi"),"",IFERROR(INDEX('Danh mục'!$B$39:$B$78,MATCH(D1741,'Danh mục'!$A$39:$A$78,0))&amp;"","?"))</f>
      </c>
      <c r="F1741" s="16">
        <f>IF(D1741="","",IF(C1741="Thu",IFERROR(INDEX('Danh mục'!$B$26:$B$35,MATCH(D1741,'Danh mục'!$A$26:$A$35,0))&amp;"","?"),IFERROR(INDEX('Danh mục'!$D$39:$D$78,MATCH(D1741,'Danh mục'!$A$39:$A$78,0))&amp;"","?")))</f>
      </c>
      <c r="G1741" s="16">
        <f>IF(OR(D1741="",C1741&lt;&gt;"Chi"),"",IFERROR(INDEX('Danh mục'!$C$39:$C$78,MATCH(D1741,'Danh mục'!$A$39:$A$78,0))&amp;"",""))</f>
      </c>
      <c r="H1741" s="11"/>
      <c r="I1741" s="20"/>
      <c r="J1741" s="11"/>
      <c r="K1741" s="11"/>
      <c r="L1741" s="11"/>
    </row>
    <row r="1742" spans="1:12" x14ac:dyDescent="0.3">
      <c r="A1742" s="31"/>
      <c r="B1742" s="32">
        <f>IF(A1742="","",DATE(YEAR(A1742),MONTH(A1742),1))</f>
      </c>
      <c r="C1742" s="11"/>
      <c r="D1742" s="11"/>
      <c r="E1742" s="16">
        <f>IF(OR(D1742="",C1742&lt;&gt;"Chi"),"",IFERROR(INDEX('Danh mục'!$B$39:$B$78,MATCH(D1742,'Danh mục'!$A$39:$A$78,0))&amp;"","?"))</f>
      </c>
      <c r="F1742" s="16">
        <f>IF(D1742="","",IF(C1742="Thu",IFERROR(INDEX('Danh mục'!$B$26:$B$35,MATCH(D1742,'Danh mục'!$A$26:$A$35,0))&amp;"","?"),IFERROR(INDEX('Danh mục'!$D$39:$D$78,MATCH(D1742,'Danh mục'!$A$39:$A$78,0))&amp;"","?")))</f>
      </c>
      <c r="G1742" s="16">
        <f>IF(OR(D1742="",C1742&lt;&gt;"Chi"),"",IFERROR(INDEX('Danh mục'!$C$39:$C$78,MATCH(D1742,'Danh mục'!$A$39:$A$78,0))&amp;"",""))</f>
      </c>
      <c r="H1742" s="11"/>
      <c r="I1742" s="20"/>
      <c r="J1742" s="11"/>
      <c r="K1742" s="11"/>
      <c r="L1742" s="11"/>
    </row>
    <row r="1743" spans="1:12" x14ac:dyDescent="0.3">
      <c r="A1743" s="31"/>
      <c r="B1743" s="32">
        <f>IF(A1743="","",DATE(YEAR(A1743),MONTH(A1743),1))</f>
      </c>
      <c r="C1743" s="11"/>
      <c r="D1743" s="11"/>
      <c r="E1743" s="16">
        <f>IF(OR(D1743="",C1743&lt;&gt;"Chi"),"",IFERROR(INDEX('Danh mục'!$B$39:$B$78,MATCH(D1743,'Danh mục'!$A$39:$A$78,0))&amp;"","?"))</f>
      </c>
      <c r="F1743" s="16">
        <f>IF(D1743="","",IF(C1743="Thu",IFERROR(INDEX('Danh mục'!$B$26:$B$35,MATCH(D1743,'Danh mục'!$A$26:$A$35,0))&amp;"","?"),IFERROR(INDEX('Danh mục'!$D$39:$D$78,MATCH(D1743,'Danh mục'!$A$39:$A$78,0))&amp;"","?")))</f>
      </c>
      <c r="G1743" s="16">
        <f>IF(OR(D1743="",C1743&lt;&gt;"Chi"),"",IFERROR(INDEX('Danh mục'!$C$39:$C$78,MATCH(D1743,'Danh mục'!$A$39:$A$78,0))&amp;"",""))</f>
      </c>
      <c r="H1743" s="11"/>
      <c r="I1743" s="20"/>
      <c r="J1743" s="11"/>
      <c r="K1743" s="11"/>
      <c r="L1743" s="11"/>
    </row>
    <row r="1744" spans="1:12" x14ac:dyDescent="0.3">
      <c r="A1744" s="31"/>
      <c r="B1744" s="32">
        <f>IF(A1744="","",DATE(YEAR(A1744),MONTH(A1744),1))</f>
      </c>
      <c r="C1744" s="11"/>
      <c r="D1744" s="11"/>
      <c r="E1744" s="16">
        <f>IF(OR(D1744="",C1744&lt;&gt;"Chi"),"",IFERROR(INDEX('Danh mục'!$B$39:$B$78,MATCH(D1744,'Danh mục'!$A$39:$A$78,0))&amp;"","?"))</f>
      </c>
      <c r="F1744" s="16">
        <f>IF(D1744="","",IF(C1744="Thu",IFERROR(INDEX('Danh mục'!$B$26:$B$35,MATCH(D1744,'Danh mục'!$A$26:$A$35,0))&amp;"","?"),IFERROR(INDEX('Danh mục'!$D$39:$D$78,MATCH(D1744,'Danh mục'!$A$39:$A$78,0))&amp;"","?")))</f>
      </c>
      <c r="G1744" s="16">
        <f>IF(OR(D1744="",C1744&lt;&gt;"Chi"),"",IFERROR(INDEX('Danh mục'!$C$39:$C$78,MATCH(D1744,'Danh mục'!$A$39:$A$78,0))&amp;"",""))</f>
      </c>
      <c r="H1744" s="11"/>
      <c r="I1744" s="20"/>
      <c r="J1744" s="11"/>
      <c r="K1744" s="11"/>
      <c r="L1744" s="11"/>
    </row>
    <row r="1745" spans="1:12" x14ac:dyDescent="0.3">
      <c r="A1745" s="31"/>
      <c r="B1745" s="32">
        <f>IF(A1745="","",DATE(YEAR(A1745),MONTH(A1745),1))</f>
      </c>
      <c r="C1745" s="11"/>
      <c r="D1745" s="11"/>
      <c r="E1745" s="16">
        <f>IF(OR(D1745="",C1745&lt;&gt;"Chi"),"",IFERROR(INDEX('Danh mục'!$B$39:$B$78,MATCH(D1745,'Danh mục'!$A$39:$A$78,0))&amp;"","?"))</f>
      </c>
      <c r="F1745" s="16">
        <f>IF(D1745="","",IF(C1745="Thu",IFERROR(INDEX('Danh mục'!$B$26:$B$35,MATCH(D1745,'Danh mục'!$A$26:$A$35,0))&amp;"","?"),IFERROR(INDEX('Danh mục'!$D$39:$D$78,MATCH(D1745,'Danh mục'!$A$39:$A$78,0))&amp;"","?")))</f>
      </c>
      <c r="G1745" s="16">
        <f>IF(OR(D1745="",C1745&lt;&gt;"Chi"),"",IFERROR(INDEX('Danh mục'!$C$39:$C$78,MATCH(D1745,'Danh mục'!$A$39:$A$78,0))&amp;"",""))</f>
      </c>
      <c r="H1745" s="11"/>
      <c r="I1745" s="20"/>
      <c r="J1745" s="11"/>
      <c r="K1745" s="11"/>
      <c r="L1745" s="11"/>
    </row>
    <row r="1746" spans="1:12" x14ac:dyDescent="0.3">
      <c r="A1746" s="31"/>
      <c r="B1746" s="32">
        <f>IF(A1746="","",DATE(YEAR(A1746),MONTH(A1746),1))</f>
      </c>
      <c r="C1746" s="11"/>
      <c r="D1746" s="11"/>
      <c r="E1746" s="16">
        <f>IF(OR(D1746="",C1746&lt;&gt;"Chi"),"",IFERROR(INDEX('Danh mục'!$B$39:$B$78,MATCH(D1746,'Danh mục'!$A$39:$A$78,0))&amp;"","?"))</f>
      </c>
      <c r="F1746" s="16">
        <f>IF(D1746="","",IF(C1746="Thu",IFERROR(INDEX('Danh mục'!$B$26:$B$35,MATCH(D1746,'Danh mục'!$A$26:$A$35,0))&amp;"","?"),IFERROR(INDEX('Danh mục'!$D$39:$D$78,MATCH(D1746,'Danh mục'!$A$39:$A$78,0))&amp;"","?")))</f>
      </c>
      <c r="G1746" s="16">
        <f>IF(OR(D1746="",C1746&lt;&gt;"Chi"),"",IFERROR(INDEX('Danh mục'!$C$39:$C$78,MATCH(D1746,'Danh mục'!$A$39:$A$78,0))&amp;"",""))</f>
      </c>
      <c r="H1746" s="11"/>
      <c r="I1746" s="20"/>
      <c r="J1746" s="11"/>
      <c r="K1746" s="11"/>
      <c r="L1746" s="11"/>
    </row>
    <row r="1747" spans="1:12" x14ac:dyDescent="0.3">
      <c r="A1747" s="31"/>
      <c r="B1747" s="32">
        <f>IF(A1747="","",DATE(YEAR(A1747),MONTH(A1747),1))</f>
      </c>
      <c r="C1747" s="11"/>
      <c r="D1747" s="11"/>
      <c r="E1747" s="16">
        <f>IF(OR(D1747="",C1747&lt;&gt;"Chi"),"",IFERROR(INDEX('Danh mục'!$B$39:$B$78,MATCH(D1747,'Danh mục'!$A$39:$A$78,0))&amp;"","?"))</f>
      </c>
      <c r="F1747" s="16">
        <f>IF(D1747="","",IF(C1747="Thu",IFERROR(INDEX('Danh mục'!$B$26:$B$35,MATCH(D1747,'Danh mục'!$A$26:$A$35,0))&amp;"","?"),IFERROR(INDEX('Danh mục'!$D$39:$D$78,MATCH(D1747,'Danh mục'!$A$39:$A$78,0))&amp;"","?")))</f>
      </c>
      <c r="G1747" s="16">
        <f>IF(OR(D1747="",C1747&lt;&gt;"Chi"),"",IFERROR(INDEX('Danh mục'!$C$39:$C$78,MATCH(D1747,'Danh mục'!$A$39:$A$78,0))&amp;"",""))</f>
      </c>
      <c r="H1747" s="11"/>
      <c r="I1747" s="20"/>
      <c r="J1747" s="11"/>
      <c r="K1747" s="11"/>
      <c r="L1747" s="11"/>
    </row>
    <row r="1748" spans="1:12" x14ac:dyDescent="0.3">
      <c r="A1748" s="31"/>
      <c r="B1748" s="32">
        <f>IF(A1748="","",DATE(YEAR(A1748),MONTH(A1748),1))</f>
      </c>
      <c r="C1748" s="11"/>
      <c r="D1748" s="11"/>
      <c r="E1748" s="16">
        <f>IF(OR(D1748="",C1748&lt;&gt;"Chi"),"",IFERROR(INDEX('Danh mục'!$B$39:$B$78,MATCH(D1748,'Danh mục'!$A$39:$A$78,0))&amp;"","?"))</f>
      </c>
      <c r="F1748" s="16">
        <f>IF(D1748="","",IF(C1748="Thu",IFERROR(INDEX('Danh mục'!$B$26:$B$35,MATCH(D1748,'Danh mục'!$A$26:$A$35,0))&amp;"","?"),IFERROR(INDEX('Danh mục'!$D$39:$D$78,MATCH(D1748,'Danh mục'!$A$39:$A$78,0))&amp;"","?")))</f>
      </c>
      <c r="G1748" s="16">
        <f>IF(OR(D1748="",C1748&lt;&gt;"Chi"),"",IFERROR(INDEX('Danh mục'!$C$39:$C$78,MATCH(D1748,'Danh mục'!$A$39:$A$78,0))&amp;"",""))</f>
      </c>
      <c r="H1748" s="11"/>
      <c r="I1748" s="20"/>
      <c r="J1748" s="11"/>
      <c r="K1748" s="11"/>
      <c r="L1748" s="11"/>
    </row>
    <row r="1749" spans="1:12" x14ac:dyDescent="0.3">
      <c r="A1749" s="31"/>
      <c r="B1749" s="32">
        <f>IF(A1749="","",DATE(YEAR(A1749),MONTH(A1749),1))</f>
      </c>
      <c r="C1749" s="11"/>
      <c r="D1749" s="11"/>
      <c r="E1749" s="16">
        <f>IF(OR(D1749="",C1749&lt;&gt;"Chi"),"",IFERROR(INDEX('Danh mục'!$B$39:$B$78,MATCH(D1749,'Danh mục'!$A$39:$A$78,0))&amp;"","?"))</f>
      </c>
      <c r="F1749" s="16">
        <f>IF(D1749="","",IF(C1749="Thu",IFERROR(INDEX('Danh mục'!$B$26:$B$35,MATCH(D1749,'Danh mục'!$A$26:$A$35,0))&amp;"","?"),IFERROR(INDEX('Danh mục'!$D$39:$D$78,MATCH(D1749,'Danh mục'!$A$39:$A$78,0))&amp;"","?")))</f>
      </c>
      <c r="G1749" s="16">
        <f>IF(OR(D1749="",C1749&lt;&gt;"Chi"),"",IFERROR(INDEX('Danh mục'!$C$39:$C$78,MATCH(D1749,'Danh mục'!$A$39:$A$78,0))&amp;"",""))</f>
      </c>
      <c r="H1749" s="11"/>
      <c r="I1749" s="20"/>
      <c r="J1749" s="11"/>
      <c r="K1749" s="11"/>
      <c r="L1749" s="11"/>
    </row>
    <row r="1750" spans="1:12" x14ac:dyDescent="0.3">
      <c r="A1750" s="31"/>
      <c r="B1750" s="32">
        <f>IF(A1750="","",DATE(YEAR(A1750),MONTH(A1750),1))</f>
      </c>
      <c r="C1750" s="11"/>
      <c r="D1750" s="11"/>
      <c r="E1750" s="16">
        <f>IF(OR(D1750="",C1750&lt;&gt;"Chi"),"",IFERROR(INDEX('Danh mục'!$B$39:$B$78,MATCH(D1750,'Danh mục'!$A$39:$A$78,0))&amp;"","?"))</f>
      </c>
      <c r="F1750" s="16">
        <f>IF(D1750="","",IF(C1750="Thu",IFERROR(INDEX('Danh mục'!$B$26:$B$35,MATCH(D1750,'Danh mục'!$A$26:$A$35,0))&amp;"","?"),IFERROR(INDEX('Danh mục'!$D$39:$D$78,MATCH(D1750,'Danh mục'!$A$39:$A$78,0))&amp;"","?")))</f>
      </c>
      <c r="G1750" s="16">
        <f>IF(OR(D1750="",C1750&lt;&gt;"Chi"),"",IFERROR(INDEX('Danh mục'!$C$39:$C$78,MATCH(D1750,'Danh mục'!$A$39:$A$78,0))&amp;"",""))</f>
      </c>
      <c r="H1750" s="11"/>
      <c r="I1750" s="20"/>
      <c r="J1750" s="11"/>
      <c r="K1750" s="11"/>
      <c r="L1750" s="11"/>
    </row>
    <row r="1751" spans="1:12" x14ac:dyDescent="0.3">
      <c r="A1751" s="31"/>
      <c r="B1751" s="32">
        <f>IF(A1751="","",DATE(YEAR(A1751),MONTH(A1751),1))</f>
      </c>
      <c r="C1751" s="11"/>
      <c r="D1751" s="11"/>
      <c r="E1751" s="16">
        <f>IF(OR(D1751="",C1751&lt;&gt;"Chi"),"",IFERROR(INDEX('Danh mục'!$B$39:$B$78,MATCH(D1751,'Danh mục'!$A$39:$A$78,0))&amp;"","?"))</f>
      </c>
      <c r="F1751" s="16">
        <f>IF(D1751="","",IF(C1751="Thu",IFERROR(INDEX('Danh mục'!$B$26:$B$35,MATCH(D1751,'Danh mục'!$A$26:$A$35,0))&amp;"","?"),IFERROR(INDEX('Danh mục'!$D$39:$D$78,MATCH(D1751,'Danh mục'!$A$39:$A$78,0))&amp;"","?")))</f>
      </c>
      <c r="G1751" s="16">
        <f>IF(OR(D1751="",C1751&lt;&gt;"Chi"),"",IFERROR(INDEX('Danh mục'!$C$39:$C$78,MATCH(D1751,'Danh mục'!$A$39:$A$78,0))&amp;"",""))</f>
      </c>
      <c r="H1751" s="11"/>
      <c r="I1751" s="20"/>
      <c r="J1751" s="11"/>
      <c r="K1751" s="11"/>
      <c r="L1751" s="11"/>
    </row>
    <row r="1752" spans="1:12" x14ac:dyDescent="0.3">
      <c r="A1752" s="31"/>
      <c r="B1752" s="32">
        <f>IF(A1752="","",DATE(YEAR(A1752),MONTH(A1752),1))</f>
      </c>
      <c r="C1752" s="11"/>
      <c r="D1752" s="11"/>
      <c r="E1752" s="16">
        <f>IF(OR(D1752="",C1752&lt;&gt;"Chi"),"",IFERROR(INDEX('Danh mục'!$B$39:$B$78,MATCH(D1752,'Danh mục'!$A$39:$A$78,0))&amp;"","?"))</f>
      </c>
      <c r="F1752" s="16">
        <f>IF(D1752="","",IF(C1752="Thu",IFERROR(INDEX('Danh mục'!$B$26:$B$35,MATCH(D1752,'Danh mục'!$A$26:$A$35,0))&amp;"","?"),IFERROR(INDEX('Danh mục'!$D$39:$D$78,MATCH(D1752,'Danh mục'!$A$39:$A$78,0))&amp;"","?")))</f>
      </c>
      <c r="G1752" s="16">
        <f>IF(OR(D1752="",C1752&lt;&gt;"Chi"),"",IFERROR(INDEX('Danh mục'!$C$39:$C$78,MATCH(D1752,'Danh mục'!$A$39:$A$78,0))&amp;"",""))</f>
      </c>
      <c r="H1752" s="11"/>
      <c r="I1752" s="20"/>
      <c r="J1752" s="11"/>
      <c r="K1752" s="11"/>
      <c r="L1752" s="11"/>
    </row>
    <row r="1753" spans="1:12" x14ac:dyDescent="0.3">
      <c r="A1753" s="31"/>
      <c r="B1753" s="32">
        <f>IF(A1753="","",DATE(YEAR(A1753),MONTH(A1753),1))</f>
      </c>
      <c r="C1753" s="11"/>
      <c r="D1753" s="11"/>
      <c r="E1753" s="16">
        <f>IF(OR(D1753="",C1753&lt;&gt;"Chi"),"",IFERROR(INDEX('Danh mục'!$B$39:$B$78,MATCH(D1753,'Danh mục'!$A$39:$A$78,0))&amp;"","?"))</f>
      </c>
      <c r="F1753" s="16">
        <f>IF(D1753="","",IF(C1753="Thu",IFERROR(INDEX('Danh mục'!$B$26:$B$35,MATCH(D1753,'Danh mục'!$A$26:$A$35,0))&amp;"","?"),IFERROR(INDEX('Danh mục'!$D$39:$D$78,MATCH(D1753,'Danh mục'!$A$39:$A$78,0))&amp;"","?")))</f>
      </c>
      <c r="G1753" s="16">
        <f>IF(OR(D1753="",C1753&lt;&gt;"Chi"),"",IFERROR(INDEX('Danh mục'!$C$39:$C$78,MATCH(D1753,'Danh mục'!$A$39:$A$78,0))&amp;"",""))</f>
      </c>
      <c r="H1753" s="11"/>
      <c r="I1753" s="20"/>
      <c r="J1753" s="11"/>
      <c r="K1753" s="11"/>
      <c r="L1753" s="11"/>
    </row>
    <row r="1754" spans="1:12" x14ac:dyDescent="0.3">
      <c r="A1754" s="31"/>
      <c r="B1754" s="32">
        <f>IF(A1754="","",DATE(YEAR(A1754),MONTH(A1754),1))</f>
      </c>
      <c r="C1754" s="11"/>
      <c r="D1754" s="11"/>
      <c r="E1754" s="16">
        <f>IF(OR(D1754="",C1754&lt;&gt;"Chi"),"",IFERROR(INDEX('Danh mục'!$B$39:$B$78,MATCH(D1754,'Danh mục'!$A$39:$A$78,0))&amp;"","?"))</f>
      </c>
      <c r="F1754" s="16">
        <f>IF(D1754="","",IF(C1754="Thu",IFERROR(INDEX('Danh mục'!$B$26:$B$35,MATCH(D1754,'Danh mục'!$A$26:$A$35,0))&amp;"","?"),IFERROR(INDEX('Danh mục'!$D$39:$D$78,MATCH(D1754,'Danh mục'!$A$39:$A$78,0))&amp;"","?")))</f>
      </c>
      <c r="G1754" s="16">
        <f>IF(OR(D1754="",C1754&lt;&gt;"Chi"),"",IFERROR(INDEX('Danh mục'!$C$39:$C$78,MATCH(D1754,'Danh mục'!$A$39:$A$78,0))&amp;"",""))</f>
      </c>
      <c r="H1754" s="11"/>
      <c r="I1754" s="20"/>
      <c r="J1754" s="11"/>
      <c r="K1754" s="11"/>
      <c r="L1754" s="11"/>
    </row>
    <row r="1755" spans="1:12" x14ac:dyDescent="0.3">
      <c r="A1755" s="31"/>
      <c r="B1755" s="32">
        <f>IF(A1755="","",DATE(YEAR(A1755),MONTH(A1755),1))</f>
      </c>
      <c r="C1755" s="11"/>
      <c r="D1755" s="11"/>
      <c r="E1755" s="16">
        <f>IF(OR(D1755="",C1755&lt;&gt;"Chi"),"",IFERROR(INDEX('Danh mục'!$B$39:$B$78,MATCH(D1755,'Danh mục'!$A$39:$A$78,0))&amp;"","?"))</f>
      </c>
      <c r="F1755" s="16">
        <f>IF(D1755="","",IF(C1755="Thu",IFERROR(INDEX('Danh mục'!$B$26:$B$35,MATCH(D1755,'Danh mục'!$A$26:$A$35,0))&amp;"","?"),IFERROR(INDEX('Danh mục'!$D$39:$D$78,MATCH(D1755,'Danh mục'!$A$39:$A$78,0))&amp;"","?")))</f>
      </c>
      <c r="G1755" s="16">
        <f>IF(OR(D1755="",C1755&lt;&gt;"Chi"),"",IFERROR(INDEX('Danh mục'!$C$39:$C$78,MATCH(D1755,'Danh mục'!$A$39:$A$78,0))&amp;"",""))</f>
      </c>
      <c r="H1755" s="11"/>
      <c r="I1755" s="20"/>
      <c r="J1755" s="11"/>
      <c r="K1755" s="11"/>
      <c r="L1755" s="11"/>
    </row>
    <row r="1756" spans="1:12" x14ac:dyDescent="0.3">
      <c r="A1756" s="31"/>
      <c r="B1756" s="32">
        <f>IF(A1756="","",DATE(YEAR(A1756),MONTH(A1756),1))</f>
      </c>
      <c r="C1756" s="11"/>
      <c r="D1756" s="11"/>
      <c r="E1756" s="16">
        <f>IF(OR(D1756="",C1756&lt;&gt;"Chi"),"",IFERROR(INDEX('Danh mục'!$B$39:$B$78,MATCH(D1756,'Danh mục'!$A$39:$A$78,0))&amp;"","?"))</f>
      </c>
      <c r="F1756" s="16">
        <f>IF(D1756="","",IF(C1756="Thu",IFERROR(INDEX('Danh mục'!$B$26:$B$35,MATCH(D1756,'Danh mục'!$A$26:$A$35,0))&amp;"","?"),IFERROR(INDEX('Danh mục'!$D$39:$D$78,MATCH(D1756,'Danh mục'!$A$39:$A$78,0))&amp;"","?")))</f>
      </c>
      <c r="G1756" s="16">
        <f>IF(OR(D1756="",C1756&lt;&gt;"Chi"),"",IFERROR(INDEX('Danh mục'!$C$39:$C$78,MATCH(D1756,'Danh mục'!$A$39:$A$78,0))&amp;"",""))</f>
      </c>
      <c r="H1756" s="11"/>
      <c r="I1756" s="20"/>
      <c r="J1756" s="11"/>
      <c r="K1756" s="11"/>
      <c r="L1756" s="11"/>
    </row>
    <row r="1757" spans="1:12" x14ac:dyDescent="0.3">
      <c r="A1757" s="31"/>
      <c r="B1757" s="32">
        <f>IF(A1757="","",DATE(YEAR(A1757),MONTH(A1757),1))</f>
      </c>
      <c r="C1757" s="11"/>
      <c r="D1757" s="11"/>
      <c r="E1757" s="16">
        <f>IF(OR(D1757="",C1757&lt;&gt;"Chi"),"",IFERROR(INDEX('Danh mục'!$B$39:$B$78,MATCH(D1757,'Danh mục'!$A$39:$A$78,0))&amp;"","?"))</f>
      </c>
      <c r="F1757" s="16">
        <f>IF(D1757="","",IF(C1757="Thu",IFERROR(INDEX('Danh mục'!$B$26:$B$35,MATCH(D1757,'Danh mục'!$A$26:$A$35,0))&amp;"","?"),IFERROR(INDEX('Danh mục'!$D$39:$D$78,MATCH(D1757,'Danh mục'!$A$39:$A$78,0))&amp;"","?")))</f>
      </c>
      <c r="G1757" s="16">
        <f>IF(OR(D1757="",C1757&lt;&gt;"Chi"),"",IFERROR(INDEX('Danh mục'!$C$39:$C$78,MATCH(D1757,'Danh mục'!$A$39:$A$78,0))&amp;"",""))</f>
      </c>
      <c r="H1757" s="11"/>
      <c r="I1757" s="20"/>
      <c r="J1757" s="11"/>
      <c r="K1757" s="11"/>
      <c r="L1757" s="11"/>
    </row>
    <row r="1758" spans="1:12" x14ac:dyDescent="0.3">
      <c r="A1758" s="31"/>
      <c r="B1758" s="32">
        <f>IF(A1758="","",DATE(YEAR(A1758),MONTH(A1758),1))</f>
      </c>
      <c r="C1758" s="11"/>
      <c r="D1758" s="11"/>
      <c r="E1758" s="16">
        <f>IF(OR(D1758="",C1758&lt;&gt;"Chi"),"",IFERROR(INDEX('Danh mục'!$B$39:$B$78,MATCH(D1758,'Danh mục'!$A$39:$A$78,0))&amp;"","?"))</f>
      </c>
      <c r="F1758" s="16">
        <f>IF(D1758="","",IF(C1758="Thu",IFERROR(INDEX('Danh mục'!$B$26:$B$35,MATCH(D1758,'Danh mục'!$A$26:$A$35,0))&amp;"","?"),IFERROR(INDEX('Danh mục'!$D$39:$D$78,MATCH(D1758,'Danh mục'!$A$39:$A$78,0))&amp;"","?")))</f>
      </c>
      <c r="G1758" s="16">
        <f>IF(OR(D1758="",C1758&lt;&gt;"Chi"),"",IFERROR(INDEX('Danh mục'!$C$39:$C$78,MATCH(D1758,'Danh mục'!$A$39:$A$78,0))&amp;"",""))</f>
      </c>
      <c r="H1758" s="11"/>
      <c r="I1758" s="20"/>
      <c r="J1758" s="11"/>
      <c r="K1758" s="11"/>
      <c r="L1758" s="11"/>
    </row>
    <row r="1759" spans="1:12" x14ac:dyDescent="0.3">
      <c r="A1759" s="31"/>
      <c r="B1759" s="32">
        <f>IF(A1759="","",DATE(YEAR(A1759),MONTH(A1759),1))</f>
      </c>
      <c r="C1759" s="11"/>
      <c r="D1759" s="11"/>
      <c r="E1759" s="16">
        <f>IF(OR(D1759="",C1759&lt;&gt;"Chi"),"",IFERROR(INDEX('Danh mục'!$B$39:$B$78,MATCH(D1759,'Danh mục'!$A$39:$A$78,0))&amp;"","?"))</f>
      </c>
      <c r="F1759" s="16">
        <f>IF(D1759="","",IF(C1759="Thu",IFERROR(INDEX('Danh mục'!$B$26:$B$35,MATCH(D1759,'Danh mục'!$A$26:$A$35,0))&amp;"","?"),IFERROR(INDEX('Danh mục'!$D$39:$D$78,MATCH(D1759,'Danh mục'!$A$39:$A$78,0))&amp;"","?")))</f>
      </c>
      <c r="G1759" s="16">
        <f>IF(OR(D1759="",C1759&lt;&gt;"Chi"),"",IFERROR(INDEX('Danh mục'!$C$39:$C$78,MATCH(D1759,'Danh mục'!$A$39:$A$78,0))&amp;"",""))</f>
      </c>
      <c r="H1759" s="11"/>
      <c r="I1759" s="20"/>
      <c r="J1759" s="11"/>
      <c r="K1759" s="11"/>
      <c r="L1759" s="11"/>
    </row>
    <row r="1760" spans="1:12" x14ac:dyDescent="0.3">
      <c r="A1760" s="31"/>
      <c r="B1760" s="32">
        <f>IF(A1760="","",DATE(YEAR(A1760),MONTH(A1760),1))</f>
      </c>
      <c r="C1760" s="11"/>
      <c r="D1760" s="11"/>
      <c r="E1760" s="16">
        <f>IF(OR(D1760="",C1760&lt;&gt;"Chi"),"",IFERROR(INDEX('Danh mục'!$B$39:$B$78,MATCH(D1760,'Danh mục'!$A$39:$A$78,0))&amp;"","?"))</f>
      </c>
      <c r="F1760" s="16">
        <f>IF(D1760="","",IF(C1760="Thu",IFERROR(INDEX('Danh mục'!$B$26:$B$35,MATCH(D1760,'Danh mục'!$A$26:$A$35,0))&amp;"","?"),IFERROR(INDEX('Danh mục'!$D$39:$D$78,MATCH(D1760,'Danh mục'!$A$39:$A$78,0))&amp;"","?")))</f>
      </c>
      <c r="G1760" s="16">
        <f>IF(OR(D1760="",C1760&lt;&gt;"Chi"),"",IFERROR(INDEX('Danh mục'!$C$39:$C$78,MATCH(D1760,'Danh mục'!$A$39:$A$78,0))&amp;"",""))</f>
      </c>
      <c r="H1760" s="11"/>
      <c r="I1760" s="20"/>
      <c r="J1760" s="11"/>
      <c r="K1760" s="11"/>
      <c r="L1760" s="11"/>
    </row>
    <row r="1761" spans="1:12" x14ac:dyDescent="0.3">
      <c r="A1761" s="31"/>
      <c r="B1761" s="32">
        <f>IF(A1761="","",DATE(YEAR(A1761),MONTH(A1761),1))</f>
      </c>
      <c r="C1761" s="11"/>
      <c r="D1761" s="11"/>
      <c r="E1761" s="16">
        <f>IF(OR(D1761="",C1761&lt;&gt;"Chi"),"",IFERROR(INDEX('Danh mục'!$B$39:$B$78,MATCH(D1761,'Danh mục'!$A$39:$A$78,0))&amp;"","?"))</f>
      </c>
      <c r="F1761" s="16">
        <f>IF(D1761="","",IF(C1761="Thu",IFERROR(INDEX('Danh mục'!$B$26:$B$35,MATCH(D1761,'Danh mục'!$A$26:$A$35,0))&amp;"","?"),IFERROR(INDEX('Danh mục'!$D$39:$D$78,MATCH(D1761,'Danh mục'!$A$39:$A$78,0))&amp;"","?")))</f>
      </c>
      <c r="G1761" s="16">
        <f>IF(OR(D1761="",C1761&lt;&gt;"Chi"),"",IFERROR(INDEX('Danh mục'!$C$39:$C$78,MATCH(D1761,'Danh mục'!$A$39:$A$78,0))&amp;"",""))</f>
      </c>
      <c r="H1761" s="11"/>
      <c r="I1761" s="20"/>
      <c r="J1761" s="11"/>
      <c r="K1761" s="11"/>
      <c r="L1761" s="11"/>
    </row>
    <row r="1762" spans="1:12" x14ac:dyDescent="0.3">
      <c r="A1762" s="31"/>
      <c r="B1762" s="32">
        <f>IF(A1762="","",DATE(YEAR(A1762),MONTH(A1762),1))</f>
      </c>
      <c r="C1762" s="11"/>
      <c r="D1762" s="11"/>
      <c r="E1762" s="16">
        <f>IF(OR(D1762="",C1762&lt;&gt;"Chi"),"",IFERROR(INDEX('Danh mục'!$B$39:$B$78,MATCH(D1762,'Danh mục'!$A$39:$A$78,0))&amp;"","?"))</f>
      </c>
      <c r="F1762" s="16">
        <f>IF(D1762="","",IF(C1762="Thu",IFERROR(INDEX('Danh mục'!$B$26:$B$35,MATCH(D1762,'Danh mục'!$A$26:$A$35,0))&amp;"","?"),IFERROR(INDEX('Danh mục'!$D$39:$D$78,MATCH(D1762,'Danh mục'!$A$39:$A$78,0))&amp;"","?")))</f>
      </c>
      <c r="G1762" s="16">
        <f>IF(OR(D1762="",C1762&lt;&gt;"Chi"),"",IFERROR(INDEX('Danh mục'!$C$39:$C$78,MATCH(D1762,'Danh mục'!$A$39:$A$78,0))&amp;"",""))</f>
      </c>
      <c r="H1762" s="11"/>
      <c r="I1762" s="20"/>
      <c r="J1762" s="11"/>
      <c r="K1762" s="11"/>
      <c r="L1762" s="11"/>
    </row>
    <row r="1763" spans="1:12" x14ac:dyDescent="0.3">
      <c r="A1763" s="31"/>
      <c r="B1763" s="32">
        <f>IF(A1763="","",DATE(YEAR(A1763),MONTH(A1763),1))</f>
      </c>
      <c r="C1763" s="11"/>
      <c r="D1763" s="11"/>
      <c r="E1763" s="16">
        <f>IF(OR(D1763="",C1763&lt;&gt;"Chi"),"",IFERROR(INDEX('Danh mục'!$B$39:$B$78,MATCH(D1763,'Danh mục'!$A$39:$A$78,0))&amp;"","?"))</f>
      </c>
      <c r="F1763" s="16">
        <f>IF(D1763="","",IF(C1763="Thu",IFERROR(INDEX('Danh mục'!$B$26:$B$35,MATCH(D1763,'Danh mục'!$A$26:$A$35,0))&amp;"","?"),IFERROR(INDEX('Danh mục'!$D$39:$D$78,MATCH(D1763,'Danh mục'!$A$39:$A$78,0))&amp;"","?")))</f>
      </c>
      <c r="G1763" s="16">
        <f>IF(OR(D1763="",C1763&lt;&gt;"Chi"),"",IFERROR(INDEX('Danh mục'!$C$39:$C$78,MATCH(D1763,'Danh mục'!$A$39:$A$78,0))&amp;"",""))</f>
      </c>
      <c r="H1763" s="11"/>
      <c r="I1763" s="20"/>
      <c r="J1763" s="11"/>
      <c r="K1763" s="11"/>
      <c r="L1763" s="11"/>
    </row>
    <row r="1764" spans="1:12" x14ac:dyDescent="0.3">
      <c r="A1764" s="31"/>
      <c r="B1764" s="32">
        <f>IF(A1764="","",DATE(YEAR(A1764),MONTH(A1764),1))</f>
      </c>
      <c r="C1764" s="11"/>
      <c r="D1764" s="11"/>
      <c r="E1764" s="16">
        <f>IF(OR(D1764="",C1764&lt;&gt;"Chi"),"",IFERROR(INDEX('Danh mục'!$B$39:$B$78,MATCH(D1764,'Danh mục'!$A$39:$A$78,0))&amp;"","?"))</f>
      </c>
      <c r="F1764" s="16">
        <f>IF(D1764="","",IF(C1764="Thu",IFERROR(INDEX('Danh mục'!$B$26:$B$35,MATCH(D1764,'Danh mục'!$A$26:$A$35,0))&amp;"","?"),IFERROR(INDEX('Danh mục'!$D$39:$D$78,MATCH(D1764,'Danh mục'!$A$39:$A$78,0))&amp;"","?")))</f>
      </c>
      <c r="G1764" s="16">
        <f>IF(OR(D1764="",C1764&lt;&gt;"Chi"),"",IFERROR(INDEX('Danh mục'!$C$39:$C$78,MATCH(D1764,'Danh mục'!$A$39:$A$78,0))&amp;"",""))</f>
      </c>
      <c r="H1764" s="11"/>
      <c r="I1764" s="20"/>
      <c r="J1764" s="11"/>
      <c r="K1764" s="11"/>
      <c r="L1764" s="11"/>
    </row>
    <row r="1765" spans="1:12" x14ac:dyDescent="0.3">
      <c r="A1765" s="31"/>
      <c r="B1765" s="32">
        <f>IF(A1765="","",DATE(YEAR(A1765),MONTH(A1765),1))</f>
      </c>
      <c r="C1765" s="11"/>
      <c r="D1765" s="11"/>
      <c r="E1765" s="16">
        <f>IF(OR(D1765="",C1765&lt;&gt;"Chi"),"",IFERROR(INDEX('Danh mục'!$B$39:$B$78,MATCH(D1765,'Danh mục'!$A$39:$A$78,0))&amp;"","?"))</f>
      </c>
      <c r="F1765" s="16">
        <f>IF(D1765="","",IF(C1765="Thu",IFERROR(INDEX('Danh mục'!$B$26:$B$35,MATCH(D1765,'Danh mục'!$A$26:$A$35,0))&amp;"","?"),IFERROR(INDEX('Danh mục'!$D$39:$D$78,MATCH(D1765,'Danh mục'!$A$39:$A$78,0))&amp;"","?")))</f>
      </c>
      <c r="G1765" s="16">
        <f>IF(OR(D1765="",C1765&lt;&gt;"Chi"),"",IFERROR(INDEX('Danh mục'!$C$39:$C$78,MATCH(D1765,'Danh mục'!$A$39:$A$78,0))&amp;"",""))</f>
      </c>
      <c r="H1765" s="11"/>
      <c r="I1765" s="20"/>
      <c r="J1765" s="11"/>
      <c r="K1765" s="11"/>
      <c r="L1765" s="11"/>
    </row>
    <row r="1766" spans="1:12" x14ac:dyDescent="0.3">
      <c r="A1766" s="31"/>
      <c r="B1766" s="32">
        <f>IF(A1766="","",DATE(YEAR(A1766),MONTH(A1766),1))</f>
      </c>
      <c r="C1766" s="11"/>
      <c r="D1766" s="11"/>
      <c r="E1766" s="16">
        <f>IF(OR(D1766="",C1766&lt;&gt;"Chi"),"",IFERROR(INDEX('Danh mục'!$B$39:$B$78,MATCH(D1766,'Danh mục'!$A$39:$A$78,0))&amp;"","?"))</f>
      </c>
      <c r="F1766" s="16">
        <f>IF(D1766="","",IF(C1766="Thu",IFERROR(INDEX('Danh mục'!$B$26:$B$35,MATCH(D1766,'Danh mục'!$A$26:$A$35,0))&amp;"","?"),IFERROR(INDEX('Danh mục'!$D$39:$D$78,MATCH(D1766,'Danh mục'!$A$39:$A$78,0))&amp;"","?")))</f>
      </c>
      <c r="G1766" s="16">
        <f>IF(OR(D1766="",C1766&lt;&gt;"Chi"),"",IFERROR(INDEX('Danh mục'!$C$39:$C$78,MATCH(D1766,'Danh mục'!$A$39:$A$78,0))&amp;"",""))</f>
      </c>
      <c r="H1766" s="11"/>
      <c r="I1766" s="20"/>
      <c r="J1766" s="11"/>
      <c r="K1766" s="11"/>
      <c r="L1766" s="11"/>
    </row>
    <row r="1767" spans="1:12" x14ac:dyDescent="0.3">
      <c r="A1767" s="31"/>
      <c r="B1767" s="32">
        <f>IF(A1767="","",DATE(YEAR(A1767),MONTH(A1767),1))</f>
      </c>
      <c r="C1767" s="11"/>
      <c r="D1767" s="11"/>
      <c r="E1767" s="16">
        <f>IF(OR(D1767="",C1767&lt;&gt;"Chi"),"",IFERROR(INDEX('Danh mục'!$B$39:$B$78,MATCH(D1767,'Danh mục'!$A$39:$A$78,0))&amp;"","?"))</f>
      </c>
      <c r="F1767" s="16">
        <f>IF(D1767="","",IF(C1767="Thu",IFERROR(INDEX('Danh mục'!$B$26:$B$35,MATCH(D1767,'Danh mục'!$A$26:$A$35,0))&amp;"","?"),IFERROR(INDEX('Danh mục'!$D$39:$D$78,MATCH(D1767,'Danh mục'!$A$39:$A$78,0))&amp;"","?")))</f>
      </c>
      <c r="G1767" s="16">
        <f>IF(OR(D1767="",C1767&lt;&gt;"Chi"),"",IFERROR(INDEX('Danh mục'!$C$39:$C$78,MATCH(D1767,'Danh mục'!$A$39:$A$78,0))&amp;"",""))</f>
      </c>
      <c r="H1767" s="11"/>
      <c r="I1767" s="20"/>
      <c r="J1767" s="11"/>
      <c r="K1767" s="11"/>
      <c r="L1767" s="11"/>
    </row>
    <row r="1768" spans="1:12" x14ac:dyDescent="0.3">
      <c r="A1768" s="31"/>
      <c r="B1768" s="32">
        <f>IF(A1768="","",DATE(YEAR(A1768),MONTH(A1768),1))</f>
      </c>
      <c r="C1768" s="11"/>
      <c r="D1768" s="11"/>
      <c r="E1768" s="16">
        <f>IF(OR(D1768="",C1768&lt;&gt;"Chi"),"",IFERROR(INDEX('Danh mục'!$B$39:$B$78,MATCH(D1768,'Danh mục'!$A$39:$A$78,0))&amp;"","?"))</f>
      </c>
      <c r="F1768" s="16">
        <f>IF(D1768="","",IF(C1768="Thu",IFERROR(INDEX('Danh mục'!$B$26:$B$35,MATCH(D1768,'Danh mục'!$A$26:$A$35,0))&amp;"","?"),IFERROR(INDEX('Danh mục'!$D$39:$D$78,MATCH(D1768,'Danh mục'!$A$39:$A$78,0))&amp;"","?")))</f>
      </c>
      <c r="G1768" s="16">
        <f>IF(OR(D1768="",C1768&lt;&gt;"Chi"),"",IFERROR(INDEX('Danh mục'!$C$39:$C$78,MATCH(D1768,'Danh mục'!$A$39:$A$78,0))&amp;"",""))</f>
      </c>
      <c r="H1768" s="11"/>
      <c r="I1768" s="20"/>
      <c r="J1768" s="11"/>
      <c r="K1768" s="11"/>
      <c r="L1768" s="11"/>
    </row>
    <row r="1769" spans="1:12" x14ac:dyDescent="0.3">
      <c r="A1769" s="31"/>
      <c r="B1769" s="32">
        <f>IF(A1769="","",DATE(YEAR(A1769),MONTH(A1769),1))</f>
      </c>
      <c r="C1769" s="11"/>
      <c r="D1769" s="11"/>
      <c r="E1769" s="16">
        <f>IF(OR(D1769="",C1769&lt;&gt;"Chi"),"",IFERROR(INDEX('Danh mục'!$B$39:$B$78,MATCH(D1769,'Danh mục'!$A$39:$A$78,0))&amp;"","?"))</f>
      </c>
      <c r="F1769" s="16">
        <f>IF(D1769="","",IF(C1769="Thu",IFERROR(INDEX('Danh mục'!$B$26:$B$35,MATCH(D1769,'Danh mục'!$A$26:$A$35,0))&amp;"","?"),IFERROR(INDEX('Danh mục'!$D$39:$D$78,MATCH(D1769,'Danh mục'!$A$39:$A$78,0))&amp;"","?")))</f>
      </c>
      <c r="G1769" s="16">
        <f>IF(OR(D1769="",C1769&lt;&gt;"Chi"),"",IFERROR(INDEX('Danh mục'!$C$39:$C$78,MATCH(D1769,'Danh mục'!$A$39:$A$78,0))&amp;"",""))</f>
      </c>
      <c r="H1769" s="11"/>
      <c r="I1769" s="20"/>
      <c r="J1769" s="11"/>
      <c r="K1769" s="11"/>
      <c r="L1769" s="11"/>
    </row>
    <row r="1770" spans="1:12" x14ac:dyDescent="0.3">
      <c r="A1770" s="31"/>
      <c r="B1770" s="32">
        <f>IF(A1770="","",DATE(YEAR(A1770),MONTH(A1770),1))</f>
      </c>
      <c r="C1770" s="11"/>
      <c r="D1770" s="11"/>
      <c r="E1770" s="16">
        <f>IF(OR(D1770="",C1770&lt;&gt;"Chi"),"",IFERROR(INDEX('Danh mục'!$B$39:$B$78,MATCH(D1770,'Danh mục'!$A$39:$A$78,0))&amp;"","?"))</f>
      </c>
      <c r="F1770" s="16">
        <f>IF(D1770="","",IF(C1770="Thu",IFERROR(INDEX('Danh mục'!$B$26:$B$35,MATCH(D1770,'Danh mục'!$A$26:$A$35,0))&amp;"","?"),IFERROR(INDEX('Danh mục'!$D$39:$D$78,MATCH(D1770,'Danh mục'!$A$39:$A$78,0))&amp;"","?")))</f>
      </c>
      <c r="G1770" s="16">
        <f>IF(OR(D1770="",C1770&lt;&gt;"Chi"),"",IFERROR(INDEX('Danh mục'!$C$39:$C$78,MATCH(D1770,'Danh mục'!$A$39:$A$78,0))&amp;"",""))</f>
      </c>
      <c r="H1770" s="11"/>
      <c r="I1770" s="20"/>
      <c r="J1770" s="11"/>
      <c r="K1770" s="11"/>
      <c r="L1770" s="11"/>
    </row>
    <row r="1771" spans="1:12" x14ac:dyDescent="0.3">
      <c r="A1771" s="31"/>
      <c r="B1771" s="32">
        <f>IF(A1771="","",DATE(YEAR(A1771),MONTH(A1771),1))</f>
      </c>
      <c r="C1771" s="11"/>
      <c r="D1771" s="11"/>
      <c r="E1771" s="16">
        <f>IF(OR(D1771="",C1771&lt;&gt;"Chi"),"",IFERROR(INDEX('Danh mục'!$B$39:$B$78,MATCH(D1771,'Danh mục'!$A$39:$A$78,0))&amp;"","?"))</f>
      </c>
      <c r="F1771" s="16">
        <f>IF(D1771="","",IF(C1771="Thu",IFERROR(INDEX('Danh mục'!$B$26:$B$35,MATCH(D1771,'Danh mục'!$A$26:$A$35,0))&amp;"","?"),IFERROR(INDEX('Danh mục'!$D$39:$D$78,MATCH(D1771,'Danh mục'!$A$39:$A$78,0))&amp;"","?")))</f>
      </c>
      <c r="G1771" s="16">
        <f>IF(OR(D1771="",C1771&lt;&gt;"Chi"),"",IFERROR(INDEX('Danh mục'!$C$39:$C$78,MATCH(D1771,'Danh mục'!$A$39:$A$78,0))&amp;"",""))</f>
      </c>
      <c r="H1771" s="11"/>
      <c r="I1771" s="20"/>
      <c r="J1771" s="11"/>
      <c r="K1771" s="11"/>
      <c r="L1771" s="11"/>
    </row>
    <row r="1772" spans="1:12" x14ac:dyDescent="0.3">
      <c r="A1772" s="31"/>
      <c r="B1772" s="32">
        <f>IF(A1772="","",DATE(YEAR(A1772),MONTH(A1772),1))</f>
      </c>
      <c r="C1772" s="11"/>
      <c r="D1772" s="11"/>
      <c r="E1772" s="16">
        <f>IF(OR(D1772="",C1772&lt;&gt;"Chi"),"",IFERROR(INDEX('Danh mục'!$B$39:$B$78,MATCH(D1772,'Danh mục'!$A$39:$A$78,0))&amp;"","?"))</f>
      </c>
      <c r="F1772" s="16">
        <f>IF(D1772="","",IF(C1772="Thu",IFERROR(INDEX('Danh mục'!$B$26:$B$35,MATCH(D1772,'Danh mục'!$A$26:$A$35,0))&amp;"","?"),IFERROR(INDEX('Danh mục'!$D$39:$D$78,MATCH(D1772,'Danh mục'!$A$39:$A$78,0))&amp;"","?")))</f>
      </c>
      <c r="G1772" s="16">
        <f>IF(OR(D1772="",C1772&lt;&gt;"Chi"),"",IFERROR(INDEX('Danh mục'!$C$39:$C$78,MATCH(D1772,'Danh mục'!$A$39:$A$78,0))&amp;"",""))</f>
      </c>
      <c r="H1772" s="11"/>
      <c r="I1772" s="20"/>
      <c r="J1772" s="11"/>
      <c r="K1772" s="11"/>
      <c r="L1772" s="11"/>
    </row>
    <row r="1773" spans="1:12" x14ac:dyDescent="0.3">
      <c r="A1773" s="31"/>
      <c r="B1773" s="32">
        <f>IF(A1773="","",DATE(YEAR(A1773),MONTH(A1773),1))</f>
      </c>
      <c r="C1773" s="11"/>
      <c r="D1773" s="11"/>
      <c r="E1773" s="16">
        <f>IF(OR(D1773="",C1773&lt;&gt;"Chi"),"",IFERROR(INDEX('Danh mục'!$B$39:$B$78,MATCH(D1773,'Danh mục'!$A$39:$A$78,0))&amp;"","?"))</f>
      </c>
      <c r="F1773" s="16">
        <f>IF(D1773="","",IF(C1773="Thu",IFERROR(INDEX('Danh mục'!$B$26:$B$35,MATCH(D1773,'Danh mục'!$A$26:$A$35,0))&amp;"","?"),IFERROR(INDEX('Danh mục'!$D$39:$D$78,MATCH(D1773,'Danh mục'!$A$39:$A$78,0))&amp;"","?")))</f>
      </c>
      <c r="G1773" s="16">
        <f>IF(OR(D1773="",C1773&lt;&gt;"Chi"),"",IFERROR(INDEX('Danh mục'!$C$39:$C$78,MATCH(D1773,'Danh mục'!$A$39:$A$78,0))&amp;"",""))</f>
      </c>
      <c r="H1773" s="11"/>
      <c r="I1773" s="20"/>
      <c r="J1773" s="11"/>
      <c r="K1773" s="11"/>
      <c r="L1773" s="11"/>
    </row>
    <row r="1774" spans="1:12" x14ac:dyDescent="0.3">
      <c r="A1774" s="31"/>
      <c r="B1774" s="32">
        <f>IF(A1774="","",DATE(YEAR(A1774),MONTH(A1774),1))</f>
      </c>
      <c r="C1774" s="11"/>
      <c r="D1774" s="11"/>
      <c r="E1774" s="16">
        <f>IF(OR(D1774="",C1774&lt;&gt;"Chi"),"",IFERROR(INDEX('Danh mục'!$B$39:$B$78,MATCH(D1774,'Danh mục'!$A$39:$A$78,0))&amp;"","?"))</f>
      </c>
      <c r="F1774" s="16">
        <f>IF(D1774="","",IF(C1774="Thu",IFERROR(INDEX('Danh mục'!$B$26:$B$35,MATCH(D1774,'Danh mục'!$A$26:$A$35,0))&amp;"","?"),IFERROR(INDEX('Danh mục'!$D$39:$D$78,MATCH(D1774,'Danh mục'!$A$39:$A$78,0))&amp;"","?")))</f>
      </c>
      <c r="G1774" s="16">
        <f>IF(OR(D1774="",C1774&lt;&gt;"Chi"),"",IFERROR(INDEX('Danh mục'!$C$39:$C$78,MATCH(D1774,'Danh mục'!$A$39:$A$78,0))&amp;"",""))</f>
      </c>
      <c r="H1774" s="11"/>
      <c r="I1774" s="20"/>
      <c r="J1774" s="11"/>
      <c r="K1774" s="11"/>
      <c r="L1774" s="11"/>
    </row>
    <row r="1775" spans="1:12" x14ac:dyDescent="0.3">
      <c r="A1775" s="31"/>
      <c r="B1775" s="32">
        <f>IF(A1775="","",DATE(YEAR(A1775),MONTH(A1775),1))</f>
      </c>
      <c r="C1775" s="11"/>
      <c r="D1775" s="11"/>
      <c r="E1775" s="16">
        <f>IF(OR(D1775="",C1775&lt;&gt;"Chi"),"",IFERROR(INDEX('Danh mục'!$B$39:$B$78,MATCH(D1775,'Danh mục'!$A$39:$A$78,0))&amp;"","?"))</f>
      </c>
      <c r="F1775" s="16">
        <f>IF(D1775="","",IF(C1775="Thu",IFERROR(INDEX('Danh mục'!$B$26:$B$35,MATCH(D1775,'Danh mục'!$A$26:$A$35,0))&amp;"","?"),IFERROR(INDEX('Danh mục'!$D$39:$D$78,MATCH(D1775,'Danh mục'!$A$39:$A$78,0))&amp;"","?")))</f>
      </c>
      <c r="G1775" s="16">
        <f>IF(OR(D1775="",C1775&lt;&gt;"Chi"),"",IFERROR(INDEX('Danh mục'!$C$39:$C$78,MATCH(D1775,'Danh mục'!$A$39:$A$78,0))&amp;"",""))</f>
      </c>
      <c r="H1775" s="11"/>
      <c r="I1775" s="20"/>
      <c r="J1775" s="11"/>
      <c r="K1775" s="11"/>
      <c r="L1775" s="11"/>
    </row>
    <row r="1776" spans="1:12" x14ac:dyDescent="0.3">
      <c r="A1776" s="31"/>
      <c r="B1776" s="32">
        <f>IF(A1776="","",DATE(YEAR(A1776),MONTH(A1776),1))</f>
      </c>
      <c r="C1776" s="11"/>
      <c r="D1776" s="11"/>
      <c r="E1776" s="16">
        <f>IF(OR(D1776="",C1776&lt;&gt;"Chi"),"",IFERROR(INDEX('Danh mục'!$B$39:$B$78,MATCH(D1776,'Danh mục'!$A$39:$A$78,0))&amp;"","?"))</f>
      </c>
      <c r="F1776" s="16">
        <f>IF(D1776="","",IF(C1776="Thu",IFERROR(INDEX('Danh mục'!$B$26:$B$35,MATCH(D1776,'Danh mục'!$A$26:$A$35,0))&amp;"","?"),IFERROR(INDEX('Danh mục'!$D$39:$D$78,MATCH(D1776,'Danh mục'!$A$39:$A$78,0))&amp;"","?")))</f>
      </c>
      <c r="G1776" s="16">
        <f>IF(OR(D1776="",C1776&lt;&gt;"Chi"),"",IFERROR(INDEX('Danh mục'!$C$39:$C$78,MATCH(D1776,'Danh mục'!$A$39:$A$78,0))&amp;"",""))</f>
      </c>
      <c r="H1776" s="11"/>
      <c r="I1776" s="20"/>
      <c r="J1776" s="11"/>
      <c r="K1776" s="11"/>
      <c r="L1776" s="11"/>
    </row>
    <row r="1777" spans="1:12" x14ac:dyDescent="0.3">
      <c r="A1777" s="31"/>
      <c r="B1777" s="32">
        <f>IF(A1777="","",DATE(YEAR(A1777),MONTH(A1777),1))</f>
      </c>
      <c r="C1777" s="11"/>
      <c r="D1777" s="11"/>
      <c r="E1777" s="16">
        <f>IF(OR(D1777="",C1777&lt;&gt;"Chi"),"",IFERROR(INDEX('Danh mục'!$B$39:$B$78,MATCH(D1777,'Danh mục'!$A$39:$A$78,0))&amp;"","?"))</f>
      </c>
      <c r="F1777" s="16">
        <f>IF(D1777="","",IF(C1777="Thu",IFERROR(INDEX('Danh mục'!$B$26:$B$35,MATCH(D1777,'Danh mục'!$A$26:$A$35,0))&amp;"","?"),IFERROR(INDEX('Danh mục'!$D$39:$D$78,MATCH(D1777,'Danh mục'!$A$39:$A$78,0))&amp;"","?")))</f>
      </c>
      <c r="G1777" s="16">
        <f>IF(OR(D1777="",C1777&lt;&gt;"Chi"),"",IFERROR(INDEX('Danh mục'!$C$39:$C$78,MATCH(D1777,'Danh mục'!$A$39:$A$78,0))&amp;"",""))</f>
      </c>
      <c r="H1777" s="11"/>
      <c r="I1777" s="20"/>
      <c r="J1777" s="11"/>
      <c r="K1777" s="11"/>
      <c r="L1777" s="11"/>
    </row>
    <row r="1778" spans="1:12" x14ac:dyDescent="0.3">
      <c r="A1778" s="31"/>
      <c r="B1778" s="32">
        <f>IF(A1778="","",DATE(YEAR(A1778),MONTH(A1778),1))</f>
      </c>
      <c r="C1778" s="11"/>
      <c r="D1778" s="11"/>
      <c r="E1778" s="16">
        <f>IF(OR(D1778="",C1778&lt;&gt;"Chi"),"",IFERROR(INDEX('Danh mục'!$B$39:$B$78,MATCH(D1778,'Danh mục'!$A$39:$A$78,0))&amp;"","?"))</f>
      </c>
      <c r="F1778" s="16">
        <f>IF(D1778="","",IF(C1778="Thu",IFERROR(INDEX('Danh mục'!$B$26:$B$35,MATCH(D1778,'Danh mục'!$A$26:$A$35,0))&amp;"","?"),IFERROR(INDEX('Danh mục'!$D$39:$D$78,MATCH(D1778,'Danh mục'!$A$39:$A$78,0))&amp;"","?")))</f>
      </c>
      <c r="G1778" s="16">
        <f>IF(OR(D1778="",C1778&lt;&gt;"Chi"),"",IFERROR(INDEX('Danh mục'!$C$39:$C$78,MATCH(D1778,'Danh mục'!$A$39:$A$78,0))&amp;"",""))</f>
      </c>
      <c r="H1778" s="11"/>
      <c r="I1778" s="20"/>
      <c r="J1778" s="11"/>
      <c r="K1778" s="11"/>
      <c r="L1778" s="11"/>
    </row>
    <row r="1779" spans="1:12" x14ac:dyDescent="0.3">
      <c r="A1779" s="31"/>
      <c r="B1779" s="32">
        <f>IF(A1779="","",DATE(YEAR(A1779),MONTH(A1779),1))</f>
      </c>
      <c r="C1779" s="11"/>
      <c r="D1779" s="11"/>
      <c r="E1779" s="16">
        <f>IF(OR(D1779="",C1779&lt;&gt;"Chi"),"",IFERROR(INDEX('Danh mục'!$B$39:$B$78,MATCH(D1779,'Danh mục'!$A$39:$A$78,0))&amp;"","?"))</f>
      </c>
      <c r="F1779" s="16">
        <f>IF(D1779="","",IF(C1779="Thu",IFERROR(INDEX('Danh mục'!$B$26:$B$35,MATCH(D1779,'Danh mục'!$A$26:$A$35,0))&amp;"","?"),IFERROR(INDEX('Danh mục'!$D$39:$D$78,MATCH(D1779,'Danh mục'!$A$39:$A$78,0))&amp;"","?")))</f>
      </c>
      <c r="G1779" s="16">
        <f>IF(OR(D1779="",C1779&lt;&gt;"Chi"),"",IFERROR(INDEX('Danh mục'!$C$39:$C$78,MATCH(D1779,'Danh mục'!$A$39:$A$78,0))&amp;"",""))</f>
      </c>
      <c r="H1779" s="11"/>
      <c r="I1779" s="20"/>
      <c r="J1779" s="11"/>
      <c r="K1779" s="11"/>
      <c r="L1779" s="11"/>
    </row>
    <row r="1780" spans="1:12" x14ac:dyDescent="0.3">
      <c r="A1780" s="31"/>
      <c r="B1780" s="32">
        <f>IF(A1780="","",DATE(YEAR(A1780),MONTH(A1780),1))</f>
      </c>
      <c r="C1780" s="11"/>
      <c r="D1780" s="11"/>
      <c r="E1780" s="16">
        <f>IF(OR(D1780="",C1780&lt;&gt;"Chi"),"",IFERROR(INDEX('Danh mục'!$B$39:$B$78,MATCH(D1780,'Danh mục'!$A$39:$A$78,0))&amp;"","?"))</f>
      </c>
      <c r="F1780" s="16">
        <f>IF(D1780="","",IF(C1780="Thu",IFERROR(INDEX('Danh mục'!$B$26:$B$35,MATCH(D1780,'Danh mục'!$A$26:$A$35,0))&amp;"","?"),IFERROR(INDEX('Danh mục'!$D$39:$D$78,MATCH(D1780,'Danh mục'!$A$39:$A$78,0))&amp;"","?")))</f>
      </c>
      <c r="G1780" s="16">
        <f>IF(OR(D1780="",C1780&lt;&gt;"Chi"),"",IFERROR(INDEX('Danh mục'!$C$39:$C$78,MATCH(D1780,'Danh mục'!$A$39:$A$78,0))&amp;"",""))</f>
      </c>
      <c r="H1780" s="11"/>
      <c r="I1780" s="20"/>
      <c r="J1780" s="11"/>
      <c r="K1780" s="11"/>
      <c r="L1780" s="11"/>
    </row>
    <row r="1781" spans="1:12" x14ac:dyDescent="0.3">
      <c r="A1781" s="31"/>
      <c r="B1781" s="32">
        <f>IF(A1781="","",DATE(YEAR(A1781),MONTH(A1781),1))</f>
      </c>
      <c r="C1781" s="11"/>
      <c r="D1781" s="11"/>
      <c r="E1781" s="16">
        <f>IF(OR(D1781="",C1781&lt;&gt;"Chi"),"",IFERROR(INDEX('Danh mục'!$B$39:$B$78,MATCH(D1781,'Danh mục'!$A$39:$A$78,0))&amp;"","?"))</f>
      </c>
      <c r="F1781" s="16">
        <f>IF(D1781="","",IF(C1781="Thu",IFERROR(INDEX('Danh mục'!$B$26:$B$35,MATCH(D1781,'Danh mục'!$A$26:$A$35,0))&amp;"","?"),IFERROR(INDEX('Danh mục'!$D$39:$D$78,MATCH(D1781,'Danh mục'!$A$39:$A$78,0))&amp;"","?")))</f>
      </c>
      <c r="G1781" s="16">
        <f>IF(OR(D1781="",C1781&lt;&gt;"Chi"),"",IFERROR(INDEX('Danh mục'!$C$39:$C$78,MATCH(D1781,'Danh mục'!$A$39:$A$78,0))&amp;"",""))</f>
      </c>
      <c r="H1781" s="11"/>
      <c r="I1781" s="20"/>
      <c r="J1781" s="11"/>
      <c r="K1781" s="11"/>
      <c r="L1781" s="11"/>
    </row>
    <row r="1782" spans="1:12" x14ac:dyDescent="0.3">
      <c r="A1782" s="31"/>
      <c r="B1782" s="32">
        <f>IF(A1782="","",DATE(YEAR(A1782),MONTH(A1782),1))</f>
      </c>
      <c r="C1782" s="11"/>
      <c r="D1782" s="11"/>
      <c r="E1782" s="16">
        <f>IF(OR(D1782="",C1782&lt;&gt;"Chi"),"",IFERROR(INDEX('Danh mục'!$B$39:$B$78,MATCH(D1782,'Danh mục'!$A$39:$A$78,0))&amp;"","?"))</f>
      </c>
      <c r="F1782" s="16">
        <f>IF(D1782="","",IF(C1782="Thu",IFERROR(INDEX('Danh mục'!$B$26:$B$35,MATCH(D1782,'Danh mục'!$A$26:$A$35,0))&amp;"","?"),IFERROR(INDEX('Danh mục'!$D$39:$D$78,MATCH(D1782,'Danh mục'!$A$39:$A$78,0))&amp;"","?")))</f>
      </c>
      <c r="G1782" s="16">
        <f>IF(OR(D1782="",C1782&lt;&gt;"Chi"),"",IFERROR(INDEX('Danh mục'!$C$39:$C$78,MATCH(D1782,'Danh mục'!$A$39:$A$78,0))&amp;"",""))</f>
      </c>
      <c r="H1782" s="11"/>
      <c r="I1782" s="20"/>
      <c r="J1782" s="11"/>
      <c r="K1782" s="11"/>
      <c r="L1782" s="11"/>
    </row>
    <row r="1783" spans="1:12" x14ac:dyDescent="0.3">
      <c r="A1783" s="31"/>
      <c r="B1783" s="32">
        <f>IF(A1783="","",DATE(YEAR(A1783),MONTH(A1783),1))</f>
      </c>
      <c r="C1783" s="11"/>
      <c r="D1783" s="11"/>
      <c r="E1783" s="16">
        <f>IF(OR(D1783="",C1783&lt;&gt;"Chi"),"",IFERROR(INDEX('Danh mục'!$B$39:$B$78,MATCH(D1783,'Danh mục'!$A$39:$A$78,0))&amp;"","?"))</f>
      </c>
      <c r="F1783" s="16">
        <f>IF(D1783="","",IF(C1783="Thu",IFERROR(INDEX('Danh mục'!$B$26:$B$35,MATCH(D1783,'Danh mục'!$A$26:$A$35,0))&amp;"","?"),IFERROR(INDEX('Danh mục'!$D$39:$D$78,MATCH(D1783,'Danh mục'!$A$39:$A$78,0))&amp;"","?")))</f>
      </c>
      <c r="G1783" s="16">
        <f>IF(OR(D1783="",C1783&lt;&gt;"Chi"),"",IFERROR(INDEX('Danh mục'!$C$39:$C$78,MATCH(D1783,'Danh mục'!$A$39:$A$78,0))&amp;"",""))</f>
      </c>
      <c r="H1783" s="11"/>
      <c r="I1783" s="20"/>
      <c r="J1783" s="11"/>
      <c r="K1783" s="11"/>
      <c r="L1783" s="11"/>
    </row>
    <row r="1784" spans="1:12" x14ac:dyDescent="0.3">
      <c r="A1784" s="31"/>
      <c r="B1784" s="32">
        <f>IF(A1784="","",DATE(YEAR(A1784),MONTH(A1784),1))</f>
      </c>
      <c r="C1784" s="11"/>
      <c r="D1784" s="11"/>
      <c r="E1784" s="16">
        <f>IF(OR(D1784="",C1784&lt;&gt;"Chi"),"",IFERROR(INDEX('Danh mục'!$B$39:$B$78,MATCH(D1784,'Danh mục'!$A$39:$A$78,0))&amp;"","?"))</f>
      </c>
      <c r="F1784" s="16">
        <f>IF(D1784="","",IF(C1784="Thu",IFERROR(INDEX('Danh mục'!$B$26:$B$35,MATCH(D1784,'Danh mục'!$A$26:$A$35,0))&amp;"","?"),IFERROR(INDEX('Danh mục'!$D$39:$D$78,MATCH(D1784,'Danh mục'!$A$39:$A$78,0))&amp;"","?")))</f>
      </c>
      <c r="G1784" s="16">
        <f>IF(OR(D1784="",C1784&lt;&gt;"Chi"),"",IFERROR(INDEX('Danh mục'!$C$39:$C$78,MATCH(D1784,'Danh mục'!$A$39:$A$78,0))&amp;"",""))</f>
      </c>
      <c r="H1784" s="11"/>
      <c r="I1784" s="20"/>
      <c r="J1784" s="11"/>
      <c r="K1784" s="11"/>
      <c r="L1784" s="11"/>
    </row>
    <row r="1785" spans="1:12" x14ac:dyDescent="0.3">
      <c r="A1785" s="31"/>
      <c r="B1785" s="32">
        <f>IF(A1785="","",DATE(YEAR(A1785),MONTH(A1785),1))</f>
      </c>
      <c r="C1785" s="11"/>
      <c r="D1785" s="11"/>
      <c r="E1785" s="16">
        <f>IF(OR(D1785="",C1785&lt;&gt;"Chi"),"",IFERROR(INDEX('Danh mục'!$B$39:$B$78,MATCH(D1785,'Danh mục'!$A$39:$A$78,0))&amp;"","?"))</f>
      </c>
      <c r="F1785" s="16">
        <f>IF(D1785="","",IF(C1785="Thu",IFERROR(INDEX('Danh mục'!$B$26:$B$35,MATCH(D1785,'Danh mục'!$A$26:$A$35,0))&amp;"","?"),IFERROR(INDEX('Danh mục'!$D$39:$D$78,MATCH(D1785,'Danh mục'!$A$39:$A$78,0))&amp;"","?")))</f>
      </c>
      <c r="G1785" s="16">
        <f>IF(OR(D1785="",C1785&lt;&gt;"Chi"),"",IFERROR(INDEX('Danh mục'!$C$39:$C$78,MATCH(D1785,'Danh mục'!$A$39:$A$78,0))&amp;"",""))</f>
      </c>
      <c r="H1785" s="11"/>
      <c r="I1785" s="20"/>
      <c r="J1785" s="11"/>
      <c r="K1785" s="11"/>
      <c r="L1785" s="11"/>
    </row>
    <row r="1786" spans="1:12" x14ac:dyDescent="0.3">
      <c r="A1786" s="31"/>
      <c r="B1786" s="32">
        <f>IF(A1786="","",DATE(YEAR(A1786),MONTH(A1786),1))</f>
      </c>
      <c r="C1786" s="11"/>
      <c r="D1786" s="11"/>
      <c r="E1786" s="16">
        <f>IF(OR(D1786="",C1786&lt;&gt;"Chi"),"",IFERROR(INDEX('Danh mục'!$B$39:$B$78,MATCH(D1786,'Danh mục'!$A$39:$A$78,0))&amp;"","?"))</f>
      </c>
      <c r="F1786" s="16">
        <f>IF(D1786="","",IF(C1786="Thu",IFERROR(INDEX('Danh mục'!$B$26:$B$35,MATCH(D1786,'Danh mục'!$A$26:$A$35,0))&amp;"","?"),IFERROR(INDEX('Danh mục'!$D$39:$D$78,MATCH(D1786,'Danh mục'!$A$39:$A$78,0))&amp;"","?")))</f>
      </c>
      <c r="G1786" s="16">
        <f>IF(OR(D1786="",C1786&lt;&gt;"Chi"),"",IFERROR(INDEX('Danh mục'!$C$39:$C$78,MATCH(D1786,'Danh mục'!$A$39:$A$78,0))&amp;"",""))</f>
      </c>
      <c r="H1786" s="11"/>
      <c r="I1786" s="20"/>
      <c r="J1786" s="11"/>
      <c r="K1786" s="11"/>
      <c r="L1786" s="11"/>
    </row>
    <row r="1787" spans="1:12" x14ac:dyDescent="0.3">
      <c r="A1787" s="31"/>
      <c r="B1787" s="32">
        <f>IF(A1787="","",DATE(YEAR(A1787),MONTH(A1787),1))</f>
      </c>
      <c r="C1787" s="11"/>
      <c r="D1787" s="11"/>
      <c r="E1787" s="16">
        <f>IF(OR(D1787="",C1787&lt;&gt;"Chi"),"",IFERROR(INDEX('Danh mục'!$B$39:$B$78,MATCH(D1787,'Danh mục'!$A$39:$A$78,0))&amp;"","?"))</f>
      </c>
      <c r="F1787" s="16">
        <f>IF(D1787="","",IF(C1787="Thu",IFERROR(INDEX('Danh mục'!$B$26:$B$35,MATCH(D1787,'Danh mục'!$A$26:$A$35,0))&amp;"","?"),IFERROR(INDEX('Danh mục'!$D$39:$D$78,MATCH(D1787,'Danh mục'!$A$39:$A$78,0))&amp;"","?")))</f>
      </c>
      <c r="G1787" s="16">
        <f>IF(OR(D1787="",C1787&lt;&gt;"Chi"),"",IFERROR(INDEX('Danh mục'!$C$39:$C$78,MATCH(D1787,'Danh mục'!$A$39:$A$78,0))&amp;"",""))</f>
      </c>
      <c r="H1787" s="11"/>
      <c r="I1787" s="20"/>
      <c r="J1787" s="11"/>
      <c r="K1787" s="11"/>
      <c r="L1787" s="11"/>
    </row>
    <row r="1788" spans="1:12" x14ac:dyDescent="0.3">
      <c r="A1788" s="31"/>
      <c r="B1788" s="32">
        <f>IF(A1788="","",DATE(YEAR(A1788),MONTH(A1788),1))</f>
      </c>
      <c r="C1788" s="11"/>
      <c r="D1788" s="11"/>
      <c r="E1788" s="16">
        <f>IF(OR(D1788="",C1788&lt;&gt;"Chi"),"",IFERROR(INDEX('Danh mục'!$B$39:$B$78,MATCH(D1788,'Danh mục'!$A$39:$A$78,0))&amp;"","?"))</f>
      </c>
      <c r="F1788" s="16">
        <f>IF(D1788="","",IF(C1788="Thu",IFERROR(INDEX('Danh mục'!$B$26:$B$35,MATCH(D1788,'Danh mục'!$A$26:$A$35,0))&amp;"","?"),IFERROR(INDEX('Danh mục'!$D$39:$D$78,MATCH(D1788,'Danh mục'!$A$39:$A$78,0))&amp;"","?")))</f>
      </c>
      <c r="G1788" s="16">
        <f>IF(OR(D1788="",C1788&lt;&gt;"Chi"),"",IFERROR(INDEX('Danh mục'!$C$39:$C$78,MATCH(D1788,'Danh mục'!$A$39:$A$78,0))&amp;"",""))</f>
      </c>
      <c r="H1788" s="11"/>
      <c r="I1788" s="20"/>
      <c r="J1788" s="11"/>
      <c r="K1788" s="11"/>
      <c r="L1788" s="11"/>
    </row>
    <row r="1789" spans="1:12" x14ac:dyDescent="0.3">
      <c r="A1789" s="31"/>
      <c r="B1789" s="32">
        <f>IF(A1789="","",DATE(YEAR(A1789),MONTH(A1789),1))</f>
      </c>
      <c r="C1789" s="11"/>
      <c r="D1789" s="11"/>
      <c r="E1789" s="16">
        <f>IF(OR(D1789="",C1789&lt;&gt;"Chi"),"",IFERROR(INDEX('Danh mục'!$B$39:$B$78,MATCH(D1789,'Danh mục'!$A$39:$A$78,0))&amp;"","?"))</f>
      </c>
      <c r="F1789" s="16">
        <f>IF(D1789="","",IF(C1789="Thu",IFERROR(INDEX('Danh mục'!$B$26:$B$35,MATCH(D1789,'Danh mục'!$A$26:$A$35,0))&amp;"","?"),IFERROR(INDEX('Danh mục'!$D$39:$D$78,MATCH(D1789,'Danh mục'!$A$39:$A$78,0))&amp;"","?")))</f>
      </c>
      <c r="G1789" s="16">
        <f>IF(OR(D1789="",C1789&lt;&gt;"Chi"),"",IFERROR(INDEX('Danh mục'!$C$39:$C$78,MATCH(D1789,'Danh mục'!$A$39:$A$78,0))&amp;"",""))</f>
      </c>
      <c r="H1789" s="11"/>
      <c r="I1789" s="20"/>
      <c r="J1789" s="11"/>
      <c r="K1789" s="11"/>
      <c r="L1789" s="11"/>
    </row>
    <row r="1790" spans="1:12" x14ac:dyDescent="0.3">
      <c r="A1790" s="31"/>
      <c r="B1790" s="32">
        <f>IF(A1790="","",DATE(YEAR(A1790),MONTH(A1790),1))</f>
      </c>
      <c r="C1790" s="11"/>
      <c r="D1790" s="11"/>
      <c r="E1790" s="16">
        <f>IF(OR(D1790="",C1790&lt;&gt;"Chi"),"",IFERROR(INDEX('Danh mục'!$B$39:$B$78,MATCH(D1790,'Danh mục'!$A$39:$A$78,0))&amp;"","?"))</f>
      </c>
      <c r="F1790" s="16">
        <f>IF(D1790="","",IF(C1790="Thu",IFERROR(INDEX('Danh mục'!$B$26:$B$35,MATCH(D1790,'Danh mục'!$A$26:$A$35,0))&amp;"","?"),IFERROR(INDEX('Danh mục'!$D$39:$D$78,MATCH(D1790,'Danh mục'!$A$39:$A$78,0))&amp;"","?")))</f>
      </c>
      <c r="G1790" s="16">
        <f>IF(OR(D1790="",C1790&lt;&gt;"Chi"),"",IFERROR(INDEX('Danh mục'!$C$39:$C$78,MATCH(D1790,'Danh mục'!$A$39:$A$78,0))&amp;"",""))</f>
      </c>
      <c r="H1790" s="11"/>
      <c r="I1790" s="20"/>
      <c r="J1790" s="11"/>
      <c r="K1790" s="11"/>
      <c r="L1790" s="11"/>
    </row>
    <row r="1791" spans="1:12" x14ac:dyDescent="0.3">
      <c r="A1791" s="31"/>
      <c r="B1791" s="32">
        <f>IF(A1791="","",DATE(YEAR(A1791),MONTH(A1791),1))</f>
      </c>
      <c r="C1791" s="11"/>
      <c r="D1791" s="11"/>
      <c r="E1791" s="16">
        <f>IF(OR(D1791="",C1791&lt;&gt;"Chi"),"",IFERROR(INDEX('Danh mục'!$B$39:$B$78,MATCH(D1791,'Danh mục'!$A$39:$A$78,0))&amp;"","?"))</f>
      </c>
      <c r="F1791" s="16">
        <f>IF(D1791="","",IF(C1791="Thu",IFERROR(INDEX('Danh mục'!$B$26:$B$35,MATCH(D1791,'Danh mục'!$A$26:$A$35,0))&amp;"","?"),IFERROR(INDEX('Danh mục'!$D$39:$D$78,MATCH(D1791,'Danh mục'!$A$39:$A$78,0))&amp;"","?")))</f>
      </c>
      <c r="G1791" s="16">
        <f>IF(OR(D1791="",C1791&lt;&gt;"Chi"),"",IFERROR(INDEX('Danh mục'!$C$39:$C$78,MATCH(D1791,'Danh mục'!$A$39:$A$78,0))&amp;"",""))</f>
      </c>
      <c r="H1791" s="11"/>
      <c r="I1791" s="20"/>
      <c r="J1791" s="11"/>
      <c r="K1791" s="11"/>
      <c r="L1791" s="11"/>
    </row>
    <row r="1792" spans="1:12" x14ac:dyDescent="0.3">
      <c r="A1792" s="31"/>
      <c r="B1792" s="32">
        <f>IF(A1792="","",DATE(YEAR(A1792),MONTH(A1792),1))</f>
      </c>
      <c r="C1792" s="11"/>
      <c r="D1792" s="11"/>
      <c r="E1792" s="16">
        <f>IF(OR(D1792="",C1792&lt;&gt;"Chi"),"",IFERROR(INDEX('Danh mục'!$B$39:$B$78,MATCH(D1792,'Danh mục'!$A$39:$A$78,0))&amp;"","?"))</f>
      </c>
      <c r="F1792" s="16">
        <f>IF(D1792="","",IF(C1792="Thu",IFERROR(INDEX('Danh mục'!$B$26:$B$35,MATCH(D1792,'Danh mục'!$A$26:$A$35,0))&amp;"","?"),IFERROR(INDEX('Danh mục'!$D$39:$D$78,MATCH(D1792,'Danh mục'!$A$39:$A$78,0))&amp;"","?")))</f>
      </c>
      <c r="G1792" s="16">
        <f>IF(OR(D1792="",C1792&lt;&gt;"Chi"),"",IFERROR(INDEX('Danh mục'!$C$39:$C$78,MATCH(D1792,'Danh mục'!$A$39:$A$78,0))&amp;"",""))</f>
      </c>
      <c r="H1792" s="11"/>
      <c r="I1792" s="20"/>
      <c r="J1792" s="11"/>
      <c r="K1792" s="11"/>
      <c r="L1792" s="11"/>
    </row>
    <row r="1793" spans="1:12" x14ac:dyDescent="0.3">
      <c r="A1793" s="31"/>
      <c r="B1793" s="32">
        <f>IF(A1793="","",DATE(YEAR(A1793),MONTH(A1793),1))</f>
      </c>
      <c r="C1793" s="11"/>
      <c r="D1793" s="11"/>
      <c r="E1793" s="16">
        <f>IF(OR(D1793="",C1793&lt;&gt;"Chi"),"",IFERROR(INDEX('Danh mục'!$B$39:$B$78,MATCH(D1793,'Danh mục'!$A$39:$A$78,0))&amp;"","?"))</f>
      </c>
      <c r="F1793" s="16">
        <f>IF(D1793="","",IF(C1793="Thu",IFERROR(INDEX('Danh mục'!$B$26:$B$35,MATCH(D1793,'Danh mục'!$A$26:$A$35,0))&amp;"","?"),IFERROR(INDEX('Danh mục'!$D$39:$D$78,MATCH(D1793,'Danh mục'!$A$39:$A$78,0))&amp;"","?")))</f>
      </c>
      <c r="G1793" s="16">
        <f>IF(OR(D1793="",C1793&lt;&gt;"Chi"),"",IFERROR(INDEX('Danh mục'!$C$39:$C$78,MATCH(D1793,'Danh mục'!$A$39:$A$78,0))&amp;"",""))</f>
      </c>
      <c r="H1793" s="11"/>
      <c r="I1793" s="20"/>
      <c r="J1793" s="11"/>
      <c r="K1793" s="11"/>
      <c r="L1793" s="11"/>
    </row>
    <row r="1794" spans="1:12" x14ac:dyDescent="0.3">
      <c r="A1794" s="31"/>
      <c r="B1794" s="32">
        <f>IF(A1794="","",DATE(YEAR(A1794),MONTH(A1794),1))</f>
      </c>
      <c r="C1794" s="11"/>
      <c r="D1794" s="11"/>
      <c r="E1794" s="16">
        <f>IF(OR(D1794="",C1794&lt;&gt;"Chi"),"",IFERROR(INDEX('Danh mục'!$B$39:$B$78,MATCH(D1794,'Danh mục'!$A$39:$A$78,0))&amp;"","?"))</f>
      </c>
      <c r="F1794" s="16">
        <f>IF(D1794="","",IF(C1794="Thu",IFERROR(INDEX('Danh mục'!$B$26:$B$35,MATCH(D1794,'Danh mục'!$A$26:$A$35,0))&amp;"","?"),IFERROR(INDEX('Danh mục'!$D$39:$D$78,MATCH(D1794,'Danh mục'!$A$39:$A$78,0))&amp;"","?")))</f>
      </c>
      <c r="G1794" s="16">
        <f>IF(OR(D1794="",C1794&lt;&gt;"Chi"),"",IFERROR(INDEX('Danh mục'!$C$39:$C$78,MATCH(D1794,'Danh mục'!$A$39:$A$78,0))&amp;"",""))</f>
      </c>
      <c r="H1794" s="11"/>
      <c r="I1794" s="20"/>
      <c r="J1794" s="11"/>
      <c r="K1794" s="11"/>
      <c r="L1794" s="11"/>
    </row>
    <row r="1795" spans="1:12" x14ac:dyDescent="0.3">
      <c r="A1795" s="31"/>
      <c r="B1795" s="32">
        <f>IF(A1795="","",DATE(YEAR(A1795),MONTH(A1795),1))</f>
      </c>
      <c r="C1795" s="11"/>
      <c r="D1795" s="11"/>
      <c r="E1795" s="16">
        <f>IF(OR(D1795="",C1795&lt;&gt;"Chi"),"",IFERROR(INDEX('Danh mục'!$B$39:$B$78,MATCH(D1795,'Danh mục'!$A$39:$A$78,0))&amp;"","?"))</f>
      </c>
      <c r="F1795" s="16">
        <f>IF(D1795="","",IF(C1795="Thu",IFERROR(INDEX('Danh mục'!$B$26:$B$35,MATCH(D1795,'Danh mục'!$A$26:$A$35,0))&amp;"","?"),IFERROR(INDEX('Danh mục'!$D$39:$D$78,MATCH(D1795,'Danh mục'!$A$39:$A$78,0))&amp;"","?")))</f>
      </c>
      <c r="G1795" s="16">
        <f>IF(OR(D1795="",C1795&lt;&gt;"Chi"),"",IFERROR(INDEX('Danh mục'!$C$39:$C$78,MATCH(D1795,'Danh mục'!$A$39:$A$78,0))&amp;"",""))</f>
      </c>
      <c r="H1795" s="11"/>
      <c r="I1795" s="20"/>
      <c r="J1795" s="11"/>
      <c r="K1795" s="11"/>
      <c r="L1795" s="11"/>
    </row>
    <row r="1796" spans="1:12" x14ac:dyDescent="0.3">
      <c r="A1796" s="31"/>
      <c r="B1796" s="32">
        <f>IF(A1796="","",DATE(YEAR(A1796),MONTH(A1796),1))</f>
      </c>
      <c r="C1796" s="11"/>
      <c r="D1796" s="11"/>
      <c r="E1796" s="16">
        <f>IF(OR(D1796="",C1796&lt;&gt;"Chi"),"",IFERROR(INDEX('Danh mục'!$B$39:$B$78,MATCH(D1796,'Danh mục'!$A$39:$A$78,0))&amp;"","?"))</f>
      </c>
      <c r="F1796" s="16">
        <f>IF(D1796="","",IF(C1796="Thu",IFERROR(INDEX('Danh mục'!$B$26:$B$35,MATCH(D1796,'Danh mục'!$A$26:$A$35,0))&amp;"","?"),IFERROR(INDEX('Danh mục'!$D$39:$D$78,MATCH(D1796,'Danh mục'!$A$39:$A$78,0))&amp;"","?")))</f>
      </c>
      <c r="G1796" s="16">
        <f>IF(OR(D1796="",C1796&lt;&gt;"Chi"),"",IFERROR(INDEX('Danh mục'!$C$39:$C$78,MATCH(D1796,'Danh mục'!$A$39:$A$78,0))&amp;"",""))</f>
      </c>
      <c r="H1796" s="11"/>
      <c r="I1796" s="20"/>
      <c r="J1796" s="11"/>
      <c r="K1796" s="11"/>
      <c r="L1796" s="11"/>
    </row>
    <row r="1797" spans="1:12" x14ac:dyDescent="0.3">
      <c r="A1797" s="31"/>
      <c r="B1797" s="32">
        <f>IF(A1797="","",DATE(YEAR(A1797),MONTH(A1797),1))</f>
      </c>
      <c r="C1797" s="11"/>
      <c r="D1797" s="11"/>
      <c r="E1797" s="16">
        <f>IF(OR(D1797="",C1797&lt;&gt;"Chi"),"",IFERROR(INDEX('Danh mục'!$B$39:$B$78,MATCH(D1797,'Danh mục'!$A$39:$A$78,0))&amp;"","?"))</f>
      </c>
      <c r="F1797" s="16">
        <f>IF(D1797="","",IF(C1797="Thu",IFERROR(INDEX('Danh mục'!$B$26:$B$35,MATCH(D1797,'Danh mục'!$A$26:$A$35,0))&amp;"","?"),IFERROR(INDEX('Danh mục'!$D$39:$D$78,MATCH(D1797,'Danh mục'!$A$39:$A$78,0))&amp;"","?")))</f>
      </c>
      <c r="G1797" s="16">
        <f>IF(OR(D1797="",C1797&lt;&gt;"Chi"),"",IFERROR(INDEX('Danh mục'!$C$39:$C$78,MATCH(D1797,'Danh mục'!$A$39:$A$78,0))&amp;"",""))</f>
      </c>
      <c r="H1797" s="11"/>
      <c r="I1797" s="20"/>
      <c r="J1797" s="11"/>
      <c r="K1797" s="11"/>
      <c r="L1797" s="11"/>
    </row>
    <row r="1798" spans="1:12" x14ac:dyDescent="0.3">
      <c r="A1798" s="31"/>
      <c r="B1798" s="32">
        <f>IF(A1798="","",DATE(YEAR(A1798),MONTH(A1798),1))</f>
      </c>
      <c r="C1798" s="11"/>
      <c r="D1798" s="11"/>
      <c r="E1798" s="16">
        <f>IF(OR(D1798="",C1798&lt;&gt;"Chi"),"",IFERROR(INDEX('Danh mục'!$B$39:$B$78,MATCH(D1798,'Danh mục'!$A$39:$A$78,0))&amp;"","?"))</f>
      </c>
      <c r="F1798" s="16">
        <f>IF(D1798="","",IF(C1798="Thu",IFERROR(INDEX('Danh mục'!$B$26:$B$35,MATCH(D1798,'Danh mục'!$A$26:$A$35,0))&amp;"","?"),IFERROR(INDEX('Danh mục'!$D$39:$D$78,MATCH(D1798,'Danh mục'!$A$39:$A$78,0))&amp;"","?")))</f>
      </c>
      <c r="G1798" s="16">
        <f>IF(OR(D1798="",C1798&lt;&gt;"Chi"),"",IFERROR(INDEX('Danh mục'!$C$39:$C$78,MATCH(D1798,'Danh mục'!$A$39:$A$78,0))&amp;"",""))</f>
      </c>
      <c r="H1798" s="11"/>
      <c r="I1798" s="20"/>
      <c r="J1798" s="11"/>
      <c r="K1798" s="11"/>
      <c r="L1798" s="11"/>
    </row>
    <row r="1799" spans="1:12" x14ac:dyDescent="0.3">
      <c r="A1799" s="31"/>
      <c r="B1799" s="32">
        <f>IF(A1799="","",DATE(YEAR(A1799),MONTH(A1799),1))</f>
      </c>
      <c r="C1799" s="11"/>
      <c r="D1799" s="11"/>
      <c r="E1799" s="16">
        <f>IF(OR(D1799="",C1799&lt;&gt;"Chi"),"",IFERROR(INDEX('Danh mục'!$B$39:$B$78,MATCH(D1799,'Danh mục'!$A$39:$A$78,0))&amp;"","?"))</f>
      </c>
      <c r="F1799" s="16">
        <f>IF(D1799="","",IF(C1799="Thu",IFERROR(INDEX('Danh mục'!$B$26:$B$35,MATCH(D1799,'Danh mục'!$A$26:$A$35,0))&amp;"","?"),IFERROR(INDEX('Danh mục'!$D$39:$D$78,MATCH(D1799,'Danh mục'!$A$39:$A$78,0))&amp;"","?")))</f>
      </c>
      <c r="G1799" s="16">
        <f>IF(OR(D1799="",C1799&lt;&gt;"Chi"),"",IFERROR(INDEX('Danh mục'!$C$39:$C$78,MATCH(D1799,'Danh mục'!$A$39:$A$78,0))&amp;"",""))</f>
      </c>
      <c r="H1799" s="11"/>
      <c r="I1799" s="20"/>
      <c r="J1799" s="11"/>
      <c r="K1799" s="11"/>
      <c r="L1799" s="11"/>
    </row>
    <row r="1800" spans="1:12" x14ac:dyDescent="0.3">
      <c r="A1800" s="31"/>
      <c r="B1800" s="32">
        <f>IF(A1800="","",DATE(YEAR(A1800),MONTH(A1800),1))</f>
      </c>
      <c r="C1800" s="11"/>
      <c r="D1800" s="11"/>
      <c r="E1800" s="16">
        <f>IF(OR(D1800="",C1800&lt;&gt;"Chi"),"",IFERROR(INDEX('Danh mục'!$B$39:$B$78,MATCH(D1800,'Danh mục'!$A$39:$A$78,0))&amp;"","?"))</f>
      </c>
      <c r="F1800" s="16">
        <f>IF(D1800="","",IF(C1800="Thu",IFERROR(INDEX('Danh mục'!$B$26:$B$35,MATCH(D1800,'Danh mục'!$A$26:$A$35,0))&amp;"","?"),IFERROR(INDEX('Danh mục'!$D$39:$D$78,MATCH(D1800,'Danh mục'!$A$39:$A$78,0))&amp;"","?")))</f>
      </c>
      <c r="G1800" s="16">
        <f>IF(OR(D1800="",C1800&lt;&gt;"Chi"),"",IFERROR(INDEX('Danh mục'!$C$39:$C$78,MATCH(D1800,'Danh mục'!$A$39:$A$78,0))&amp;"",""))</f>
      </c>
      <c r="H1800" s="11"/>
      <c r="I1800" s="20"/>
      <c r="J1800" s="11"/>
      <c r="K1800" s="11"/>
      <c r="L1800" s="11"/>
    </row>
    <row r="1801" spans="1:12" x14ac:dyDescent="0.3">
      <c r="A1801" s="31"/>
      <c r="B1801" s="32">
        <f>IF(A1801="","",DATE(YEAR(A1801),MONTH(A1801),1))</f>
      </c>
      <c r="C1801" s="11"/>
      <c r="D1801" s="11"/>
      <c r="E1801" s="16">
        <f>IF(OR(D1801="",C1801&lt;&gt;"Chi"),"",IFERROR(INDEX('Danh mục'!$B$39:$B$78,MATCH(D1801,'Danh mục'!$A$39:$A$78,0))&amp;"","?"))</f>
      </c>
      <c r="F1801" s="16">
        <f>IF(D1801="","",IF(C1801="Thu",IFERROR(INDEX('Danh mục'!$B$26:$B$35,MATCH(D1801,'Danh mục'!$A$26:$A$35,0))&amp;"","?"),IFERROR(INDEX('Danh mục'!$D$39:$D$78,MATCH(D1801,'Danh mục'!$A$39:$A$78,0))&amp;"","?")))</f>
      </c>
      <c r="G1801" s="16">
        <f>IF(OR(D1801="",C1801&lt;&gt;"Chi"),"",IFERROR(INDEX('Danh mục'!$C$39:$C$78,MATCH(D1801,'Danh mục'!$A$39:$A$78,0))&amp;"",""))</f>
      </c>
      <c r="H1801" s="11"/>
      <c r="I1801" s="20"/>
      <c r="J1801" s="11"/>
      <c r="K1801" s="11"/>
      <c r="L1801" s="11"/>
    </row>
    <row r="1802" spans="1:12" x14ac:dyDescent="0.3">
      <c r="A1802" s="31"/>
      <c r="B1802" s="32">
        <f>IF(A1802="","",DATE(YEAR(A1802),MONTH(A1802),1))</f>
      </c>
      <c r="C1802" s="11"/>
      <c r="D1802" s="11"/>
      <c r="E1802" s="16">
        <f>IF(OR(D1802="",C1802&lt;&gt;"Chi"),"",IFERROR(INDEX('Danh mục'!$B$39:$B$78,MATCH(D1802,'Danh mục'!$A$39:$A$78,0))&amp;"","?"))</f>
      </c>
      <c r="F1802" s="16">
        <f>IF(D1802="","",IF(C1802="Thu",IFERROR(INDEX('Danh mục'!$B$26:$B$35,MATCH(D1802,'Danh mục'!$A$26:$A$35,0))&amp;"","?"),IFERROR(INDEX('Danh mục'!$D$39:$D$78,MATCH(D1802,'Danh mục'!$A$39:$A$78,0))&amp;"","?")))</f>
      </c>
      <c r="G1802" s="16">
        <f>IF(OR(D1802="",C1802&lt;&gt;"Chi"),"",IFERROR(INDEX('Danh mục'!$C$39:$C$78,MATCH(D1802,'Danh mục'!$A$39:$A$78,0))&amp;"",""))</f>
      </c>
      <c r="H1802" s="11"/>
      <c r="I1802" s="20"/>
      <c r="J1802" s="11"/>
      <c r="K1802" s="11"/>
      <c r="L1802" s="11"/>
    </row>
    <row r="1803" spans="1:12" x14ac:dyDescent="0.3">
      <c r="A1803" s="31"/>
      <c r="B1803" s="32">
        <f>IF(A1803="","",DATE(YEAR(A1803),MONTH(A1803),1))</f>
      </c>
      <c r="C1803" s="11"/>
      <c r="D1803" s="11"/>
      <c r="E1803" s="16">
        <f>IF(OR(D1803="",C1803&lt;&gt;"Chi"),"",IFERROR(INDEX('Danh mục'!$B$39:$B$78,MATCH(D1803,'Danh mục'!$A$39:$A$78,0))&amp;"","?"))</f>
      </c>
      <c r="F1803" s="16">
        <f>IF(D1803="","",IF(C1803="Thu",IFERROR(INDEX('Danh mục'!$B$26:$B$35,MATCH(D1803,'Danh mục'!$A$26:$A$35,0))&amp;"","?"),IFERROR(INDEX('Danh mục'!$D$39:$D$78,MATCH(D1803,'Danh mục'!$A$39:$A$78,0))&amp;"","?")))</f>
      </c>
      <c r="G1803" s="16">
        <f>IF(OR(D1803="",C1803&lt;&gt;"Chi"),"",IFERROR(INDEX('Danh mục'!$C$39:$C$78,MATCH(D1803,'Danh mục'!$A$39:$A$78,0))&amp;"",""))</f>
      </c>
      <c r="H1803" s="11"/>
      <c r="I1803" s="20"/>
      <c r="J1803" s="11"/>
      <c r="K1803" s="11"/>
      <c r="L1803" s="11"/>
    </row>
    <row r="1804" spans="1:12" x14ac:dyDescent="0.3">
      <c r="A1804" s="31"/>
      <c r="B1804" s="32">
        <f>IF(A1804="","",DATE(YEAR(A1804),MONTH(A1804),1))</f>
      </c>
      <c r="C1804" s="11"/>
      <c r="D1804" s="11"/>
      <c r="E1804" s="16">
        <f>IF(OR(D1804="",C1804&lt;&gt;"Chi"),"",IFERROR(INDEX('Danh mục'!$B$39:$B$78,MATCH(D1804,'Danh mục'!$A$39:$A$78,0))&amp;"","?"))</f>
      </c>
      <c r="F1804" s="16">
        <f>IF(D1804="","",IF(C1804="Thu",IFERROR(INDEX('Danh mục'!$B$26:$B$35,MATCH(D1804,'Danh mục'!$A$26:$A$35,0))&amp;"","?"),IFERROR(INDEX('Danh mục'!$D$39:$D$78,MATCH(D1804,'Danh mục'!$A$39:$A$78,0))&amp;"","?")))</f>
      </c>
      <c r="G1804" s="16">
        <f>IF(OR(D1804="",C1804&lt;&gt;"Chi"),"",IFERROR(INDEX('Danh mục'!$C$39:$C$78,MATCH(D1804,'Danh mục'!$A$39:$A$78,0))&amp;"",""))</f>
      </c>
      <c r="H1804" s="11"/>
      <c r="I1804" s="20"/>
      <c r="J1804" s="11"/>
      <c r="K1804" s="11"/>
      <c r="L1804" s="11"/>
    </row>
    <row r="1805" spans="1:12" x14ac:dyDescent="0.3">
      <c r="A1805" s="31"/>
      <c r="B1805" s="32">
        <f>IF(A1805="","",DATE(YEAR(A1805),MONTH(A1805),1))</f>
      </c>
      <c r="C1805" s="11"/>
      <c r="D1805" s="11"/>
      <c r="E1805" s="16">
        <f>IF(OR(D1805="",C1805&lt;&gt;"Chi"),"",IFERROR(INDEX('Danh mục'!$B$39:$B$78,MATCH(D1805,'Danh mục'!$A$39:$A$78,0))&amp;"","?"))</f>
      </c>
      <c r="F1805" s="16">
        <f>IF(D1805="","",IF(C1805="Thu",IFERROR(INDEX('Danh mục'!$B$26:$B$35,MATCH(D1805,'Danh mục'!$A$26:$A$35,0))&amp;"","?"),IFERROR(INDEX('Danh mục'!$D$39:$D$78,MATCH(D1805,'Danh mục'!$A$39:$A$78,0))&amp;"","?")))</f>
      </c>
      <c r="G1805" s="16">
        <f>IF(OR(D1805="",C1805&lt;&gt;"Chi"),"",IFERROR(INDEX('Danh mục'!$C$39:$C$78,MATCH(D1805,'Danh mục'!$A$39:$A$78,0))&amp;"",""))</f>
      </c>
      <c r="H1805" s="11"/>
      <c r="I1805" s="20"/>
      <c r="J1805" s="11"/>
      <c r="K1805" s="11"/>
      <c r="L1805" s="11"/>
    </row>
    <row r="1806" spans="1:12" x14ac:dyDescent="0.3">
      <c r="A1806" s="31"/>
      <c r="B1806" s="32">
        <f>IF(A1806="","",DATE(YEAR(A1806),MONTH(A1806),1))</f>
      </c>
      <c r="C1806" s="11"/>
      <c r="D1806" s="11"/>
      <c r="E1806" s="16">
        <f>IF(OR(D1806="",C1806&lt;&gt;"Chi"),"",IFERROR(INDEX('Danh mục'!$B$39:$B$78,MATCH(D1806,'Danh mục'!$A$39:$A$78,0))&amp;"","?"))</f>
      </c>
      <c r="F1806" s="16">
        <f>IF(D1806="","",IF(C1806="Thu",IFERROR(INDEX('Danh mục'!$B$26:$B$35,MATCH(D1806,'Danh mục'!$A$26:$A$35,0))&amp;"","?"),IFERROR(INDEX('Danh mục'!$D$39:$D$78,MATCH(D1806,'Danh mục'!$A$39:$A$78,0))&amp;"","?")))</f>
      </c>
      <c r="G1806" s="16">
        <f>IF(OR(D1806="",C1806&lt;&gt;"Chi"),"",IFERROR(INDEX('Danh mục'!$C$39:$C$78,MATCH(D1806,'Danh mục'!$A$39:$A$78,0))&amp;"",""))</f>
      </c>
      <c r="H1806" s="11"/>
      <c r="I1806" s="20"/>
      <c r="J1806" s="11"/>
      <c r="K1806" s="11"/>
      <c r="L1806" s="11"/>
    </row>
    <row r="1807" spans="1:12" x14ac:dyDescent="0.3">
      <c r="A1807" s="31"/>
      <c r="B1807" s="32">
        <f>IF(A1807="","",DATE(YEAR(A1807),MONTH(A1807),1))</f>
      </c>
      <c r="C1807" s="11"/>
      <c r="D1807" s="11"/>
      <c r="E1807" s="16">
        <f>IF(OR(D1807="",C1807&lt;&gt;"Chi"),"",IFERROR(INDEX('Danh mục'!$B$39:$B$78,MATCH(D1807,'Danh mục'!$A$39:$A$78,0))&amp;"","?"))</f>
      </c>
      <c r="F1807" s="16">
        <f>IF(D1807="","",IF(C1807="Thu",IFERROR(INDEX('Danh mục'!$B$26:$B$35,MATCH(D1807,'Danh mục'!$A$26:$A$35,0))&amp;"","?"),IFERROR(INDEX('Danh mục'!$D$39:$D$78,MATCH(D1807,'Danh mục'!$A$39:$A$78,0))&amp;"","?")))</f>
      </c>
      <c r="G1807" s="16">
        <f>IF(OR(D1807="",C1807&lt;&gt;"Chi"),"",IFERROR(INDEX('Danh mục'!$C$39:$C$78,MATCH(D1807,'Danh mục'!$A$39:$A$78,0))&amp;"",""))</f>
      </c>
      <c r="H1807" s="11"/>
      <c r="I1807" s="20"/>
      <c r="J1807" s="11"/>
      <c r="K1807" s="11"/>
      <c r="L1807" s="11"/>
    </row>
    <row r="1808" spans="1:12" x14ac:dyDescent="0.3">
      <c r="A1808" s="31"/>
      <c r="B1808" s="32">
        <f>IF(A1808="","",DATE(YEAR(A1808),MONTH(A1808),1))</f>
      </c>
      <c r="C1808" s="11"/>
      <c r="D1808" s="11"/>
      <c r="E1808" s="16">
        <f>IF(OR(D1808="",C1808&lt;&gt;"Chi"),"",IFERROR(INDEX('Danh mục'!$B$39:$B$78,MATCH(D1808,'Danh mục'!$A$39:$A$78,0))&amp;"","?"))</f>
      </c>
      <c r="F1808" s="16">
        <f>IF(D1808="","",IF(C1808="Thu",IFERROR(INDEX('Danh mục'!$B$26:$B$35,MATCH(D1808,'Danh mục'!$A$26:$A$35,0))&amp;"","?"),IFERROR(INDEX('Danh mục'!$D$39:$D$78,MATCH(D1808,'Danh mục'!$A$39:$A$78,0))&amp;"","?")))</f>
      </c>
      <c r="G1808" s="16">
        <f>IF(OR(D1808="",C1808&lt;&gt;"Chi"),"",IFERROR(INDEX('Danh mục'!$C$39:$C$78,MATCH(D1808,'Danh mục'!$A$39:$A$78,0))&amp;"",""))</f>
      </c>
      <c r="H1808" s="11"/>
      <c r="I1808" s="20"/>
      <c r="J1808" s="11"/>
      <c r="K1808" s="11"/>
      <c r="L1808" s="11"/>
    </row>
    <row r="1809" spans="1:12" x14ac:dyDescent="0.3">
      <c r="A1809" s="31"/>
      <c r="B1809" s="32">
        <f>IF(A1809="","",DATE(YEAR(A1809),MONTH(A1809),1))</f>
      </c>
      <c r="C1809" s="11"/>
      <c r="D1809" s="11"/>
      <c r="E1809" s="16">
        <f>IF(OR(D1809="",C1809&lt;&gt;"Chi"),"",IFERROR(INDEX('Danh mục'!$B$39:$B$78,MATCH(D1809,'Danh mục'!$A$39:$A$78,0))&amp;"","?"))</f>
      </c>
      <c r="F1809" s="16">
        <f>IF(D1809="","",IF(C1809="Thu",IFERROR(INDEX('Danh mục'!$B$26:$B$35,MATCH(D1809,'Danh mục'!$A$26:$A$35,0))&amp;"","?"),IFERROR(INDEX('Danh mục'!$D$39:$D$78,MATCH(D1809,'Danh mục'!$A$39:$A$78,0))&amp;"","?")))</f>
      </c>
      <c r="G1809" s="16">
        <f>IF(OR(D1809="",C1809&lt;&gt;"Chi"),"",IFERROR(INDEX('Danh mục'!$C$39:$C$78,MATCH(D1809,'Danh mục'!$A$39:$A$78,0))&amp;"",""))</f>
      </c>
      <c r="H1809" s="11"/>
      <c r="I1809" s="20"/>
      <c r="J1809" s="11"/>
      <c r="K1809" s="11"/>
      <c r="L1809" s="11"/>
    </row>
    <row r="1810" spans="1:12" x14ac:dyDescent="0.3">
      <c r="A1810" s="31"/>
      <c r="B1810" s="32">
        <f>IF(A1810="","",DATE(YEAR(A1810),MONTH(A1810),1))</f>
      </c>
      <c r="C1810" s="11"/>
      <c r="D1810" s="11"/>
      <c r="E1810" s="16">
        <f>IF(OR(D1810="",C1810&lt;&gt;"Chi"),"",IFERROR(INDEX('Danh mục'!$B$39:$B$78,MATCH(D1810,'Danh mục'!$A$39:$A$78,0))&amp;"","?"))</f>
      </c>
      <c r="F1810" s="16">
        <f>IF(D1810="","",IF(C1810="Thu",IFERROR(INDEX('Danh mục'!$B$26:$B$35,MATCH(D1810,'Danh mục'!$A$26:$A$35,0))&amp;"","?"),IFERROR(INDEX('Danh mục'!$D$39:$D$78,MATCH(D1810,'Danh mục'!$A$39:$A$78,0))&amp;"","?")))</f>
      </c>
      <c r="G1810" s="16">
        <f>IF(OR(D1810="",C1810&lt;&gt;"Chi"),"",IFERROR(INDEX('Danh mục'!$C$39:$C$78,MATCH(D1810,'Danh mục'!$A$39:$A$78,0))&amp;"",""))</f>
      </c>
      <c r="H1810" s="11"/>
      <c r="I1810" s="20"/>
      <c r="J1810" s="11"/>
      <c r="K1810" s="11"/>
      <c r="L1810" s="11"/>
    </row>
    <row r="1811" spans="1:12" x14ac:dyDescent="0.3">
      <c r="A1811" s="31"/>
      <c r="B1811" s="32">
        <f>IF(A1811="","",DATE(YEAR(A1811),MONTH(A1811),1))</f>
      </c>
      <c r="C1811" s="11"/>
      <c r="D1811" s="11"/>
      <c r="E1811" s="16">
        <f>IF(OR(D1811="",C1811&lt;&gt;"Chi"),"",IFERROR(INDEX('Danh mục'!$B$39:$B$78,MATCH(D1811,'Danh mục'!$A$39:$A$78,0))&amp;"","?"))</f>
      </c>
      <c r="F1811" s="16">
        <f>IF(D1811="","",IF(C1811="Thu",IFERROR(INDEX('Danh mục'!$B$26:$B$35,MATCH(D1811,'Danh mục'!$A$26:$A$35,0))&amp;"","?"),IFERROR(INDEX('Danh mục'!$D$39:$D$78,MATCH(D1811,'Danh mục'!$A$39:$A$78,0))&amp;"","?")))</f>
      </c>
      <c r="G1811" s="16">
        <f>IF(OR(D1811="",C1811&lt;&gt;"Chi"),"",IFERROR(INDEX('Danh mục'!$C$39:$C$78,MATCH(D1811,'Danh mục'!$A$39:$A$78,0))&amp;"",""))</f>
      </c>
      <c r="H1811" s="11"/>
      <c r="I1811" s="20"/>
      <c r="J1811" s="11"/>
      <c r="K1811" s="11"/>
      <c r="L1811" s="11"/>
    </row>
    <row r="1812" spans="1:12" x14ac:dyDescent="0.3">
      <c r="A1812" s="31"/>
      <c r="B1812" s="32">
        <f>IF(A1812="","",DATE(YEAR(A1812),MONTH(A1812),1))</f>
      </c>
      <c r="C1812" s="11"/>
      <c r="D1812" s="11"/>
      <c r="E1812" s="16">
        <f>IF(OR(D1812="",C1812&lt;&gt;"Chi"),"",IFERROR(INDEX('Danh mục'!$B$39:$B$78,MATCH(D1812,'Danh mục'!$A$39:$A$78,0))&amp;"","?"))</f>
      </c>
      <c r="F1812" s="16">
        <f>IF(D1812="","",IF(C1812="Thu",IFERROR(INDEX('Danh mục'!$B$26:$B$35,MATCH(D1812,'Danh mục'!$A$26:$A$35,0))&amp;"","?"),IFERROR(INDEX('Danh mục'!$D$39:$D$78,MATCH(D1812,'Danh mục'!$A$39:$A$78,0))&amp;"","?")))</f>
      </c>
      <c r="G1812" s="16">
        <f>IF(OR(D1812="",C1812&lt;&gt;"Chi"),"",IFERROR(INDEX('Danh mục'!$C$39:$C$78,MATCH(D1812,'Danh mục'!$A$39:$A$78,0))&amp;"",""))</f>
      </c>
      <c r="H1812" s="11"/>
      <c r="I1812" s="20"/>
      <c r="J1812" s="11"/>
      <c r="K1812" s="11"/>
      <c r="L1812" s="11"/>
    </row>
    <row r="1813" spans="1:12" x14ac:dyDescent="0.3">
      <c r="A1813" s="31"/>
      <c r="B1813" s="32">
        <f>IF(A1813="","",DATE(YEAR(A1813),MONTH(A1813),1))</f>
      </c>
      <c r="C1813" s="11"/>
      <c r="D1813" s="11"/>
      <c r="E1813" s="16">
        <f>IF(OR(D1813="",C1813&lt;&gt;"Chi"),"",IFERROR(INDEX('Danh mục'!$B$39:$B$78,MATCH(D1813,'Danh mục'!$A$39:$A$78,0))&amp;"","?"))</f>
      </c>
      <c r="F1813" s="16">
        <f>IF(D1813="","",IF(C1813="Thu",IFERROR(INDEX('Danh mục'!$B$26:$B$35,MATCH(D1813,'Danh mục'!$A$26:$A$35,0))&amp;"","?"),IFERROR(INDEX('Danh mục'!$D$39:$D$78,MATCH(D1813,'Danh mục'!$A$39:$A$78,0))&amp;"","?")))</f>
      </c>
      <c r="G1813" s="16">
        <f>IF(OR(D1813="",C1813&lt;&gt;"Chi"),"",IFERROR(INDEX('Danh mục'!$C$39:$C$78,MATCH(D1813,'Danh mục'!$A$39:$A$78,0))&amp;"",""))</f>
      </c>
      <c r="H1813" s="11"/>
      <c r="I1813" s="20"/>
      <c r="J1813" s="11"/>
      <c r="K1813" s="11"/>
      <c r="L1813" s="11"/>
    </row>
    <row r="1814" spans="1:12" x14ac:dyDescent="0.3">
      <c r="A1814" s="31"/>
      <c r="B1814" s="32">
        <f>IF(A1814="","",DATE(YEAR(A1814),MONTH(A1814),1))</f>
      </c>
      <c r="C1814" s="11"/>
      <c r="D1814" s="11"/>
      <c r="E1814" s="16">
        <f>IF(OR(D1814="",C1814&lt;&gt;"Chi"),"",IFERROR(INDEX('Danh mục'!$B$39:$B$78,MATCH(D1814,'Danh mục'!$A$39:$A$78,0))&amp;"","?"))</f>
      </c>
      <c r="F1814" s="16">
        <f>IF(D1814="","",IF(C1814="Thu",IFERROR(INDEX('Danh mục'!$B$26:$B$35,MATCH(D1814,'Danh mục'!$A$26:$A$35,0))&amp;"","?"),IFERROR(INDEX('Danh mục'!$D$39:$D$78,MATCH(D1814,'Danh mục'!$A$39:$A$78,0))&amp;"","?")))</f>
      </c>
      <c r="G1814" s="16">
        <f>IF(OR(D1814="",C1814&lt;&gt;"Chi"),"",IFERROR(INDEX('Danh mục'!$C$39:$C$78,MATCH(D1814,'Danh mục'!$A$39:$A$78,0))&amp;"",""))</f>
      </c>
      <c r="H1814" s="11"/>
      <c r="I1814" s="20"/>
      <c r="J1814" s="11"/>
      <c r="K1814" s="11"/>
      <c r="L1814" s="11"/>
    </row>
    <row r="1815" spans="1:12" x14ac:dyDescent="0.3">
      <c r="A1815" s="31"/>
      <c r="B1815" s="32">
        <f>IF(A1815="","",DATE(YEAR(A1815),MONTH(A1815),1))</f>
      </c>
      <c r="C1815" s="11"/>
      <c r="D1815" s="11"/>
      <c r="E1815" s="16">
        <f>IF(OR(D1815="",C1815&lt;&gt;"Chi"),"",IFERROR(INDEX('Danh mục'!$B$39:$B$78,MATCH(D1815,'Danh mục'!$A$39:$A$78,0))&amp;"","?"))</f>
      </c>
      <c r="F1815" s="16">
        <f>IF(D1815="","",IF(C1815="Thu",IFERROR(INDEX('Danh mục'!$B$26:$B$35,MATCH(D1815,'Danh mục'!$A$26:$A$35,0))&amp;"","?"),IFERROR(INDEX('Danh mục'!$D$39:$D$78,MATCH(D1815,'Danh mục'!$A$39:$A$78,0))&amp;"","?")))</f>
      </c>
      <c r="G1815" s="16">
        <f>IF(OR(D1815="",C1815&lt;&gt;"Chi"),"",IFERROR(INDEX('Danh mục'!$C$39:$C$78,MATCH(D1815,'Danh mục'!$A$39:$A$78,0))&amp;"",""))</f>
      </c>
      <c r="H1815" s="11"/>
      <c r="I1815" s="20"/>
      <c r="J1815" s="11"/>
      <c r="K1815" s="11"/>
      <c r="L1815" s="11"/>
    </row>
    <row r="1816" spans="1:12" x14ac:dyDescent="0.3">
      <c r="A1816" s="31"/>
      <c r="B1816" s="32">
        <f>IF(A1816="","",DATE(YEAR(A1816),MONTH(A1816),1))</f>
      </c>
      <c r="C1816" s="11"/>
      <c r="D1816" s="11"/>
      <c r="E1816" s="16">
        <f>IF(OR(D1816="",C1816&lt;&gt;"Chi"),"",IFERROR(INDEX('Danh mục'!$B$39:$B$78,MATCH(D1816,'Danh mục'!$A$39:$A$78,0))&amp;"","?"))</f>
      </c>
      <c r="F1816" s="16">
        <f>IF(D1816="","",IF(C1816="Thu",IFERROR(INDEX('Danh mục'!$B$26:$B$35,MATCH(D1816,'Danh mục'!$A$26:$A$35,0))&amp;"","?"),IFERROR(INDEX('Danh mục'!$D$39:$D$78,MATCH(D1816,'Danh mục'!$A$39:$A$78,0))&amp;"","?")))</f>
      </c>
      <c r="G1816" s="16">
        <f>IF(OR(D1816="",C1816&lt;&gt;"Chi"),"",IFERROR(INDEX('Danh mục'!$C$39:$C$78,MATCH(D1816,'Danh mục'!$A$39:$A$78,0))&amp;"",""))</f>
      </c>
      <c r="H1816" s="11"/>
      <c r="I1816" s="20"/>
      <c r="J1816" s="11"/>
      <c r="K1816" s="11"/>
      <c r="L1816" s="11"/>
    </row>
    <row r="1817" spans="1:12" x14ac:dyDescent="0.3">
      <c r="A1817" s="31"/>
      <c r="B1817" s="32">
        <f>IF(A1817="","",DATE(YEAR(A1817),MONTH(A1817),1))</f>
      </c>
      <c r="C1817" s="11"/>
      <c r="D1817" s="11"/>
      <c r="E1817" s="16">
        <f>IF(OR(D1817="",C1817&lt;&gt;"Chi"),"",IFERROR(INDEX('Danh mục'!$B$39:$B$78,MATCH(D1817,'Danh mục'!$A$39:$A$78,0))&amp;"","?"))</f>
      </c>
      <c r="F1817" s="16">
        <f>IF(D1817="","",IF(C1817="Thu",IFERROR(INDEX('Danh mục'!$B$26:$B$35,MATCH(D1817,'Danh mục'!$A$26:$A$35,0))&amp;"","?"),IFERROR(INDEX('Danh mục'!$D$39:$D$78,MATCH(D1817,'Danh mục'!$A$39:$A$78,0))&amp;"","?")))</f>
      </c>
      <c r="G1817" s="16">
        <f>IF(OR(D1817="",C1817&lt;&gt;"Chi"),"",IFERROR(INDEX('Danh mục'!$C$39:$C$78,MATCH(D1817,'Danh mục'!$A$39:$A$78,0))&amp;"",""))</f>
      </c>
      <c r="H1817" s="11"/>
      <c r="I1817" s="20"/>
      <c r="J1817" s="11"/>
      <c r="K1817" s="11"/>
      <c r="L1817" s="11"/>
    </row>
    <row r="1818" spans="1:12" x14ac:dyDescent="0.3">
      <c r="A1818" s="31"/>
      <c r="B1818" s="32">
        <f>IF(A1818="","",DATE(YEAR(A1818),MONTH(A1818),1))</f>
      </c>
      <c r="C1818" s="11"/>
      <c r="D1818" s="11"/>
      <c r="E1818" s="16">
        <f>IF(OR(D1818="",C1818&lt;&gt;"Chi"),"",IFERROR(INDEX('Danh mục'!$B$39:$B$78,MATCH(D1818,'Danh mục'!$A$39:$A$78,0))&amp;"","?"))</f>
      </c>
      <c r="F1818" s="16">
        <f>IF(D1818="","",IF(C1818="Thu",IFERROR(INDEX('Danh mục'!$B$26:$B$35,MATCH(D1818,'Danh mục'!$A$26:$A$35,0))&amp;"","?"),IFERROR(INDEX('Danh mục'!$D$39:$D$78,MATCH(D1818,'Danh mục'!$A$39:$A$78,0))&amp;"","?")))</f>
      </c>
      <c r="G1818" s="16">
        <f>IF(OR(D1818="",C1818&lt;&gt;"Chi"),"",IFERROR(INDEX('Danh mục'!$C$39:$C$78,MATCH(D1818,'Danh mục'!$A$39:$A$78,0))&amp;"",""))</f>
      </c>
      <c r="H1818" s="11"/>
      <c r="I1818" s="20"/>
      <c r="J1818" s="11"/>
      <c r="K1818" s="11"/>
      <c r="L1818" s="11"/>
    </row>
    <row r="1819" spans="1:12" x14ac:dyDescent="0.3">
      <c r="A1819" s="31"/>
      <c r="B1819" s="32">
        <f>IF(A1819="","",DATE(YEAR(A1819),MONTH(A1819),1))</f>
      </c>
      <c r="C1819" s="11"/>
      <c r="D1819" s="11"/>
      <c r="E1819" s="16">
        <f>IF(OR(D1819="",C1819&lt;&gt;"Chi"),"",IFERROR(INDEX('Danh mục'!$B$39:$B$78,MATCH(D1819,'Danh mục'!$A$39:$A$78,0))&amp;"","?"))</f>
      </c>
      <c r="F1819" s="16">
        <f>IF(D1819="","",IF(C1819="Thu",IFERROR(INDEX('Danh mục'!$B$26:$B$35,MATCH(D1819,'Danh mục'!$A$26:$A$35,0))&amp;"","?"),IFERROR(INDEX('Danh mục'!$D$39:$D$78,MATCH(D1819,'Danh mục'!$A$39:$A$78,0))&amp;"","?")))</f>
      </c>
      <c r="G1819" s="16">
        <f>IF(OR(D1819="",C1819&lt;&gt;"Chi"),"",IFERROR(INDEX('Danh mục'!$C$39:$C$78,MATCH(D1819,'Danh mục'!$A$39:$A$78,0))&amp;"",""))</f>
      </c>
      <c r="H1819" s="11"/>
      <c r="I1819" s="20"/>
      <c r="J1819" s="11"/>
      <c r="K1819" s="11"/>
      <c r="L1819" s="11"/>
    </row>
    <row r="1820" spans="1:12" x14ac:dyDescent="0.3">
      <c r="A1820" s="31"/>
      <c r="B1820" s="32">
        <f>IF(A1820="","",DATE(YEAR(A1820),MONTH(A1820),1))</f>
      </c>
      <c r="C1820" s="11"/>
      <c r="D1820" s="11"/>
      <c r="E1820" s="16">
        <f>IF(OR(D1820="",C1820&lt;&gt;"Chi"),"",IFERROR(INDEX('Danh mục'!$B$39:$B$78,MATCH(D1820,'Danh mục'!$A$39:$A$78,0))&amp;"","?"))</f>
      </c>
      <c r="F1820" s="16">
        <f>IF(D1820="","",IF(C1820="Thu",IFERROR(INDEX('Danh mục'!$B$26:$B$35,MATCH(D1820,'Danh mục'!$A$26:$A$35,0))&amp;"","?"),IFERROR(INDEX('Danh mục'!$D$39:$D$78,MATCH(D1820,'Danh mục'!$A$39:$A$78,0))&amp;"","?")))</f>
      </c>
      <c r="G1820" s="16">
        <f>IF(OR(D1820="",C1820&lt;&gt;"Chi"),"",IFERROR(INDEX('Danh mục'!$C$39:$C$78,MATCH(D1820,'Danh mục'!$A$39:$A$78,0))&amp;"",""))</f>
      </c>
      <c r="H1820" s="11"/>
      <c r="I1820" s="20"/>
      <c r="J1820" s="11"/>
      <c r="K1820" s="11"/>
      <c r="L1820" s="11"/>
    </row>
    <row r="1821" spans="1:12" x14ac:dyDescent="0.3">
      <c r="A1821" s="31"/>
      <c r="B1821" s="32">
        <f>IF(A1821="","",DATE(YEAR(A1821),MONTH(A1821),1))</f>
      </c>
      <c r="C1821" s="11"/>
      <c r="D1821" s="11"/>
      <c r="E1821" s="16">
        <f>IF(OR(D1821="",C1821&lt;&gt;"Chi"),"",IFERROR(INDEX('Danh mục'!$B$39:$B$78,MATCH(D1821,'Danh mục'!$A$39:$A$78,0))&amp;"","?"))</f>
      </c>
      <c r="F1821" s="16">
        <f>IF(D1821="","",IF(C1821="Thu",IFERROR(INDEX('Danh mục'!$B$26:$B$35,MATCH(D1821,'Danh mục'!$A$26:$A$35,0))&amp;"","?"),IFERROR(INDEX('Danh mục'!$D$39:$D$78,MATCH(D1821,'Danh mục'!$A$39:$A$78,0))&amp;"","?")))</f>
      </c>
      <c r="G1821" s="16">
        <f>IF(OR(D1821="",C1821&lt;&gt;"Chi"),"",IFERROR(INDEX('Danh mục'!$C$39:$C$78,MATCH(D1821,'Danh mục'!$A$39:$A$78,0))&amp;"",""))</f>
      </c>
      <c r="H1821" s="11"/>
      <c r="I1821" s="20"/>
      <c r="J1821" s="11"/>
      <c r="K1821" s="11"/>
      <c r="L1821" s="11"/>
    </row>
    <row r="1822" spans="1:12" x14ac:dyDescent="0.3">
      <c r="A1822" s="31"/>
      <c r="B1822" s="32">
        <f>IF(A1822="","",DATE(YEAR(A1822),MONTH(A1822),1))</f>
      </c>
      <c r="C1822" s="11"/>
      <c r="D1822" s="11"/>
      <c r="E1822" s="16">
        <f>IF(OR(D1822="",C1822&lt;&gt;"Chi"),"",IFERROR(INDEX('Danh mục'!$B$39:$B$78,MATCH(D1822,'Danh mục'!$A$39:$A$78,0))&amp;"","?"))</f>
      </c>
      <c r="F1822" s="16">
        <f>IF(D1822="","",IF(C1822="Thu",IFERROR(INDEX('Danh mục'!$B$26:$B$35,MATCH(D1822,'Danh mục'!$A$26:$A$35,0))&amp;"","?"),IFERROR(INDEX('Danh mục'!$D$39:$D$78,MATCH(D1822,'Danh mục'!$A$39:$A$78,0))&amp;"","?")))</f>
      </c>
      <c r="G1822" s="16">
        <f>IF(OR(D1822="",C1822&lt;&gt;"Chi"),"",IFERROR(INDEX('Danh mục'!$C$39:$C$78,MATCH(D1822,'Danh mục'!$A$39:$A$78,0))&amp;"",""))</f>
      </c>
      <c r="H1822" s="11"/>
      <c r="I1822" s="20"/>
      <c r="J1822" s="11"/>
      <c r="K1822" s="11"/>
      <c r="L1822" s="11"/>
    </row>
    <row r="1823" spans="1:12" x14ac:dyDescent="0.3">
      <c r="A1823" s="31"/>
      <c r="B1823" s="32">
        <f>IF(A1823="","",DATE(YEAR(A1823),MONTH(A1823),1))</f>
      </c>
      <c r="C1823" s="11"/>
      <c r="D1823" s="11"/>
      <c r="E1823" s="16">
        <f>IF(OR(D1823="",C1823&lt;&gt;"Chi"),"",IFERROR(INDEX('Danh mục'!$B$39:$B$78,MATCH(D1823,'Danh mục'!$A$39:$A$78,0))&amp;"","?"))</f>
      </c>
      <c r="F1823" s="16">
        <f>IF(D1823="","",IF(C1823="Thu",IFERROR(INDEX('Danh mục'!$B$26:$B$35,MATCH(D1823,'Danh mục'!$A$26:$A$35,0))&amp;"","?"),IFERROR(INDEX('Danh mục'!$D$39:$D$78,MATCH(D1823,'Danh mục'!$A$39:$A$78,0))&amp;"","?")))</f>
      </c>
      <c r="G1823" s="16">
        <f>IF(OR(D1823="",C1823&lt;&gt;"Chi"),"",IFERROR(INDEX('Danh mục'!$C$39:$C$78,MATCH(D1823,'Danh mục'!$A$39:$A$78,0))&amp;"",""))</f>
      </c>
      <c r="H1823" s="11"/>
      <c r="I1823" s="20"/>
      <c r="J1823" s="11"/>
      <c r="K1823" s="11"/>
      <c r="L1823" s="11"/>
    </row>
    <row r="1824" spans="1:12" x14ac:dyDescent="0.3">
      <c r="A1824" s="31"/>
      <c r="B1824" s="32">
        <f>IF(A1824="","",DATE(YEAR(A1824),MONTH(A1824),1))</f>
      </c>
      <c r="C1824" s="11"/>
      <c r="D1824" s="11"/>
      <c r="E1824" s="16">
        <f>IF(OR(D1824="",C1824&lt;&gt;"Chi"),"",IFERROR(INDEX('Danh mục'!$B$39:$B$78,MATCH(D1824,'Danh mục'!$A$39:$A$78,0))&amp;"","?"))</f>
      </c>
      <c r="F1824" s="16">
        <f>IF(D1824="","",IF(C1824="Thu",IFERROR(INDEX('Danh mục'!$B$26:$B$35,MATCH(D1824,'Danh mục'!$A$26:$A$35,0))&amp;"","?"),IFERROR(INDEX('Danh mục'!$D$39:$D$78,MATCH(D1824,'Danh mục'!$A$39:$A$78,0))&amp;"","?")))</f>
      </c>
      <c r="G1824" s="16">
        <f>IF(OR(D1824="",C1824&lt;&gt;"Chi"),"",IFERROR(INDEX('Danh mục'!$C$39:$C$78,MATCH(D1824,'Danh mục'!$A$39:$A$78,0))&amp;"",""))</f>
      </c>
      <c r="H1824" s="11"/>
      <c r="I1824" s="20"/>
      <c r="J1824" s="11"/>
      <c r="K1824" s="11"/>
      <c r="L1824" s="11"/>
    </row>
    <row r="1825" spans="1:12" x14ac:dyDescent="0.3">
      <c r="A1825" s="31"/>
      <c r="B1825" s="32">
        <f>IF(A1825="","",DATE(YEAR(A1825),MONTH(A1825),1))</f>
      </c>
      <c r="C1825" s="11"/>
      <c r="D1825" s="11"/>
      <c r="E1825" s="16">
        <f>IF(OR(D1825="",C1825&lt;&gt;"Chi"),"",IFERROR(INDEX('Danh mục'!$B$39:$B$78,MATCH(D1825,'Danh mục'!$A$39:$A$78,0))&amp;"","?"))</f>
      </c>
      <c r="F1825" s="16">
        <f>IF(D1825="","",IF(C1825="Thu",IFERROR(INDEX('Danh mục'!$B$26:$B$35,MATCH(D1825,'Danh mục'!$A$26:$A$35,0))&amp;"","?"),IFERROR(INDEX('Danh mục'!$D$39:$D$78,MATCH(D1825,'Danh mục'!$A$39:$A$78,0))&amp;"","?")))</f>
      </c>
      <c r="G1825" s="16">
        <f>IF(OR(D1825="",C1825&lt;&gt;"Chi"),"",IFERROR(INDEX('Danh mục'!$C$39:$C$78,MATCH(D1825,'Danh mục'!$A$39:$A$78,0))&amp;"",""))</f>
      </c>
      <c r="H1825" s="11"/>
      <c r="I1825" s="20"/>
      <c r="J1825" s="11"/>
      <c r="K1825" s="11"/>
      <c r="L1825" s="11"/>
    </row>
    <row r="1826" spans="1:12" x14ac:dyDescent="0.3">
      <c r="A1826" s="31"/>
      <c r="B1826" s="32">
        <f>IF(A1826="","",DATE(YEAR(A1826),MONTH(A1826),1))</f>
      </c>
      <c r="C1826" s="11"/>
      <c r="D1826" s="11"/>
      <c r="E1826" s="16">
        <f>IF(OR(D1826="",C1826&lt;&gt;"Chi"),"",IFERROR(INDEX('Danh mục'!$B$39:$B$78,MATCH(D1826,'Danh mục'!$A$39:$A$78,0))&amp;"","?"))</f>
      </c>
      <c r="F1826" s="16">
        <f>IF(D1826="","",IF(C1826="Thu",IFERROR(INDEX('Danh mục'!$B$26:$B$35,MATCH(D1826,'Danh mục'!$A$26:$A$35,0))&amp;"","?"),IFERROR(INDEX('Danh mục'!$D$39:$D$78,MATCH(D1826,'Danh mục'!$A$39:$A$78,0))&amp;"","?")))</f>
      </c>
      <c r="G1826" s="16">
        <f>IF(OR(D1826="",C1826&lt;&gt;"Chi"),"",IFERROR(INDEX('Danh mục'!$C$39:$C$78,MATCH(D1826,'Danh mục'!$A$39:$A$78,0))&amp;"",""))</f>
      </c>
      <c r="H1826" s="11"/>
      <c r="I1826" s="20"/>
      <c r="J1826" s="11"/>
      <c r="K1826" s="11"/>
      <c r="L1826" s="11"/>
    </row>
    <row r="1827" spans="1:12" x14ac:dyDescent="0.3">
      <c r="A1827" s="31"/>
      <c r="B1827" s="32">
        <f>IF(A1827="","",DATE(YEAR(A1827),MONTH(A1827),1))</f>
      </c>
      <c r="C1827" s="11"/>
      <c r="D1827" s="11"/>
      <c r="E1827" s="16">
        <f>IF(OR(D1827="",C1827&lt;&gt;"Chi"),"",IFERROR(INDEX('Danh mục'!$B$39:$B$78,MATCH(D1827,'Danh mục'!$A$39:$A$78,0))&amp;"","?"))</f>
      </c>
      <c r="F1827" s="16">
        <f>IF(D1827="","",IF(C1827="Thu",IFERROR(INDEX('Danh mục'!$B$26:$B$35,MATCH(D1827,'Danh mục'!$A$26:$A$35,0))&amp;"","?"),IFERROR(INDEX('Danh mục'!$D$39:$D$78,MATCH(D1827,'Danh mục'!$A$39:$A$78,0))&amp;"","?")))</f>
      </c>
      <c r="G1827" s="16">
        <f>IF(OR(D1827="",C1827&lt;&gt;"Chi"),"",IFERROR(INDEX('Danh mục'!$C$39:$C$78,MATCH(D1827,'Danh mục'!$A$39:$A$78,0))&amp;"",""))</f>
      </c>
      <c r="H1827" s="11"/>
      <c r="I1827" s="20"/>
      <c r="J1827" s="11"/>
      <c r="K1827" s="11"/>
      <c r="L1827" s="11"/>
    </row>
    <row r="1828" spans="1:12" x14ac:dyDescent="0.3">
      <c r="A1828" s="31"/>
      <c r="B1828" s="32">
        <f>IF(A1828="","",DATE(YEAR(A1828),MONTH(A1828),1))</f>
      </c>
      <c r="C1828" s="11"/>
      <c r="D1828" s="11"/>
      <c r="E1828" s="16">
        <f>IF(OR(D1828="",C1828&lt;&gt;"Chi"),"",IFERROR(INDEX('Danh mục'!$B$39:$B$78,MATCH(D1828,'Danh mục'!$A$39:$A$78,0))&amp;"","?"))</f>
      </c>
      <c r="F1828" s="16">
        <f>IF(D1828="","",IF(C1828="Thu",IFERROR(INDEX('Danh mục'!$B$26:$B$35,MATCH(D1828,'Danh mục'!$A$26:$A$35,0))&amp;"","?"),IFERROR(INDEX('Danh mục'!$D$39:$D$78,MATCH(D1828,'Danh mục'!$A$39:$A$78,0))&amp;"","?")))</f>
      </c>
      <c r="G1828" s="16">
        <f>IF(OR(D1828="",C1828&lt;&gt;"Chi"),"",IFERROR(INDEX('Danh mục'!$C$39:$C$78,MATCH(D1828,'Danh mục'!$A$39:$A$78,0))&amp;"",""))</f>
      </c>
      <c r="H1828" s="11"/>
      <c r="I1828" s="20"/>
      <c r="J1828" s="11"/>
      <c r="K1828" s="11"/>
      <c r="L1828" s="11"/>
    </row>
    <row r="1829" spans="1:12" x14ac:dyDescent="0.3">
      <c r="A1829" s="31"/>
      <c r="B1829" s="32">
        <f>IF(A1829="","",DATE(YEAR(A1829),MONTH(A1829),1))</f>
      </c>
      <c r="C1829" s="11"/>
      <c r="D1829" s="11"/>
      <c r="E1829" s="16">
        <f>IF(OR(D1829="",C1829&lt;&gt;"Chi"),"",IFERROR(INDEX('Danh mục'!$B$39:$B$78,MATCH(D1829,'Danh mục'!$A$39:$A$78,0))&amp;"","?"))</f>
      </c>
      <c r="F1829" s="16">
        <f>IF(D1829="","",IF(C1829="Thu",IFERROR(INDEX('Danh mục'!$B$26:$B$35,MATCH(D1829,'Danh mục'!$A$26:$A$35,0))&amp;"","?"),IFERROR(INDEX('Danh mục'!$D$39:$D$78,MATCH(D1829,'Danh mục'!$A$39:$A$78,0))&amp;"","?")))</f>
      </c>
      <c r="G1829" s="16">
        <f>IF(OR(D1829="",C1829&lt;&gt;"Chi"),"",IFERROR(INDEX('Danh mục'!$C$39:$C$78,MATCH(D1829,'Danh mục'!$A$39:$A$78,0))&amp;"",""))</f>
      </c>
      <c r="H1829" s="11"/>
      <c r="I1829" s="20"/>
      <c r="J1829" s="11"/>
      <c r="K1829" s="11"/>
      <c r="L1829" s="11"/>
    </row>
    <row r="1830" spans="1:12" x14ac:dyDescent="0.3">
      <c r="A1830" s="31"/>
      <c r="B1830" s="32">
        <f>IF(A1830="","",DATE(YEAR(A1830),MONTH(A1830),1))</f>
      </c>
      <c r="C1830" s="11"/>
      <c r="D1830" s="11"/>
      <c r="E1830" s="16">
        <f>IF(OR(D1830="",C1830&lt;&gt;"Chi"),"",IFERROR(INDEX('Danh mục'!$B$39:$B$78,MATCH(D1830,'Danh mục'!$A$39:$A$78,0))&amp;"","?"))</f>
      </c>
      <c r="F1830" s="16">
        <f>IF(D1830="","",IF(C1830="Thu",IFERROR(INDEX('Danh mục'!$B$26:$B$35,MATCH(D1830,'Danh mục'!$A$26:$A$35,0))&amp;"","?"),IFERROR(INDEX('Danh mục'!$D$39:$D$78,MATCH(D1830,'Danh mục'!$A$39:$A$78,0))&amp;"","?")))</f>
      </c>
      <c r="G1830" s="16">
        <f>IF(OR(D1830="",C1830&lt;&gt;"Chi"),"",IFERROR(INDEX('Danh mục'!$C$39:$C$78,MATCH(D1830,'Danh mục'!$A$39:$A$78,0))&amp;"",""))</f>
      </c>
      <c r="H1830" s="11"/>
      <c r="I1830" s="20"/>
      <c r="J1830" s="11"/>
      <c r="K1830" s="11"/>
      <c r="L1830" s="11"/>
    </row>
    <row r="1831" spans="1:12" x14ac:dyDescent="0.3">
      <c r="A1831" s="31"/>
      <c r="B1831" s="32">
        <f>IF(A1831="","",DATE(YEAR(A1831),MONTH(A1831),1))</f>
      </c>
      <c r="C1831" s="11"/>
      <c r="D1831" s="11"/>
      <c r="E1831" s="16">
        <f>IF(OR(D1831="",C1831&lt;&gt;"Chi"),"",IFERROR(INDEX('Danh mục'!$B$39:$B$78,MATCH(D1831,'Danh mục'!$A$39:$A$78,0))&amp;"","?"))</f>
      </c>
      <c r="F1831" s="16">
        <f>IF(D1831="","",IF(C1831="Thu",IFERROR(INDEX('Danh mục'!$B$26:$B$35,MATCH(D1831,'Danh mục'!$A$26:$A$35,0))&amp;"","?"),IFERROR(INDEX('Danh mục'!$D$39:$D$78,MATCH(D1831,'Danh mục'!$A$39:$A$78,0))&amp;"","?")))</f>
      </c>
      <c r="G1831" s="16">
        <f>IF(OR(D1831="",C1831&lt;&gt;"Chi"),"",IFERROR(INDEX('Danh mục'!$C$39:$C$78,MATCH(D1831,'Danh mục'!$A$39:$A$78,0))&amp;"",""))</f>
      </c>
      <c r="H1831" s="11"/>
      <c r="I1831" s="20"/>
      <c r="J1831" s="11"/>
      <c r="K1831" s="11"/>
      <c r="L1831" s="11"/>
    </row>
    <row r="1832" spans="1:12" x14ac:dyDescent="0.3">
      <c r="A1832" s="31"/>
      <c r="B1832" s="32">
        <f>IF(A1832="","",DATE(YEAR(A1832),MONTH(A1832),1))</f>
      </c>
      <c r="C1832" s="11"/>
      <c r="D1832" s="11"/>
      <c r="E1832" s="16">
        <f>IF(OR(D1832="",C1832&lt;&gt;"Chi"),"",IFERROR(INDEX('Danh mục'!$B$39:$B$78,MATCH(D1832,'Danh mục'!$A$39:$A$78,0))&amp;"","?"))</f>
      </c>
      <c r="F1832" s="16">
        <f>IF(D1832="","",IF(C1832="Thu",IFERROR(INDEX('Danh mục'!$B$26:$B$35,MATCH(D1832,'Danh mục'!$A$26:$A$35,0))&amp;"","?"),IFERROR(INDEX('Danh mục'!$D$39:$D$78,MATCH(D1832,'Danh mục'!$A$39:$A$78,0))&amp;"","?")))</f>
      </c>
      <c r="G1832" s="16">
        <f>IF(OR(D1832="",C1832&lt;&gt;"Chi"),"",IFERROR(INDEX('Danh mục'!$C$39:$C$78,MATCH(D1832,'Danh mục'!$A$39:$A$78,0))&amp;"",""))</f>
      </c>
      <c r="H1832" s="11"/>
      <c r="I1832" s="20"/>
      <c r="J1832" s="11"/>
      <c r="K1832" s="11"/>
      <c r="L1832" s="11"/>
    </row>
    <row r="1833" spans="1:12" x14ac:dyDescent="0.3">
      <c r="A1833" s="31"/>
      <c r="B1833" s="32">
        <f>IF(A1833="","",DATE(YEAR(A1833),MONTH(A1833),1))</f>
      </c>
      <c r="C1833" s="11"/>
      <c r="D1833" s="11"/>
      <c r="E1833" s="16">
        <f>IF(OR(D1833="",C1833&lt;&gt;"Chi"),"",IFERROR(INDEX('Danh mục'!$B$39:$B$78,MATCH(D1833,'Danh mục'!$A$39:$A$78,0))&amp;"","?"))</f>
      </c>
      <c r="F1833" s="16">
        <f>IF(D1833="","",IF(C1833="Thu",IFERROR(INDEX('Danh mục'!$B$26:$B$35,MATCH(D1833,'Danh mục'!$A$26:$A$35,0))&amp;"","?"),IFERROR(INDEX('Danh mục'!$D$39:$D$78,MATCH(D1833,'Danh mục'!$A$39:$A$78,0))&amp;"","?")))</f>
      </c>
      <c r="G1833" s="16">
        <f>IF(OR(D1833="",C1833&lt;&gt;"Chi"),"",IFERROR(INDEX('Danh mục'!$C$39:$C$78,MATCH(D1833,'Danh mục'!$A$39:$A$78,0))&amp;"",""))</f>
      </c>
      <c r="H1833" s="11"/>
      <c r="I1833" s="20"/>
      <c r="J1833" s="11"/>
      <c r="K1833" s="11"/>
      <c r="L1833" s="11"/>
    </row>
    <row r="1834" spans="1:12" x14ac:dyDescent="0.3">
      <c r="A1834" s="31"/>
      <c r="B1834" s="32">
        <f>IF(A1834="","",DATE(YEAR(A1834),MONTH(A1834),1))</f>
      </c>
      <c r="C1834" s="11"/>
      <c r="D1834" s="11"/>
      <c r="E1834" s="16">
        <f>IF(OR(D1834="",C1834&lt;&gt;"Chi"),"",IFERROR(INDEX('Danh mục'!$B$39:$B$78,MATCH(D1834,'Danh mục'!$A$39:$A$78,0))&amp;"","?"))</f>
      </c>
      <c r="F1834" s="16">
        <f>IF(D1834="","",IF(C1834="Thu",IFERROR(INDEX('Danh mục'!$B$26:$B$35,MATCH(D1834,'Danh mục'!$A$26:$A$35,0))&amp;"","?"),IFERROR(INDEX('Danh mục'!$D$39:$D$78,MATCH(D1834,'Danh mục'!$A$39:$A$78,0))&amp;"","?")))</f>
      </c>
      <c r="G1834" s="16">
        <f>IF(OR(D1834="",C1834&lt;&gt;"Chi"),"",IFERROR(INDEX('Danh mục'!$C$39:$C$78,MATCH(D1834,'Danh mục'!$A$39:$A$78,0))&amp;"",""))</f>
      </c>
      <c r="H1834" s="11"/>
      <c r="I1834" s="20"/>
      <c r="J1834" s="11"/>
      <c r="K1834" s="11"/>
      <c r="L1834" s="11"/>
    </row>
    <row r="1835" spans="1:12" x14ac:dyDescent="0.3">
      <c r="A1835" s="31"/>
      <c r="B1835" s="32">
        <f>IF(A1835="","",DATE(YEAR(A1835),MONTH(A1835),1))</f>
      </c>
      <c r="C1835" s="11"/>
      <c r="D1835" s="11"/>
      <c r="E1835" s="16">
        <f>IF(OR(D1835="",C1835&lt;&gt;"Chi"),"",IFERROR(INDEX('Danh mục'!$B$39:$B$78,MATCH(D1835,'Danh mục'!$A$39:$A$78,0))&amp;"","?"))</f>
      </c>
      <c r="F1835" s="16">
        <f>IF(D1835="","",IF(C1835="Thu",IFERROR(INDEX('Danh mục'!$B$26:$B$35,MATCH(D1835,'Danh mục'!$A$26:$A$35,0))&amp;"","?"),IFERROR(INDEX('Danh mục'!$D$39:$D$78,MATCH(D1835,'Danh mục'!$A$39:$A$78,0))&amp;"","?")))</f>
      </c>
      <c r="G1835" s="16">
        <f>IF(OR(D1835="",C1835&lt;&gt;"Chi"),"",IFERROR(INDEX('Danh mục'!$C$39:$C$78,MATCH(D1835,'Danh mục'!$A$39:$A$78,0))&amp;"",""))</f>
      </c>
      <c r="H1835" s="11"/>
      <c r="I1835" s="20"/>
      <c r="J1835" s="11"/>
      <c r="K1835" s="11"/>
      <c r="L1835" s="11"/>
    </row>
    <row r="1836" spans="1:12" x14ac:dyDescent="0.3">
      <c r="A1836" s="31"/>
      <c r="B1836" s="32">
        <f>IF(A1836="","",DATE(YEAR(A1836),MONTH(A1836),1))</f>
      </c>
      <c r="C1836" s="11"/>
      <c r="D1836" s="11"/>
      <c r="E1836" s="16">
        <f>IF(OR(D1836="",C1836&lt;&gt;"Chi"),"",IFERROR(INDEX('Danh mục'!$B$39:$B$78,MATCH(D1836,'Danh mục'!$A$39:$A$78,0))&amp;"","?"))</f>
      </c>
      <c r="F1836" s="16">
        <f>IF(D1836="","",IF(C1836="Thu",IFERROR(INDEX('Danh mục'!$B$26:$B$35,MATCH(D1836,'Danh mục'!$A$26:$A$35,0))&amp;"","?"),IFERROR(INDEX('Danh mục'!$D$39:$D$78,MATCH(D1836,'Danh mục'!$A$39:$A$78,0))&amp;"","?")))</f>
      </c>
      <c r="G1836" s="16">
        <f>IF(OR(D1836="",C1836&lt;&gt;"Chi"),"",IFERROR(INDEX('Danh mục'!$C$39:$C$78,MATCH(D1836,'Danh mục'!$A$39:$A$78,0))&amp;"",""))</f>
      </c>
      <c r="H1836" s="11"/>
      <c r="I1836" s="20"/>
      <c r="J1836" s="11"/>
      <c r="K1836" s="11"/>
      <c r="L1836" s="11"/>
    </row>
    <row r="1837" spans="1:12" x14ac:dyDescent="0.3">
      <c r="A1837" s="31"/>
      <c r="B1837" s="32">
        <f>IF(A1837="","",DATE(YEAR(A1837),MONTH(A1837),1))</f>
      </c>
      <c r="C1837" s="11"/>
      <c r="D1837" s="11"/>
      <c r="E1837" s="16">
        <f>IF(OR(D1837="",C1837&lt;&gt;"Chi"),"",IFERROR(INDEX('Danh mục'!$B$39:$B$78,MATCH(D1837,'Danh mục'!$A$39:$A$78,0))&amp;"","?"))</f>
      </c>
      <c r="F1837" s="16">
        <f>IF(D1837="","",IF(C1837="Thu",IFERROR(INDEX('Danh mục'!$B$26:$B$35,MATCH(D1837,'Danh mục'!$A$26:$A$35,0))&amp;"","?"),IFERROR(INDEX('Danh mục'!$D$39:$D$78,MATCH(D1837,'Danh mục'!$A$39:$A$78,0))&amp;"","?")))</f>
      </c>
      <c r="G1837" s="16">
        <f>IF(OR(D1837="",C1837&lt;&gt;"Chi"),"",IFERROR(INDEX('Danh mục'!$C$39:$C$78,MATCH(D1837,'Danh mục'!$A$39:$A$78,0))&amp;"",""))</f>
      </c>
      <c r="H1837" s="11"/>
      <c r="I1837" s="20"/>
      <c r="J1837" s="11"/>
      <c r="K1837" s="11"/>
      <c r="L1837" s="11"/>
    </row>
    <row r="1838" spans="1:12" x14ac:dyDescent="0.3">
      <c r="A1838" s="31"/>
      <c r="B1838" s="32">
        <f>IF(A1838="","",DATE(YEAR(A1838),MONTH(A1838),1))</f>
      </c>
      <c r="C1838" s="11"/>
      <c r="D1838" s="11"/>
      <c r="E1838" s="16">
        <f>IF(OR(D1838="",C1838&lt;&gt;"Chi"),"",IFERROR(INDEX('Danh mục'!$B$39:$B$78,MATCH(D1838,'Danh mục'!$A$39:$A$78,0))&amp;"","?"))</f>
      </c>
      <c r="F1838" s="16">
        <f>IF(D1838="","",IF(C1838="Thu",IFERROR(INDEX('Danh mục'!$B$26:$B$35,MATCH(D1838,'Danh mục'!$A$26:$A$35,0))&amp;"","?"),IFERROR(INDEX('Danh mục'!$D$39:$D$78,MATCH(D1838,'Danh mục'!$A$39:$A$78,0))&amp;"","?")))</f>
      </c>
      <c r="G1838" s="16">
        <f>IF(OR(D1838="",C1838&lt;&gt;"Chi"),"",IFERROR(INDEX('Danh mục'!$C$39:$C$78,MATCH(D1838,'Danh mục'!$A$39:$A$78,0))&amp;"",""))</f>
      </c>
      <c r="H1838" s="11"/>
      <c r="I1838" s="20"/>
      <c r="J1838" s="11"/>
      <c r="K1838" s="11"/>
      <c r="L1838" s="11"/>
    </row>
    <row r="1839" spans="1:12" x14ac:dyDescent="0.3">
      <c r="A1839" s="31"/>
      <c r="B1839" s="32">
        <f>IF(A1839="","",DATE(YEAR(A1839),MONTH(A1839),1))</f>
      </c>
      <c r="C1839" s="11"/>
      <c r="D1839" s="11"/>
      <c r="E1839" s="16">
        <f>IF(OR(D1839="",C1839&lt;&gt;"Chi"),"",IFERROR(INDEX('Danh mục'!$B$39:$B$78,MATCH(D1839,'Danh mục'!$A$39:$A$78,0))&amp;"","?"))</f>
      </c>
      <c r="F1839" s="16">
        <f>IF(D1839="","",IF(C1839="Thu",IFERROR(INDEX('Danh mục'!$B$26:$B$35,MATCH(D1839,'Danh mục'!$A$26:$A$35,0))&amp;"","?"),IFERROR(INDEX('Danh mục'!$D$39:$D$78,MATCH(D1839,'Danh mục'!$A$39:$A$78,0))&amp;"","?")))</f>
      </c>
      <c r="G1839" s="16">
        <f>IF(OR(D1839="",C1839&lt;&gt;"Chi"),"",IFERROR(INDEX('Danh mục'!$C$39:$C$78,MATCH(D1839,'Danh mục'!$A$39:$A$78,0))&amp;"",""))</f>
      </c>
      <c r="H1839" s="11"/>
      <c r="I1839" s="20"/>
      <c r="J1839" s="11"/>
      <c r="K1839" s="11"/>
      <c r="L1839" s="11"/>
    </row>
    <row r="1840" spans="1:12" x14ac:dyDescent="0.3">
      <c r="A1840" s="31"/>
      <c r="B1840" s="32">
        <f>IF(A1840="","",DATE(YEAR(A1840),MONTH(A1840),1))</f>
      </c>
      <c r="C1840" s="11"/>
      <c r="D1840" s="11"/>
      <c r="E1840" s="16">
        <f>IF(OR(D1840="",C1840&lt;&gt;"Chi"),"",IFERROR(INDEX('Danh mục'!$B$39:$B$78,MATCH(D1840,'Danh mục'!$A$39:$A$78,0))&amp;"","?"))</f>
      </c>
      <c r="F1840" s="16">
        <f>IF(D1840="","",IF(C1840="Thu",IFERROR(INDEX('Danh mục'!$B$26:$B$35,MATCH(D1840,'Danh mục'!$A$26:$A$35,0))&amp;"","?"),IFERROR(INDEX('Danh mục'!$D$39:$D$78,MATCH(D1840,'Danh mục'!$A$39:$A$78,0))&amp;"","?")))</f>
      </c>
      <c r="G1840" s="16">
        <f>IF(OR(D1840="",C1840&lt;&gt;"Chi"),"",IFERROR(INDEX('Danh mục'!$C$39:$C$78,MATCH(D1840,'Danh mục'!$A$39:$A$78,0))&amp;"",""))</f>
      </c>
      <c r="H1840" s="11"/>
      <c r="I1840" s="20"/>
      <c r="J1840" s="11"/>
      <c r="K1840" s="11"/>
      <c r="L1840" s="11"/>
    </row>
    <row r="1841" spans="1:12" x14ac:dyDescent="0.3">
      <c r="A1841" s="31"/>
      <c r="B1841" s="32">
        <f>IF(A1841="","",DATE(YEAR(A1841),MONTH(A1841),1))</f>
      </c>
      <c r="C1841" s="11"/>
      <c r="D1841" s="11"/>
      <c r="E1841" s="16">
        <f>IF(OR(D1841="",C1841&lt;&gt;"Chi"),"",IFERROR(INDEX('Danh mục'!$B$39:$B$78,MATCH(D1841,'Danh mục'!$A$39:$A$78,0))&amp;"","?"))</f>
      </c>
      <c r="F1841" s="16">
        <f>IF(D1841="","",IF(C1841="Thu",IFERROR(INDEX('Danh mục'!$B$26:$B$35,MATCH(D1841,'Danh mục'!$A$26:$A$35,0))&amp;"","?"),IFERROR(INDEX('Danh mục'!$D$39:$D$78,MATCH(D1841,'Danh mục'!$A$39:$A$78,0))&amp;"","?")))</f>
      </c>
      <c r="G1841" s="16">
        <f>IF(OR(D1841="",C1841&lt;&gt;"Chi"),"",IFERROR(INDEX('Danh mục'!$C$39:$C$78,MATCH(D1841,'Danh mục'!$A$39:$A$78,0))&amp;"",""))</f>
      </c>
      <c r="H1841" s="11"/>
      <c r="I1841" s="20"/>
      <c r="J1841" s="11"/>
      <c r="K1841" s="11"/>
      <c r="L1841" s="11"/>
    </row>
    <row r="1842" spans="1:12" x14ac:dyDescent="0.3">
      <c r="A1842" s="31"/>
      <c r="B1842" s="32">
        <f>IF(A1842="","",DATE(YEAR(A1842),MONTH(A1842),1))</f>
      </c>
      <c r="C1842" s="11"/>
      <c r="D1842" s="11"/>
      <c r="E1842" s="16">
        <f>IF(OR(D1842="",C1842&lt;&gt;"Chi"),"",IFERROR(INDEX('Danh mục'!$B$39:$B$78,MATCH(D1842,'Danh mục'!$A$39:$A$78,0))&amp;"","?"))</f>
      </c>
      <c r="F1842" s="16">
        <f>IF(D1842="","",IF(C1842="Thu",IFERROR(INDEX('Danh mục'!$B$26:$B$35,MATCH(D1842,'Danh mục'!$A$26:$A$35,0))&amp;"","?"),IFERROR(INDEX('Danh mục'!$D$39:$D$78,MATCH(D1842,'Danh mục'!$A$39:$A$78,0))&amp;"","?")))</f>
      </c>
      <c r="G1842" s="16">
        <f>IF(OR(D1842="",C1842&lt;&gt;"Chi"),"",IFERROR(INDEX('Danh mục'!$C$39:$C$78,MATCH(D1842,'Danh mục'!$A$39:$A$78,0))&amp;"",""))</f>
      </c>
      <c r="H1842" s="11"/>
      <c r="I1842" s="20"/>
      <c r="J1842" s="11"/>
      <c r="K1842" s="11"/>
      <c r="L1842" s="11"/>
    </row>
    <row r="1843" spans="1:12" x14ac:dyDescent="0.3">
      <c r="A1843" s="31"/>
      <c r="B1843" s="32">
        <f>IF(A1843="","",DATE(YEAR(A1843),MONTH(A1843),1))</f>
      </c>
      <c r="C1843" s="11"/>
      <c r="D1843" s="11"/>
      <c r="E1843" s="16">
        <f>IF(OR(D1843="",C1843&lt;&gt;"Chi"),"",IFERROR(INDEX('Danh mục'!$B$39:$B$78,MATCH(D1843,'Danh mục'!$A$39:$A$78,0))&amp;"","?"))</f>
      </c>
      <c r="F1843" s="16">
        <f>IF(D1843="","",IF(C1843="Thu",IFERROR(INDEX('Danh mục'!$B$26:$B$35,MATCH(D1843,'Danh mục'!$A$26:$A$35,0))&amp;"","?"),IFERROR(INDEX('Danh mục'!$D$39:$D$78,MATCH(D1843,'Danh mục'!$A$39:$A$78,0))&amp;"","?")))</f>
      </c>
      <c r="G1843" s="16">
        <f>IF(OR(D1843="",C1843&lt;&gt;"Chi"),"",IFERROR(INDEX('Danh mục'!$C$39:$C$78,MATCH(D1843,'Danh mục'!$A$39:$A$78,0))&amp;"",""))</f>
      </c>
      <c r="H1843" s="11"/>
      <c r="I1843" s="20"/>
      <c r="J1843" s="11"/>
      <c r="K1843" s="11"/>
      <c r="L1843" s="11"/>
    </row>
    <row r="1844" spans="1:12" x14ac:dyDescent="0.3">
      <c r="A1844" s="31"/>
      <c r="B1844" s="32">
        <f>IF(A1844="","",DATE(YEAR(A1844),MONTH(A1844),1))</f>
      </c>
      <c r="C1844" s="11"/>
      <c r="D1844" s="11"/>
      <c r="E1844" s="16">
        <f>IF(OR(D1844="",C1844&lt;&gt;"Chi"),"",IFERROR(INDEX('Danh mục'!$B$39:$B$78,MATCH(D1844,'Danh mục'!$A$39:$A$78,0))&amp;"","?"))</f>
      </c>
      <c r="F1844" s="16">
        <f>IF(D1844="","",IF(C1844="Thu",IFERROR(INDEX('Danh mục'!$B$26:$B$35,MATCH(D1844,'Danh mục'!$A$26:$A$35,0))&amp;"","?"),IFERROR(INDEX('Danh mục'!$D$39:$D$78,MATCH(D1844,'Danh mục'!$A$39:$A$78,0))&amp;"","?")))</f>
      </c>
      <c r="G1844" s="16">
        <f>IF(OR(D1844="",C1844&lt;&gt;"Chi"),"",IFERROR(INDEX('Danh mục'!$C$39:$C$78,MATCH(D1844,'Danh mục'!$A$39:$A$78,0))&amp;"",""))</f>
      </c>
      <c r="H1844" s="11"/>
      <c r="I1844" s="20"/>
      <c r="J1844" s="11"/>
      <c r="K1844" s="11"/>
      <c r="L1844" s="11"/>
    </row>
    <row r="1845" spans="1:12" x14ac:dyDescent="0.3">
      <c r="A1845" s="31"/>
      <c r="B1845" s="32">
        <f>IF(A1845="","",DATE(YEAR(A1845),MONTH(A1845),1))</f>
      </c>
      <c r="C1845" s="11"/>
      <c r="D1845" s="11"/>
      <c r="E1845" s="16">
        <f>IF(OR(D1845="",C1845&lt;&gt;"Chi"),"",IFERROR(INDEX('Danh mục'!$B$39:$B$78,MATCH(D1845,'Danh mục'!$A$39:$A$78,0))&amp;"","?"))</f>
      </c>
      <c r="F1845" s="16">
        <f>IF(D1845="","",IF(C1845="Thu",IFERROR(INDEX('Danh mục'!$B$26:$B$35,MATCH(D1845,'Danh mục'!$A$26:$A$35,0))&amp;"","?"),IFERROR(INDEX('Danh mục'!$D$39:$D$78,MATCH(D1845,'Danh mục'!$A$39:$A$78,0))&amp;"","?")))</f>
      </c>
      <c r="G1845" s="16">
        <f>IF(OR(D1845="",C1845&lt;&gt;"Chi"),"",IFERROR(INDEX('Danh mục'!$C$39:$C$78,MATCH(D1845,'Danh mục'!$A$39:$A$78,0))&amp;"",""))</f>
      </c>
      <c r="H1845" s="11"/>
      <c r="I1845" s="20"/>
      <c r="J1845" s="11"/>
      <c r="K1845" s="11"/>
      <c r="L1845" s="11"/>
    </row>
    <row r="1846" spans="1:12" x14ac:dyDescent="0.3">
      <c r="A1846" s="31"/>
      <c r="B1846" s="32">
        <f>IF(A1846="","",DATE(YEAR(A1846),MONTH(A1846),1))</f>
      </c>
      <c r="C1846" s="11"/>
      <c r="D1846" s="11"/>
      <c r="E1846" s="16">
        <f>IF(OR(D1846="",C1846&lt;&gt;"Chi"),"",IFERROR(INDEX('Danh mục'!$B$39:$B$78,MATCH(D1846,'Danh mục'!$A$39:$A$78,0))&amp;"","?"))</f>
      </c>
      <c r="F1846" s="16">
        <f>IF(D1846="","",IF(C1846="Thu",IFERROR(INDEX('Danh mục'!$B$26:$B$35,MATCH(D1846,'Danh mục'!$A$26:$A$35,0))&amp;"","?"),IFERROR(INDEX('Danh mục'!$D$39:$D$78,MATCH(D1846,'Danh mục'!$A$39:$A$78,0))&amp;"","?")))</f>
      </c>
      <c r="G1846" s="16">
        <f>IF(OR(D1846="",C1846&lt;&gt;"Chi"),"",IFERROR(INDEX('Danh mục'!$C$39:$C$78,MATCH(D1846,'Danh mục'!$A$39:$A$78,0))&amp;"",""))</f>
      </c>
      <c r="H1846" s="11"/>
      <c r="I1846" s="20"/>
      <c r="J1846" s="11"/>
      <c r="K1846" s="11"/>
      <c r="L1846" s="11"/>
    </row>
    <row r="1847" spans="1:12" x14ac:dyDescent="0.3">
      <c r="A1847" s="31"/>
      <c r="B1847" s="32">
        <f>IF(A1847="","",DATE(YEAR(A1847),MONTH(A1847),1))</f>
      </c>
      <c r="C1847" s="11"/>
      <c r="D1847" s="11"/>
      <c r="E1847" s="16">
        <f>IF(OR(D1847="",C1847&lt;&gt;"Chi"),"",IFERROR(INDEX('Danh mục'!$B$39:$B$78,MATCH(D1847,'Danh mục'!$A$39:$A$78,0))&amp;"","?"))</f>
      </c>
      <c r="F1847" s="16">
        <f>IF(D1847="","",IF(C1847="Thu",IFERROR(INDEX('Danh mục'!$B$26:$B$35,MATCH(D1847,'Danh mục'!$A$26:$A$35,0))&amp;"","?"),IFERROR(INDEX('Danh mục'!$D$39:$D$78,MATCH(D1847,'Danh mục'!$A$39:$A$78,0))&amp;"","?")))</f>
      </c>
      <c r="G1847" s="16">
        <f>IF(OR(D1847="",C1847&lt;&gt;"Chi"),"",IFERROR(INDEX('Danh mục'!$C$39:$C$78,MATCH(D1847,'Danh mục'!$A$39:$A$78,0))&amp;"",""))</f>
      </c>
      <c r="H1847" s="11"/>
      <c r="I1847" s="20"/>
      <c r="J1847" s="11"/>
      <c r="K1847" s="11"/>
      <c r="L1847" s="11"/>
    </row>
    <row r="1848" spans="1:12" x14ac:dyDescent="0.3">
      <c r="A1848" s="31"/>
      <c r="B1848" s="32">
        <f>IF(A1848="","",DATE(YEAR(A1848),MONTH(A1848),1))</f>
      </c>
      <c r="C1848" s="11"/>
      <c r="D1848" s="11"/>
      <c r="E1848" s="16">
        <f>IF(OR(D1848="",C1848&lt;&gt;"Chi"),"",IFERROR(INDEX('Danh mục'!$B$39:$B$78,MATCH(D1848,'Danh mục'!$A$39:$A$78,0))&amp;"","?"))</f>
      </c>
      <c r="F1848" s="16">
        <f>IF(D1848="","",IF(C1848="Thu",IFERROR(INDEX('Danh mục'!$B$26:$B$35,MATCH(D1848,'Danh mục'!$A$26:$A$35,0))&amp;"","?"),IFERROR(INDEX('Danh mục'!$D$39:$D$78,MATCH(D1848,'Danh mục'!$A$39:$A$78,0))&amp;"","?")))</f>
      </c>
      <c r="G1848" s="16">
        <f>IF(OR(D1848="",C1848&lt;&gt;"Chi"),"",IFERROR(INDEX('Danh mục'!$C$39:$C$78,MATCH(D1848,'Danh mục'!$A$39:$A$78,0))&amp;"",""))</f>
      </c>
      <c r="H1848" s="11"/>
      <c r="I1848" s="20"/>
      <c r="J1848" s="11"/>
      <c r="K1848" s="11"/>
      <c r="L1848" s="11"/>
    </row>
    <row r="1849" spans="1:12" x14ac:dyDescent="0.3">
      <c r="A1849" s="31"/>
      <c r="B1849" s="32">
        <f>IF(A1849="","",DATE(YEAR(A1849),MONTH(A1849),1))</f>
      </c>
      <c r="C1849" s="11"/>
      <c r="D1849" s="11"/>
      <c r="E1849" s="16">
        <f>IF(OR(D1849="",C1849&lt;&gt;"Chi"),"",IFERROR(INDEX('Danh mục'!$B$39:$B$78,MATCH(D1849,'Danh mục'!$A$39:$A$78,0))&amp;"","?"))</f>
      </c>
      <c r="F1849" s="16">
        <f>IF(D1849="","",IF(C1849="Thu",IFERROR(INDEX('Danh mục'!$B$26:$B$35,MATCH(D1849,'Danh mục'!$A$26:$A$35,0))&amp;"","?"),IFERROR(INDEX('Danh mục'!$D$39:$D$78,MATCH(D1849,'Danh mục'!$A$39:$A$78,0))&amp;"","?")))</f>
      </c>
      <c r="G1849" s="16">
        <f>IF(OR(D1849="",C1849&lt;&gt;"Chi"),"",IFERROR(INDEX('Danh mục'!$C$39:$C$78,MATCH(D1849,'Danh mục'!$A$39:$A$78,0))&amp;"",""))</f>
      </c>
      <c r="H1849" s="11"/>
      <c r="I1849" s="20"/>
      <c r="J1849" s="11"/>
      <c r="K1849" s="11"/>
      <c r="L1849" s="11"/>
    </row>
    <row r="1850" spans="1:12" x14ac:dyDescent="0.3">
      <c r="A1850" s="31"/>
      <c r="B1850" s="32">
        <f>IF(A1850="","",DATE(YEAR(A1850),MONTH(A1850),1))</f>
      </c>
      <c r="C1850" s="11"/>
      <c r="D1850" s="11"/>
      <c r="E1850" s="16">
        <f>IF(OR(D1850="",C1850&lt;&gt;"Chi"),"",IFERROR(INDEX('Danh mục'!$B$39:$B$78,MATCH(D1850,'Danh mục'!$A$39:$A$78,0))&amp;"","?"))</f>
      </c>
      <c r="F1850" s="16">
        <f>IF(D1850="","",IF(C1850="Thu",IFERROR(INDEX('Danh mục'!$B$26:$B$35,MATCH(D1850,'Danh mục'!$A$26:$A$35,0))&amp;"","?"),IFERROR(INDEX('Danh mục'!$D$39:$D$78,MATCH(D1850,'Danh mục'!$A$39:$A$78,0))&amp;"","?")))</f>
      </c>
      <c r="G1850" s="16">
        <f>IF(OR(D1850="",C1850&lt;&gt;"Chi"),"",IFERROR(INDEX('Danh mục'!$C$39:$C$78,MATCH(D1850,'Danh mục'!$A$39:$A$78,0))&amp;"",""))</f>
      </c>
      <c r="H1850" s="11"/>
      <c r="I1850" s="20"/>
      <c r="J1850" s="11"/>
      <c r="K1850" s="11"/>
      <c r="L1850" s="11"/>
    </row>
    <row r="1851" spans="1:12" x14ac:dyDescent="0.3">
      <c r="A1851" s="31"/>
      <c r="B1851" s="32">
        <f>IF(A1851="","",DATE(YEAR(A1851),MONTH(A1851),1))</f>
      </c>
      <c r="C1851" s="11"/>
      <c r="D1851" s="11"/>
      <c r="E1851" s="16">
        <f>IF(OR(D1851="",C1851&lt;&gt;"Chi"),"",IFERROR(INDEX('Danh mục'!$B$39:$B$78,MATCH(D1851,'Danh mục'!$A$39:$A$78,0))&amp;"","?"))</f>
      </c>
      <c r="F1851" s="16">
        <f>IF(D1851="","",IF(C1851="Thu",IFERROR(INDEX('Danh mục'!$B$26:$B$35,MATCH(D1851,'Danh mục'!$A$26:$A$35,0))&amp;"","?"),IFERROR(INDEX('Danh mục'!$D$39:$D$78,MATCH(D1851,'Danh mục'!$A$39:$A$78,0))&amp;"","?")))</f>
      </c>
      <c r="G1851" s="16">
        <f>IF(OR(D1851="",C1851&lt;&gt;"Chi"),"",IFERROR(INDEX('Danh mục'!$C$39:$C$78,MATCH(D1851,'Danh mục'!$A$39:$A$78,0))&amp;"",""))</f>
      </c>
      <c r="H1851" s="11"/>
      <c r="I1851" s="20"/>
      <c r="J1851" s="11"/>
      <c r="K1851" s="11"/>
      <c r="L1851" s="11"/>
    </row>
    <row r="1852" spans="1:12" x14ac:dyDescent="0.3">
      <c r="A1852" s="31"/>
      <c r="B1852" s="32">
        <f>IF(A1852="","",DATE(YEAR(A1852),MONTH(A1852),1))</f>
      </c>
      <c r="C1852" s="11"/>
      <c r="D1852" s="11"/>
      <c r="E1852" s="16">
        <f>IF(OR(D1852="",C1852&lt;&gt;"Chi"),"",IFERROR(INDEX('Danh mục'!$B$39:$B$78,MATCH(D1852,'Danh mục'!$A$39:$A$78,0))&amp;"","?"))</f>
      </c>
      <c r="F1852" s="16">
        <f>IF(D1852="","",IF(C1852="Thu",IFERROR(INDEX('Danh mục'!$B$26:$B$35,MATCH(D1852,'Danh mục'!$A$26:$A$35,0))&amp;"","?"),IFERROR(INDEX('Danh mục'!$D$39:$D$78,MATCH(D1852,'Danh mục'!$A$39:$A$78,0))&amp;"","?")))</f>
      </c>
      <c r="G1852" s="16">
        <f>IF(OR(D1852="",C1852&lt;&gt;"Chi"),"",IFERROR(INDEX('Danh mục'!$C$39:$C$78,MATCH(D1852,'Danh mục'!$A$39:$A$78,0))&amp;"",""))</f>
      </c>
      <c r="H1852" s="11"/>
      <c r="I1852" s="20"/>
      <c r="J1852" s="11"/>
      <c r="K1852" s="11"/>
      <c r="L1852" s="11"/>
    </row>
    <row r="1853" spans="1:12" x14ac:dyDescent="0.3">
      <c r="A1853" s="31"/>
      <c r="B1853" s="32">
        <f>IF(A1853="","",DATE(YEAR(A1853),MONTH(A1853),1))</f>
      </c>
      <c r="C1853" s="11"/>
      <c r="D1853" s="11"/>
      <c r="E1853" s="16">
        <f>IF(OR(D1853="",C1853&lt;&gt;"Chi"),"",IFERROR(INDEX('Danh mục'!$B$39:$B$78,MATCH(D1853,'Danh mục'!$A$39:$A$78,0))&amp;"","?"))</f>
      </c>
      <c r="F1853" s="16">
        <f>IF(D1853="","",IF(C1853="Thu",IFERROR(INDEX('Danh mục'!$B$26:$B$35,MATCH(D1853,'Danh mục'!$A$26:$A$35,0))&amp;"","?"),IFERROR(INDEX('Danh mục'!$D$39:$D$78,MATCH(D1853,'Danh mục'!$A$39:$A$78,0))&amp;"","?")))</f>
      </c>
      <c r="G1853" s="16">
        <f>IF(OR(D1853="",C1853&lt;&gt;"Chi"),"",IFERROR(INDEX('Danh mục'!$C$39:$C$78,MATCH(D1853,'Danh mục'!$A$39:$A$78,0))&amp;"",""))</f>
      </c>
      <c r="H1853" s="11"/>
      <c r="I1853" s="20"/>
      <c r="J1853" s="11"/>
      <c r="K1853" s="11"/>
      <c r="L1853" s="11"/>
    </row>
    <row r="1854" spans="1:12" x14ac:dyDescent="0.3">
      <c r="A1854" s="31"/>
      <c r="B1854" s="32">
        <f>IF(A1854="","",DATE(YEAR(A1854),MONTH(A1854),1))</f>
      </c>
      <c r="C1854" s="11"/>
      <c r="D1854" s="11"/>
      <c r="E1854" s="16">
        <f>IF(OR(D1854="",C1854&lt;&gt;"Chi"),"",IFERROR(INDEX('Danh mục'!$B$39:$B$78,MATCH(D1854,'Danh mục'!$A$39:$A$78,0))&amp;"","?"))</f>
      </c>
      <c r="F1854" s="16">
        <f>IF(D1854="","",IF(C1854="Thu",IFERROR(INDEX('Danh mục'!$B$26:$B$35,MATCH(D1854,'Danh mục'!$A$26:$A$35,0))&amp;"","?"),IFERROR(INDEX('Danh mục'!$D$39:$D$78,MATCH(D1854,'Danh mục'!$A$39:$A$78,0))&amp;"","?")))</f>
      </c>
      <c r="G1854" s="16">
        <f>IF(OR(D1854="",C1854&lt;&gt;"Chi"),"",IFERROR(INDEX('Danh mục'!$C$39:$C$78,MATCH(D1854,'Danh mục'!$A$39:$A$78,0))&amp;"",""))</f>
      </c>
      <c r="H1854" s="11"/>
      <c r="I1854" s="20"/>
      <c r="J1854" s="11"/>
      <c r="K1854" s="11"/>
      <c r="L1854" s="11"/>
    </row>
    <row r="1855" spans="1:12" x14ac:dyDescent="0.3">
      <c r="A1855" s="31"/>
      <c r="B1855" s="32">
        <f>IF(A1855="","",DATE(YEAR(A1855),MONTH(A1855),1))</f>
      </c>
      <c r="C1855" s="11"/>
      <c r="D1855" s="11"/>
      <c r="E1855" s="16">
        <f>IF(OR(D1855="",C1855&lt;&gt;"Chi"),"",IFERROR(INDEX('Danh mục'!$B$39:$B$78,MATCH(D1855,'Danh mục'!$A$39:$A$78,0))&amp;"","?"))</f>
      </c>
      <c r="F1855" s="16">
        <f>IF(D1855="","",IF(C1855="Thu",IFERROR(INDEX('Danh mục'!$B$26:$B$35,MATCH(D1855,'Danh mục'!$A$26:$A$35,0))&amp;"","?"),IFERROR(INDEX('Danh mục'!$D$39:$D$78,MATCH(D1855,'Danh mục'!$A$39:$A$78,0))&amp;"","?")))</f>
      </c>
      <c r="G1855" s="16">
        <f>IF(OR(D1855="",C1855&lt;&gt;"Chi"),"",IFERROR(INDEX('Danh mục'!$C$39:$C$78,MATCH(D1855,'Danh mục'!$A$39:$A$78,0))&amp;"",""))</f>
      </c>
      <c r="H1855" s="11"/>
      <c r="I1855" s="20"/>
      <c r="J1855" s="11"/>
      <c r="K1855" s="11"/>
      <c r="L1855" s="11"/>
    </row>
    <row r="1856" spans="1:12" x14ac:dyDescent="0.3">
      <c r="A1856" s="31"/>
      <c r="B1856" s="32">
        <f>IF(A1856="","",DATE(YEAR(A1856),MONTH(A1856),1))</f>
      </c>
      <c r="C1856" s="11"/>
      <c r="D1856" s="11"/>
      <c r="E1856" s="16">
        <f>IF(OR(D1856="",C1856&lt;&gt;"Chi"),"",IFERROR(INDEX('Danh mục'!$B$39:$B$78,MATCH(D1856,'Danh mục'!$A$39:$A$78,0))&amp;"","?"))</f>
      </c>
      <c r="F1856" s="16">
        <f>IF(D1856="","",IF(C1856="Thu",IFERROR(INDEX('Danh mục'!$B$26:$B$35,MATCH(D1856,'Danh mục'!$A$26:$A$35,0))&amp;"","?"),IFERROR(INDEX('Danh mục'!$D$39:$D$78,MATCH(D1856,'Danh mục'!$A$39:$A$78,0))&amp;"","?")))</f>
      </c>
      <c r="G1856" s="16">
        <f>IF(OR(D1856="",C1856&lt;&gt;"Chi"),"",IFERROR(INDEX('Danh mục'!$C$39:$C$78,MATCH(D1856,'Danh mục'!$A$39:$A$78,0))&amp;"",""))</f>
      </c>
      <c r="H1856" s="11"/>
      <c r="I1856" s="20"/>
      <c r="J1856" s="11"/>
      <c r="K1856" s="11"/>
      <c r="L1856" s="11"/>
    </row>
    <row r="1857" spans="1:12" x14ac:dyDescent="0.3">
      <c r="A1857" s="31"/>
      <c r="B1857" s="32">
        <f>IF(A1857="","",DATE(YEAR(A1857),MONTH(A1857),1))</f>
      </c>
      <c r="C1857" s="11"/>
      <c r="D1857" s="11"/>
      <c r="E1857" s="16">
        <f>IF(OR(D1857="",C1857&lt;&gt;"Chi"),"",IFERROR(INDEX('Danh mục'!$B$39:$B$78,MATCH(D1857,'Danh mục'!$A$39:$A$78,0))&amp;"","?"))</f>
      </c>
      <c r="F1857" s="16">
        <f>IF(D1857="","",IF(C1857="Thu",IFERROR(INDEX('Danh mục'!$B$26:$B$35,MATCH(D1857,'Danh mục'!$A$26:$A$35,0))&amp;"","?"),IFERROR(INDEX('Danh mục'!$D$39:$D$78,MATCH(D1857,'Danh mục'!$A$39:$A$78,0))&amp;"","?")))</f>
      </c>
      <c r="G1857" s="16">
        <f>IF(OR(D1857="",C1857&lt;&gt;"Chi"),"",IFERROR(INDEX('Danh mục'!$C$39:$C$78,MATCH(D1857,'Danh mục'!$A$39:$A$78,0))&amp;"",""))</f>
      </c>
      <c r="H1857" s="11"/>
      <c r="I1857" s="20"/>
      <c r="J1857" s="11"/>
      <c r="K1857" s="11"/>
      <c r="L1857" s="11"/>
    </row>
    <row r="1858" spans="1:12" x14ac:dyDescent="0.3">
      <c r="A1858" s="31"/>
      <c r="B1858" s="32">
        <f>IF(A1858="","",DATE(YEAR(A1858),MONTH(A1858),1))</f>
      </c>
      <c r="C1858" s="11"/>
      <c r="D1858" s="11"/>
      <c r="E1858" s="16">
        <f>IF(OR(D1858="",C1858&lt;&gt;"Chi"),"",IFERROR(INDEX('Danh mục'!$B$39:$B$78,MATCH(D1858,'Danh mục'!$A$39:$A$78,0))&amp;"","?"))</f>
      </c>
      <c r="F1858" s="16">
        <f>IF(D1858="","",IF(C1858="Thu",IFERROR(INDEX('Danh mục'!$B$26:$B$35,MATCH(D1858,'Danh mục'!$A$26:$A$35,0))&amp;"","?"),IFERROR(INDEX('Danh mục'!$D$39:$D$78,MATCH(D1858,'Danh mục'!$A$39:$A$78,0))&amp;"","?")))</f>
      </c>
      <c r="G1858" s="16">
        <f>IF(OR(D1858="",C1858&lt;&gt;"Chi"),"",IFERROR(INDEX('Danh mục'!$C$39:$C$78,MATCH(D1858,'Danh mục'!$A$39:$A$78,0))&amp;"",""))</f>
      </c>
      <c r="H1858" s="11"/>
      <c r="I1858" s="20"/>
      <c r="J1858" s="11"/>
      <c r="K1858" s="11"/>
      <c r="L1858" s="11"/>
    </row>
    <row r="1859" spans="1:12" x14ac:dyDescent="0.3">
      <c r="A1859" s="31"/>
      <c r="B1859" s="32">
        <f>IF(A1859="","",DATE(YEAR(A1859),MONTH(A1859),1))</f>
      </c>
      <c r="C1859" s="11"/>
      <c r="D1859" s="11"/>
      <c r="E1859" s="16">
        <f>IF(OR(D1859="",C1859&lt;&gt;"Chi"),"",IFERROR(INDEX('Danh mục'!$B$39:$B$78,MATCH(D1859,'Danh mục'!$A$39:$A$78,0))&amp;"","?"))</f>
      </c>
      <c r="F1859" s="16">
        <f>IF(D1859="","",IF(C1859="Thu",IFERROR(INDEX('Danh mục'!$B$26:$B$35,MATCH(D1859,'Danh mục'!$A$26:$A$35,0))&amp;"","?"),IFERROR(INDEX('Danh mục'!$D$39:$D$78,MATCH(D1859,'Danh mục'!$A$39:$A$78,0))&amp;"","?")))</f>
      </c>
      <c r="G1859" s="16">
        <f>IF(OR(D1859="",C1859&lt;&gt;"Chi"),"",IFERROR(INDEX('Danh mục'!$C$39:$C$78,MATCH(D1859,'Danh mục'!$A$39:$A$78,0))&amp;"",""))</f>
      </c>
      <c r="H1859" s="11"/>
      <c r="I1859" s="20"/>
      <c r="J1859" s="11"/>
      <c r="K1859" s="11"/>
      <c r="L1859" s="11"/>
    </row>
    <row r="1860" spans="1:12" x14ac:dyDescent="0.3">
      <c r="A1860" s="31"/>
      <c r="B1860" s="32">
        <f>IF(A1860="","",DATE(YEAR(A1860),MONTH(A1860),1))</f>
      </c>
      <c r="C1860" s="11"/>
      <c r="D1860" s="11"/>
      <c r="E1860" s="16">
        <f>IF(OR(D1860="",C1860&lt;&gt;"Chi"),"",IFERROR(INDEX('Danh mục'!$B$39:$B$78,MATCH(D1860,'Danh mục'!$A$39:$A$78,0))&amp;"","?"))</f>
      </c>
      <c r="F1860" s="16">
        <f>IF(D1860="","",IF(C1860="Thu",IFERROR(INDEX('Danh mục'!$B$26:$B$35,MATCH(D1860,'Danh mục'!$A$26:$A$35,0))&amp;"","?"),IFERROR(INDEX('Danh mục'!$D$39:$D$78,MATCH(D1860,'Danh mục'!$A$39:$A$78,0))&amp;"","?")))</f>
      </c>
      <c r="G1860" s="16">
        <f>IF(OR(D1860="",C1860&lt;&gt;"Chi"),"",IFERROR(INDEX('Danh mục'!$C$39:$C$78,MATCH(D1860,'Danh mục'!$A$39:$A$78,0))&amp;"",""))</f>
      </c>
      <c r="H1860" s="11"/>
      <c r="I1860" s="20"/>
      <c r="J1860" s="11"/>
      <c r="K1860" s="11"/>
      <c r="L1860" s="11"/>
    </row>
    <row r="1861" spans="1:12" x14ac:dyDescent="0.3">
      <c r="A1861" s="31"/>
      <c r="B1861" s="32">
        <f>IF(A1861="","",DATE(YEAR(A1861),MONTH(A1861),1))</f>
      </c>
      <c r="C1861" s="11"/>
      <c r="D1861" s="11"/>
      <c r="E1861" s="16">
        <f>IF(OR(D1861="",C1861&lt;&gt;"Chi"),"",IFERROR(INDEX('Danh mục'!$B$39:$B$78,MATCH(D1861,'Danh mục'!$A$39:$A$78,0))&amp;"","?"))</f>
      </c>
      <c r="F1861" s="16">
        <f>IF(D1861="","",IF(C1861="Thu",IFERROR(INDEX('Danh mục'!$B$26:$B$35,MATCH(D1861,'Danh mục'!$A$26:$A$35,0))&amp;"","?"),IFERROR(INDEX('Danh mục'!$D$39:$D$78,MATCH(D1861,'Danh mục'!$A$39:$A$78,0))&amp;"","?")))</f>
      </c>
      <c r="G1861" s="16">
        <f>IF(OR(D1861="",C1861&lt;&gt;"Chi"),"",IFERROR(INDEX('Danh mục'!$C$39:$C$78,MATCH(D1861,'Danh mục'!$A$39:$A$78,0))&amp;"",""))</f>
      </c>
      <c r="H1861" s="11"/>
      <c r="I1861" s="20"/>
      <c r="J1861" s="11"/>
      <c r="K1861" s="11"/>
      <c r="L1861" s="11"/>
    </row>
    <row r="1862" spans="1:12" x14ac:dyDescent="0.3">
      <c r="A1862" s="31"/>
      <c r="B1862" s="32">
        <f>IF(A1862="","",DATE(YEAR(A1862),MONTH(A1862),1))</f>
      </c>
      <c r="C1862" s="11"/>
      <c r="D1862" s="11"/>
      <c r="E1862" s="16">
        <f>IF(OR(D1862="",C1862&lt;&gt;"Chi"),"",IFERROR(INDEX('Danh mục'!$B$39:$B$78,MATCH(D1862,'Danh mục'!$A$39:$A$78,0))&amp;"","?"))</f>
      </c>
      <c r="F1862" s="16">
        <f>IF(D1862="","",IF(C1862="Thu",IFERROR(INDEX('Danh mục'!$B$26:$B$35,MATCH(D1862,'Danh mục'!$A$26:$A$35,0))&amp;"","?"),IFERROR(INDEX('Danh mục'!$D$39:$D$78,MATCH(D1862,'Danh mục'!$A$39:$A$78,0))&amp;"","?")))</f>
      </c>
      <c r="G1862" s="16">
        <f>IF(OR(D1862="",C1862&lt;&gt;"Chi"),"",IFERROR(INDEX('Danh mục'!$C$39:$C$78,MATCH(D1862,'Danh mục'!$A$39:$A$78,0))&amp;"",""))</f>
      </c>
      <c r="H1862" s="11"/>
      <c r="I1862" s="20"/>
      <c r="J1862" s="11"/>
      <c r="K1862" s="11"/>
      <c r="L1862" s="11"/>
    </row>
    <row r="1863" spans="1:12" x14ac:dyDescent="0.3">
      <c r="A1863" s="31"/>
      <c r="B1863" s="32">
        <f>IF(A1863="","",DATE(YEAR(A1863),MONTH(A1863),1))</f>
      </c>
      <c r="C1863" s="11"/>
      <c r="D1863" s="11"/>
      <c r="E1863" s="16">
        <f>IF(OR(D1863="",C1863&lt;&gt;"Chi"),"",IFERROR(INDEX('Danh mục'!$B$39:$B$78,MATCH(D1863,'Danh mục'!$A$39:$A$78,0))&amp;"","?"))</f>
      </c>
      <c r="F1863" s="16">
        <f>IF(D1863="","",IF(C1863="Thu",IFERROR(INDEX('Danh mục'!$B$26:$B$35,MATCH(D1863,'Danh mục'!$A$26:$A$35,0))&amp;"","?"),IFERROR(INDEX('Danh mục'!$D$39:$D$78,MATCH(D1863,'Danh mục'!$A$39:$A$78,0))&amp;"","?")))</f>
      </c>
      <c r="G1863" s="16">
        <f>IF(OR(D1863="",C1863&lt;&gt;"Chi"),"",IFERROR(INDEX('Danh mục'!$C$39:$C$78,MATCH(D1863,'Danh mục'!$A$39:$A$78,0))&amp;"",""))</f>
      </c>
      <c r="H1863" s="11"/>
      <c r="I1863" s="20"/>
      <c r="J1863" s="11"/>
      <c r="K1863" s="11"/>
      <c r="L1863" s="11"/>
    </row>
    <row r="1864" spans="1:12" x14ac:dyDescent="0.3">
      <c r="A1864" s="31"/>
      <c r="B1864" s="32">
        <f>IF(A1864="","",DATE(YEAR(A1864),MONTH(A1864),1))</f>
      </c>
      <c r="C1864" s="11"/>
      <c r="D1864" s="11"/>
      <c r="E1864" s="16">
        <f>IF(OR(D1864="",C1864&lt;&gt;"Chi"),"",IFERROR(INDEX('Danh mục'!$B$39:$B$78,MATCH(D1864,'Danh mục'!$A$39:$A$78,0))&amp;"","?"))</f>
      </c>
      <c r="F1864" s="16">
        <f>IF(D1864="","",IF(C1864="Thu",IFERROR(INDEX('Danh mục'!$B$26:$B$35,MATCH(D1864,'Danh mục'!$A$26:$A$35,0))&amp;"","?"),IFERROR(INDEX('Danh mục'!$D$39:$D$78,MATCH(D1864,'Danh mục'!$A$39:$A$78,0))&amp;"","?")))</f>
      </c>
      <c r="G1864" s="16">
        <f>IF(OR(D1864="",C1864&lt;&gt;"Chi"),"",IFERROR(INDEX('Danh mục'!$C$39:$C$78,MATCH(D1864,'Danh mục'!$A$39:$A$78,0))&amp;"",""))</f>
      </c>
      <c r="H1864" s="11"/>
      <c r="I1864" s="20"/>
      <c r="J1864" s="11"/>
      <c r="K1864" s="11"/>
      <c r="L1864" s="11"/>
    </row>
    <row r="1865" spans="1:12" x14ac:dyDescent="0.3">
      <c r="A1865" s="31"/>
      <c r="B1865" s="32">
        <f>IF(A1865="","",DATE(YEAR(A1865),MONTH(A1865),1))</f>
      </c>
      <c r="C1865" s="11"/>
      <c r="D1865" s="11"/>
      <c r="E1865" s="16">
        <f>IF(OR(D1865="",C1865&lt;&gt;"Chi"),"",IFERROR(INDEX('Danh mục'!$B$39:$B$78,MATCH(D1865,'Danh mục'!$A$39:$A$78,0))&amp;"","?"))</f>
      </c>
      <c r="F1865" s="16">
        <f>IF(D1865="","",IF(C1865="Thu",IFERROR(INDEX('Danh mục'!$B$26:$B$35,MATCH(D1865,'Danh mục'!$A$26:$A$35,0))&amp;"","?"),IFERROR(INDEX('Danh mục'!$D$39:$D$78,MATCH(D1865,'Danh mục'!$A$39:$A$78,0))&amp;"","?")))</f>
      </c>
      <c r="G1865" s="16">
        <f>IF(OR(D1865="",C1865&lt;&gt;"Chi"),"",IFERROR(INDEX('Danh mục'!$C$39:$C$78,MATCH(D1865,'Danh mục'!$A$39:$A$78,0))&amp;"",""))</f>
      </c>
      <c r="H1865" s="11"/>
      <c r="I1865" s="20"/>
      <c r="J1865" s="11"/>
      <c r="K1865" s="11"/>
      <c r="L1865" s="11"/>
    </row>
    <row r="1866" spans="1:12" x14ac:dyDescent="0.3">
      <c r="A1866" s="31"/>
      <c r="B1866" s="32">
        <f>IF(A1866="","",DATE(YEAR(A1866),MONTH(A1866),1))</f>
      </c>
      <c r="C1866" s="11"/>
      <c r="D1866" s="11"/>
      <c r="E1866" s="16">
        <f>IF(OR(D1866="",C1866&lt;&gt;"Chi"),"",IFERROR(INDEX('Danh mục'!$B$39:$B$78,MATCH(D1866,'Danh mục'!$A$39:$A$78,0))&amp;"","?"))</f>
      </c>
      <c r="F1866" s="16">
        <f>IF(D1866="","",IF(C1866="Thu",IFERROR(INDEX('Danh mục'!$B$26:$B$35,MATCH(D1866,'Danh mục'!$A$26:$A$35,0))&amp;"","?"),IFERROR(INDEX('Danh mục'!$D$39:$D$78,MATCH(D1866,'Danh mục'!$A$39:$A$78,0))&amp;"","?")))</f>
      </c>
      <c r="G1866" s="16">
        <f>IF(OR(D1866="",C1866&lt;&gt;"Chi"),"",IFERROR(INDEX('Danh mục'!$C$39:$C$78,MATCH(D1866,'Danh mục'!$A$39:$A$78,0))&amp;"",""))</f>
      </c>
      <c r="H1866" s="11"/>
      <c r="I1866" s="20"/>
      <c r="J1866" s="11"/>
      <c r="K1866" s="11"/>
      <c r="L1866" s="11"/>
    </row>
    <row r="1867" spans="1:12" x14ac:dyDescent="0.3">
      <c r="A1867" s="31"/>
      <c r="B1867" s="32">
        <f>IF(A1867="","",DATE(YEAR(A1867),MONTH(A1867),1))</f>
      </c>
      <c r="C1867" s="11"/>
      <c r="D1867" s="11"/>
      <c r="E1867" s="16">
        <f>IF(OR(D1867="",C1867&lt;&gt;"Chi"),"",IFERROR(INDEX('Danh mục'!$B$39:$B$78,MATCH(D1867,'Danh mục'!$A$39:$A$78,0))&amp;"","?"))</f>
      </c>
      <c r="F1867" s="16">
        <f>IF(D1867="","",IF(C1867="Thu",IFERROR(INDEX('Danh mục'!$B$26:$B$35,MATCH(D1867,'Danh mục'!$A$26:$A$35,0))&amp;"","?"),IFERROR(INDEX('Danh mục'!$D$39:$D$78,MATCH(D1867,'Danh mục'!$A$39:$A$78,0))&amp;"","?")))</f>
      </c>
      <c r="G1867" s="16">
        <f>IF(OR(D1867="",C1867&lt;&gt;"Chi"),"",IFERROR(INDEX('Danh mục'!$C$39:$C$78,MATCH(D1867,'Danh mục'!$A$39:$A$78,0))&amp;"",""))</f>
      </c>
      <c r="H1867" s="11"/>
      <c r="I1867" s="20"/>
      <c r="J1867" s="11"/>
      <c r="K1867" s="11"/>
      <c r="L1867" s="11"/>
    </row>
    <row r="1868" spans="1:12" x14ac:dyDescent="0.3">
      <c r="A1868" s="31"/>
      <c r="B1868" s="32">
        <f>IF(A1868="","",DATE(YEAR(A1868),MONTH(A1868),1))</f>
      </c>
      <c r="C1868" s="11"/>
      <c r="D1868" s="11"/>
      <c r="E1868" s="16">
        <f>IF(OR(D1868="",C1868&lt;&gt;"Chi"),"",IFERROR(INDEX('Danh mục'!$B$39:$B$78,MATCH(D1868,'Danh mục'!$A$39:$A$78,0))&amp;"","?"))</f>
      </c>
      <c r="F1868" s="16">
        <f>IF(D1868="","",IF(C1868="Thu",IFERROR(INDEX('Danh mục'!$B$26:$B$35,MATCH(D1868,'Danh mục'!$A$26:$A$35,0))&amp;"","?"),IFERROR(INDEX('Danh mục'!$D$39:$D$78,MATCH(D1868,'Danh mục'!$A$39:$A$78,0))&amp;"","?")))</f>
      </c>
      <c r="G1868" s="16">
        <f>IF(OR(D1868="",C1868&lt;&gt;"Chi"),"",IFERROR(INDEX('Danh mục'!$C$39:$C$78,MATCH(D1868,'Danh mục'!$A$39:$A$78,0))&amp;"",""))</f>
      </c>
      <c r="H1868" s="11"/>
      <c r="I1868" s="20"/>
      <c r="J1868" s="11"/>
      <c r="K1868" s="11"/>
      <c r="L1868" s="11"/>
    </row>
    <row r="1869" spans="1:12" x14ac:dyDescent="0.3">
      <c r="A1869" s="31"/>
      <c r="B1869" s="32">
        <f>IF(A1869="","",DATE(YEAR(A1869),MONTH(A1869),1))</f>
      </c>
      <c r="C1869" s="11"/>
      <c r="D1869" s="11"/>
      <c r="E1869" s="16">
        <f>IF(OR(D1869="",C1869&lt;&gt;"Chi"),"",IFERROR(INDEX('Danh mục'!$B$39:$B$78,MATCH(D1869,'Danh mục'!$A$39:$A$78,0))&amp;"","?"))</f>
      </c>
      <c r="F1869" s="16">
        <f>IF(D1869="","",IF(C1869="Thu",IFERROR(INDEX('Danh mục'!$B$26:$B$35,MATCH(D1869,'Danh mục'!$A$26:$A$35,0))&amp;"","?"),IFERROR(INDEX('Danh mục'!$D$39:$D$78,MATCH(D1869,'Danh mục'!$A$39:$A$78,0))&amp;"","?")))</f>
      </c>
      <c r="G1869" s="16">
        <f>IF(OR(D1869="",C1869&lt;&gt;"Chi"),"",IFERROR(INDEX('Danh mục'!$C$39:$C$78,MATCH(D1869,'Danh mục'!$A$39:$A$78,0))&amp;"",""))</f>
      </c>
      <c r="H1869" s="11"/>
      <c r="I1869" s="20"/>
      <c r="J1869" s="11"/>
      <c r="K1869" s="11"/>
      <c r="L1869" s="11"/>
    </row>
    <row r="1870" spans="1:12" x14ac:dyDescent="0.3">
      <c r="A1870" s="31"/>
      <c r="B1870" s="32">
        <f>IF(A1870="","",DATE(YEAR(A1870),MONTH(A1870),1))</f>
      </c>
      <c r="C1870" s="11"/>
      <c r="D1870" s="11"/>
      <c r="E1870" s="16">
        <f>IF(OR(D1870="",C1870&lt;&gt;"Chi"),"",IFERROR(INDEX('Danh mục'!$B$39:$B$78,MATCH(D1870,'Danh mục'!$A$39:$A$78,0))&amp;"","?"))</f>
      </c>
      <c r="F1870" s="16">
        <f>IF(D1870="","",IF(C1870="Thu",IFERROR(INDEX('Danh mục'!$B$26:$B$35,MATCH(D1870,'Danh mục'!$A$26:$A$35,0))&amp;"","?"),IFERROR(INDEX('Danh mục'!$D$39:$D$78,MATCH(D1870,'Danh mục'!$A$39:$A$78,0))&amp;"","?")))</f>
      </c>
      <c r="G1870" s="16">
        <f>IF(OR(D1870="",C1870&lt;&gt;"Chi"),"",IFERROR(INDEX('Danh mục'!$C$39:$C$78,MATCH(D1870,'Danh mục'!$A$39:$A$78,0))&amp;"",""))</f>
      </c>
      <c r="H1870" s="11"/>
      <c r="I1870" s="20"/>
      <c r="J1870" s="11"/>
      <c r="K1870" s="11"/>
      <c r="L1870" s="11"/>
    </row>
    <row r="1871" spans="1:12" x14ac:dyDescent="0.3">
      <c r="A1871" s="31"/>
      <c r="B1871" s="32">
        <f>IF(A1871="","",DATE(YEAR(A1871),MONTH(A1871),1))</f>
      </c>
      <c r="C1871" s="11"/>
      <c r="D1871" s="11"/>
      <c r="E1871" s="16">
        <f>IF(OR(D1871="",C1871&lt;&gt;"Chi"),"",IFERROR(INDEX('Danh mục'!$B$39:$B$78,MATCH(D1871,'Danh mục'!$A$39:$A$78,0))&amp;"","?"))</f>
      </c>
      <c r="F1871" s="16">
        <f>IF(D1871="","",IF(C1871="Thu",IFERROR(INDEX('Danh mục'!$B$26:$B$35,MATCH(D1871,'Danh mục'!$A$26:$A$35,0))&amp;"","?"),IFERROR(INDEX('Danh mục'!$D$39:$D$78,MATCH(D1871,'Danh mục'!$A$39:$A$78,0))&amp;"","?")))</f>
      </c>
      <c r="G1871" s="16">
        <f>IF(OR(D1871="",C1871&lt;&gt;"Chi"),"",IFERROR(INDEX('Danh mục'!$C$39:$C$78,MATCH(D1871,'Danh mục'!$A$39:$A$78,0))&amp;"",""))</f>
      </c>
      <c r="H1871" s="11"/>
      <c r="I1871" s="20"/>
      <c r="J1871" s="11"/>
      <c r="K1871" s="11"/>
      <c r="L1871" s="11"/>
    </row>
    <row r="1872" spans="1:12" x14ac:dyDescent="0.3">
      <c r="A1872" s="31"/>
      <c r="B1872" s="32">
        <f>IF(A1872="","",DATE(YEAR(A1872),MONTH(A1872),1))</f>
      </c>
      <c r="C1872" s="11"/>
      <c r="D1872" s="11"/>
      <c r="E1872" s="16">
        <f>IF(OR(D1872="",C1872&lt;&gt;"Chi"),"",IFERROR(INDEX('Danh mục'!$B$39:$B$78,MATCH(D1872,'Danh mục'!$A$39:$A$78,0))&amp;"","?"))</f>
      </c>
      <c r="F1872" s="16">
        <f>IF(D1872="","",IF(C1872="Thu",IFERROR(INDEX('Danh mục'!$B$26:$B$35,MATCH(D1872,'Danh mục'!$A$26:$A$35,0))&amp;"","?"),IFERROR(INDEX('Danh mục'!$D$39:$D$78,MATCH(D1872,'Danh mục'!$A$39:$A$78,0))&amp;"","?")))</f>
      </c>
      <c r="G1872" s="16">
        <f>IF(OR(D1872="",C1872&lt;&gt;"Chi"),"",IFERROR(INDEX('Danh mục'!$C$39:$C$78,MATCH(D1872,'Danh mục'!$A$39:$A$78,0))&amp;"",""))</f>
      </c>
      <c r="H1872" s="11"/>
      <c r="I1872" s="20"/>
      <c r="J1872" s="11"/>
      <c r="K1872" s="11"/>
      <c r="L1872" s="11"/>
    </row>
    <row r="1873" spans="1:12" x14ac:dyDescent="0.3">
      <c r="A1873" s="31"/>
      <c r="B1873" s="32">
        <f>IF(A1873="","",DATE(YEAR(A1873),MONTH(A1873),1))</f>
      </c>
      <c r="C1873" s="11"/>
      <c r="D1873" s="11"/>
      <c r="E1873" s="16">
        <f>IF(OR(D1873="",C1873&lt;&gt;"Chi"),"",IFERROR(INDEX('Danh mục'!$B$39:$B$78,MATCH(D1873,'Danh mục'!$A$39:$A$78,0))&amp;"","?"))</f>
      </c>
      <c r="F1873" s="16">
        <f>IF(D1873="","",IF(C1873="Thu",IFERROR(INDEX('Danh mục'!$B$26:$B$35,MATCH(D1873,'Danh mục'!$A$26:$A$35,0))&amp;"","?"),IFERROR(INDEX('Danh mục'!$D$39:$D$78,MATCH(D1873,'Danh mục'!$A$39:$A$78,0))&amp;"","?")))</f>
      </c>
      <c r="G1873" s="16">
        <f>IF(OR(D1873="",C1873&lt;&gt;"Chi"),"",IFERROR(INDEX('Danh mục'!$C$39:$C$78,MATCH(D1873,'Danh mục'!$A$39:$A$78,0))&amp;"",""))</f>
      </c>
      <c r="H1873" s="11"/>
      <c r="I1873" s="20"/>
      <c r="J1873" s="11"/>
      <c r="K1873" s="11"/>
      <c r="L1873" s="11"/>
    </row>
    <row r="1874" spans="1:12" x14ac:dyDescent="0.3">
      <c r="A1874" s="31"/>
      <c r="B1874" s="32">
        <f>IF(A1874="","",DATE(YEAR(A1874),MONTH(A1874),1))</f>
      </c>
      <c r="C1874" s="11"/>
      <c r="D1874" s="11"/>
      <c r="E1874" s="16">
        <f>IF(OR(D1874="",C1874&lt;&gt;"Chi"),"",IFERROR(INDEX('Danh mục'!$B$39:$B$78,MATCH(D1874,'Danh mục'!$A$39:$A$78,0))&amp;"","?"))</f>
      </c>
      <c r="F1874" s="16">
        <f>IF(D1874="","",IF(C1874="Thu",IFERROR(INDEX('Danh mục'!$B$26:$B$35,MATCH(D1874,'Danh mục'!$A$26:$A$35,0))&amp;"","?"),IFERROR(INDEX('Danh mục'!$D$39:$D$78,MATCH(D1874,'Danh mục'!$A$39:$A$78,0))&amp;"","?")))</f>
      </c>
      <c r="G1874" s="16">
        <f>IF(OR(D1874="",C1874&lt;&gt;"Chi"),"",IFERROR(INDEX('Danh mục'!$C$39:$C$78,MATCH(D1874,'Danh mục'!$A$39:$A$78,0))&amp;"",""))</f>
      </c>
      <c r="H1874" s="11"/>
      <c r="I1874" s="20"/>
      <c r="J1874" s="11"/>
      <c r="K1874" s="11"/>
      <c r="L1874" s="11"/>
    </row>
    <row r="1875" spans="1:12" x14ac:dyDescent="0.3">
      <c r="A1875" s="31"/>
      <c r="B1875" s="32">
        <f>IF(A1875="","",DATE(YEAR(A1875),MONTH(A1875),1))</f>
      </c>
      <c r="C1875" s="11"/>
      <c r="D1875" s="11"/>
      <c r="E1875" s="16">
        <f>IF(OR(D1875="",C1875&lt;&gt;"Chi"),"",IFERROR(INDEX('Danh mục'!$B$39:$B$78,MATCH(D1875,'Danh mục'!$A$39:$A$78,0))&amp;"","?"))</f>
      </c>
      <c r="F1875" s="16">
        <f>IF(D1875="","",IF(C1875="Thu",IFERROR(INDEX('Danh mục'!$B$26:$B$35,MATCH(D1875,'Danh mục'!$A$26:$A$35,0))&amp;"","?"),IFERROR(INDEX('Danh mục'!$D$39:$D$78,MATCH(D1875,'Danh mục'!$A$39:$A$78,0))&amp;"","?")))</f>
      </c>
      <c r="G1875" s="16">
        <f>IF(OR(D1875="",C1875&lt;&gt;"Chi"),"",IFERROR(INDEX('Danh mục'!$C$39:$C$78,MATCH(D1875,'Danh mục'!$A$39:$A$78,0))&amp;"",""))</f>
      </c>
      <c r="H1875" s="11"/>
      <c r="I1875" s="20"/>
      <c r="J1875" s="11"/>
      <c r="K1875" s="11"/>
      <c r="L1875" s="11"/>
    </row>
    <row r="1876" spans="1:12" x14ac:dyDescent="0.3">
      <c r="A1876" s="31"/>
      <c r="B1876" s="32">
        <f>IF(A1876="","",DATE(YEAR(A1876),MONTH(A1876),1))</f>
      </c>
      <c r="C1876" s="11"/>
      <c r="D1876" s="11"/>
      <c r="E1876" s="16">
        <f>IF(OR(D1876="",C1876&lt;&gt;"Chi"),"",IFERROR(INDEX('Danh mục'!$B$39:$B$78,MATCH(D1876,'Danh mục'!$A$39:$A$78,0))&amp;"","?"))</f>
      </c>
      <c r="F1876" s="16">
        <f>IF(D1876="","",IF(C1876="Thu",IFERROR(INDEX('Danh mục'!$B$26:$B$35,MATCH(D1876,'Danh mục'!$A$26:$A$35,0))&amp;"","?"),IFERROR(INDEX('Danh mục'!$D$39:$D$78,MATCH(D1876,'Danh mục'!$A$39:$A$78,0))&amp;"","?")))</f>
      </c>
      <c r="G1876" s="16">
        <f>IF(OR(D1876="",C1876&lt;&gt;"Chi"),"",IFERROR(INDEX('Danh mục'!$C$39:$C$78,MATCH(D1876,'Danh mục'!$A$39:$A$78,0))&amp;"",""))</f>
      </c>
      <c r="H1876" s="11"/>
      <c r="I1876" s="20"/>
      <c r="J1876" s="11"/>
      <c r="K1876" s="11"/>
      <c r="L1876" s="11"/>
    </row>
    <row r="1877" spans="1:12" x14ac:dyDescent="0.3">
      <c r="A1877" s="31"/>
      <c r="B1877" s="32">
        <f>IF(A1877="","",DATE(YEAR(A1877),MONTH(A1877),1))</f>
      </c>
      <c r="C1877" s="11"/>
      <c r="D1877" s="11"/>
      <c r="E1877" s="16">
        <f>IF(OR(D1877="",C1877&lt;&gt;"Chi"),"",IFERROR(INDEX('Danh mục'!$B$39:$B$78,MATCH(D1877,'Danh mục'!$A$39:$A$78,0))&amp;"","?"))</f>
      </c>
      <c r="F1877" s="16">
        <f>IF(D1877="","",IF(C1877="Thu",IFERROR(INDEX('Danh mục'!$B$26:$B$35,MATCH(D1877,'Danh mục'!$A$26:$A$35,0))&amp;"","?"),IFERROR(INDEX('Danh mục'!$D$39:$D$78,MATCH(D1877,'Danh mục'!$A$39:$A$78,0))&amp;"","?")))</f>
      </c>
      <c r="G1877" s="16">
        <f>IF(OR(D1877="",C1877&lt;&gt;"Chi"),"",IFERROR(INDEX('Danh mục'!$C$39:$C$78,MATCH(D1877,'Danh mục'!$A$39:$A$78,0))&amp;"",""))</f>
      </c>
      <c r="H1877" s="11"/>
      <c r="I1877" s="20"/>
      <c r="J1877" s="11"/>
      <c r="K1877" s="11"/>
      <c r="L1877" s="11"/>
    </row>
    <row r="1878" spans="1:12" x14ac:dyDescent="0.3">
      <c r="A1878" s="31"/>
      <c r="B1878" s="32">
        <f>IF(A1878="","",DATE(YEAR(A1878),MONTH(A1878),1))</f>
      </c>
      <c r="C1878" s="11"/>
      <c r="D1878" s="11"/>
      <c r="E1878" s="16">
        <f>IF(OR(D1878="",C1878&lt;&gt;"Chi"),"",IFERROR(INDEX('Danh mục'!$B$39:$B$78,MATCH(D1878,'Danh mục'!$A$39:$A$78,0))&amp;"","?"))</f>
      </c>
      <c r="F1878" s="16">
        <f>IF(D1878="","",IF(C1878="Thu",IFERROR(INDEX('Danh mục'!$B$26:$B$35,MATCH(D1878,'Danh mục'!$A$26:$A$35,0))&amp;"","?"),IFERROR(INDEX('Danh mục'!$D$39:$D$78,MATCH(D1878,'Danh mục'!$A$39:$A$78,0))&amp;"","?")))</f>
      </c>
      <c r="G1878" s="16">
        <f>IF(OR(D1878="",C1878&lt;&gt;"Chi"),"",IFERROR(INDEX('Danh mục'!$C$39:$C$78,MATCH(D1878,'Danh mục'!$A$39:$A$78,0))&amp;"",""))</f>
      </c>
      <c r="H1878" s="11"/>
      <c r="I1878" s="20"/>
      <c r="J1878" s="11"/>
      <c r="K1878" s="11"/>
      <c r="L1878" s="11"/>
    </row>
    <row r="1879" spans="1:12" x14ac:dyDescent="0.3">
      <c r="A1879" s="31"/>
      <c r="B1879" s="32">
        <f>IF(A1879="","",DATE(YEAR(A1879),MONTH(A1879),1))</f>
      </c>
      <c r="C1879" s="11"/>
      <c r="D1879" s="11"/>
      <c r="E1879" s="16">
        <f>IF(OR(D1879="",C1879&lt;&gt;"Chi"),"",IFERROR(INDEX('Danh mục'!$B$39:$B$78,MATCH(D1879,'Danh mục'!$A$39:$A$78,0))&amp;"","?"))</f>
      </c>
      <c r="F1879" s="16">
        <f>IF(D1879="","",IF(C1879="Thu",IFERROR(INDEX('Danh mục'!$B$26:$B$35,MATCH(D1879,'Danh mục'!$A$26:$A$35,0))&amp;"","?"),IFERROR(INDEX('Danh mục'!$D$39:$D$78,MATCH(D1879,'Danh mục'!$A$39:$A$78,0))&amp;"","?")))</f>
      </c>
      <c r="G1879" s="16">
        <f>IF(OR(D1879="",C1879&lt;&gt;"Chi"),"",IFERROR(INDEX('Danh mục'!$C$39:$C$78,MATCH(D1879,'Danh mục'!$A$39:$A$78,0))&amp;"",""))</f>
      </c>
      <c r="H1879" s="11"/>
      <c r="I1879" s="20"/>
      <c r="J1879" s="11"/>
      <c r="K1879" s="11"/>
      <c r="L1879" s="11"/>
    </row>
    <row r="1880" spans="1:12" x14ac:dyDescent="0.3">
      <c r="A1880" s="31"/>
      <c r="B1880" s="32">
        <f>IF(A1880="","",DATE(YEAR(A1880),MONTH(A1880),1))</f>
      </c>
      <c r="C1880" s="11"/>
      <c r="D1880" s="11"/>
      <c r="E1880" s="16">
        <f>IF(OR(D1880="",C1880&lt;&gt;"Chi"),"",IFERROR(INDEX('Danh mục'!$B$39:$B$78,MATCH(D1880,'Danh mục'!$A$39:$A$78,0))&amp;"","?"))</f>
      </c>
      <c r="F1880" s="16">
        <f>IF(D1880="","",IF(C1880="Thu",IFERROR(INDEX('Danh mục'!$B$26:$B$35,MATCH(D1880,'Danh mục'!$A$26:$A$35,0))&amp;"","?"),IFERROR(INDEX('Danh mục'!$D$39:$D$78,MATCH(D1880,'Danh mục'!$A$39:$A$78,0))&amp;"","?")))</f>
      </c>
      <c r="G1880" s="16">
        <f>IF(OR(D1880="",C1880&lt;&gt;"Chi"),"",IFERROR(INDEX('Danh mục'!$C$39:$C$78,MATCH(D1880,'Danh mục'!$A$39:$A$78,0))&amp;"",""))</f>
      </c>
      <c r="H1880" s="11"/>
      <c r="I1880" s="20"/>
      <c r="J1880" s="11"/>
      <c r="K1880" s="11"/>
      <c r="L1880" s="11"/>
    </row>
    <row r="1881" spans="1:12" x14ac:dyDescent="0.3">
      <c r="A1881" s="31"/>
      <c r="B1881" s="32">
        <f>IF(A1881="","",DATE(YEAR(A1881),MONTH(A1881),1))</f>
      </c>
      <c r="C1881" s="11"/>
      <c r="D1881" s="11"/>
      <c r="E1881" s="16">
        <f>IF(OR(D1881="",C1881&lt;&gt;"Chi"),"",IFERROR(INDEX('Danh mục'!$B$39:$B$78,MATCH(D1881,'Danh mục'!$A$39:$A$78,0))&amp;"","?"))</f>
      </c>
      <c r="F1881" s="16">
        <f>IF(D1881="","",IF(C1881="Thu",IFERROR(INDEX('Danh mục'!$B$26:$B$35,MATCH(D1881,'Danh mục'!$A$26:$A$35,0))&amp;"","?"),IFERROR(INDEX('Danh mục'!$D$39:$D$78,MATCH(D1881,'Danh mục'!$A$39:$A$78,0))&amp;"","?")))</f>
      </c>
      <c r="G1881" s="16">
        <f>IF(OR(D1881="",C1881&lt;&gt;"Chi"),"",IFERROR(INDEX('Danh mục'!$C$39:$C$78,MATCH(D1881,'Danh mục'!$A$39:$A$78,0))&amp;"",""))</f>
      </c>
      <c r="H1881" s="11"/>
      <c r="I1881" s="20"/>
      <c r="J1881" s="11"/>
      <c r="K1881" s="11"/>
      <c r="L1881" s="11"/>
    </row>
    <row r="1882" spans="1:12" x14ac:dyDescent="0.3">
      <c r="A1882" s="31"/>
      <c r="B1882" s="32">
        <f>IF(A1882="","",DATE(YEAR(A1882),MONTH(A1882),1))</f>
      </c>
      <c r="C1882" s="11"/>
      <c r="D1882" s="11"/>
      <c r="E1882" s="16">
        <f>IF(OR(D1882="",C1882&lt;&gt;"Chi"),"",IFERROR(INDEX('Danh mục'!$B$39:$B$78,MATCH(D1882,'Danh mục'!$A$39:$A$78,0))&amp;"","?"))</f>
      </c>
      <c r="F1882" s="16">
        <f>IF(D1882="","",IF(C1882="Thu",IFERROR(INDEX('Danh mục'!$B$26:$B$35,MATCH(D1882,'Danh mục'!$A$26:$A$35,0))&amp;"","?"),IFERROR(INDEX('Danh mục'!$D$39:$D$78,MATCH(D1882,'Danh mục'!$A$39:$A$78,0))&amp;"","?")))</f>
      </c>
      <c r="G1882" s="16">
        <f>IF(OR(D1882="",C1882&lt;&gt;"Chi"),"",IFERROR(INDEX('Danh mục'!$C$39:$C$78,MATCH(D1882,'Danh mục'!$A$39:$A$78,0))&amp;"",""))</f>
      </c>
      <c r="H1882" s="11"/>
      <c r="I1882" s="20"/>
      <c r="J1882" s="11"/>
      <c r="K1882" s="11"/>
      <c r="L1882" s="11"/>
    </row>
    <row r="1883" spans="1:12" x14ac:dyDescent="0.3">
      <c r="A1883" s="31"/>
      <c r="B1883" s="32">
        <f>IF(A1883="","",DATE(YEAR(A1883),MONTH(A1883),1))</f>
      </c>
      <c r="C1883" s="11"/>
      <c r="D1883" s="11"/>
      <c r="E1883" s="16">
        <f>IF(OR(D1883="",C1883&lt;&gt;"Chi"),"",IFERROR(INDEX('Danh mục'!$B$39:$B$78,MATCH(D1883,'Danh mục'!$A$39:$A$78,0))&amp;"","?"))</f>
      </c>
      <c r="F1883" s="16">
        <f>IF(D1883="","",IF(C1883="Thu",IFERROR(INDEX('Danh mục'!$B$26:$B$35,MATCH(D1883,'Danh mục'!$A$26:$A$35,0))&amp;"","?"),IFERROR(INDEX('Danh mục'!$D$39:$D$78,MATCH(D1883,'Danh mục'!$A$39:$A$78,0))&amp;"","?")))</f>
      </c>
      <c r="G1883" s="16">
        <f>IF(OR(D1883="",C1883&lt;&gt;"Chi"),"",IFERROR(INDEX('Danh mục'!$C$39:$C$78,MATCH(D1883,'Danh mục'!$A$39:$A$78,0))&amp;"",""))</f>
      </c>
      <c r="H1883" s="11"/>
      <c r="I1883" s="20"/>
      <c r="J1883" s="11"/>
      <c r="K1883" s="11"/>
      <c r="L1883" s="11"/>
    </row>
    <row r="1884" spans="1:12" x14ac:dyDescent="0.3">
      <c r="A1884" s="31"/>
      <c r="B1884" s="32">
        <f>IF(A1884="","",DATE(YEAR(A1884),MONTH(A1884),1))</f>
      </c>
      <c r="C1884" s="11"/>
      <c r="D1884" s="11"/>
      <c r="E1884" s="16">
        <f>IF(OR(D1884="",C1884&lt;&gt;"Chi"),"",IFERROR(INDEX('Danh mục'!$B$39:$B$78,MATCH(D1884,'Danh mục'!$A$39:$A$78,0))&amp;"","?"))</f>
      </c>
      <c r="F1884" s="16">
        <f>IF(D1884="","",IF(C1884="Thu",IFERROR(INDEX('Danh mục'!$B$26:$B$35,MATCH(D1884,'Danh mục'!$A$26:$A$35,0))&amp;"","?"),IFERROR(INDEX('Danh mục'!$D$39:$D$78,MATCH(D1884,'Danh mục'!$A$39:$A$78,0))&amp;"","?")))</f>
      </c>
      <c r="G1884" s="16">
        <f>IF(OR(D1884="",C1884&lt;&gt;"Chi"),"",IFERROR(INDEX('Danh mục'!$C$39:$C$78,MATCH(D1884,'Danh mục'!$A$39:$A$78,0))&amp;"",""))</f>
      </c>
      <c r="H1884" s="11"/>
      <c r="I1884" s="20"/>
      <c r="J1884" s="11"/>
      <c r="K1884" s="11"/>
      <c r="L1884" s="11"/>
    </row>
    <row r="1885" spans="1:12" x14ac:dyDescent="0.3">
      <c r="A1885" s="31"/>
      <c r="B1885" s="32">
        <f>IF(A1885="","",DATE(YEAR(A1885),MONTH(A1885),1))</f>
      </c>
      <c r="C1885" s="11"/>
      <c r="D1885" s="11"/>
      <c r="E1885" s="16">
        <f>IF(OR(D1885="",C1885&lt;&gt;"Chi"),"",IFERROR(INDEX('Danh mục'!$B$39:$B$78,MATCH(D1885,'Danh mục'!$A$39:$A$78,0))&amp;"","?"))</f>
      </c>
      <c r="F1885" s="16">
        <f>IF(D1885="","",IF(C1885="Thu",IFERROR(INDEX('Danh mục'!$B$26:$B$35,MATCH(D1885,'Danh mục'!$A$26:$A$35,0))&amp;"","?"),IFERROR(INDEX('Danh mục'!$D$39:$D$78,MATCH(D1885,'Danh mục'!$A$39:$A$78,0))&amp;"","?")))</f>
      </c>
      <c r="G1885" s="16">
        <f>IF(OR(D1885="",C1885&lt;&gt;"Chi"),"",IFERROR(INDEX('Danh mục'!$C$39:$C$78,MATCH(D1885,'Danh mục'!$A$39:$A$78,0))&amp;"",""))</f>
      </c>
      <c r="H1885" s="11"/>
      <c r="I1885" s="20"/>
      <c r="J1885" s="11"/>
      <c r="K1885" s="11"/>
      <c r="L1885" s="11"/>
    </row>
    <row r="1886" spans="1:12" x14ac:dyDescent="0.3">
      <c r="A1886" s="31"/>
      <c r="B1886" s="32">
        <f>IF(A1886="","",DATE(YEAR(A1886),MONTH(A1886),1))</f>
      </c>
      <c r="C1886" s="11"/>
      <c r="D1886" s="11"/>
      <c r="E1886" s="16">
        <f>IF(OR(D1886="",C1886&lt;&gt;"Chi"),"",IFERROR(INDEX('Danh mục'!$B$39:$B$78,MATCH(D1886,'Danh mục'!$A$39:$A$78,0))&amp;"","?"))</f>
      </c>
      <c r="F1886" s="16">
        <f>IF(D1886="","",IF(C1886="Thu",IFERROR(INDEX('Danh mục'!$B$26:$B$35,MATCH(D1886,'Danh mục'!$A$26:$A$35,0))&amp;"","?"),IFERROR(INDEX('Danh mục'!$D$39:$D$78,MATCH(D1886,'Danh mục'!$A$39:$A$78,0))&amp;"","?")))</f>
      </c>
      <c r="G1886" s="16">
        <f>IF(OR(D1886="",C1886&lt;&gt;"Chi"),"",IFERROR(INDEX('Danh mục'!$C$39:$C$78,MATCH(D1886,'Danh mục'!$A$39:$A$78,0))&amp;"",""))</f>
      </c>
      <c r="H1886" s="11"/>
      <c r="I1886" s="20"/>
      <c r="J1886" s="11"/>
      <c r="K1886" s="11"/>
      <c r="L1886" s="11"/>
    </row>
    <row r="1887" spans="1:12" x14ac:dyDescent="0.3">
      <c r="A1887" s="31"/>
      <c r="B1887" s="32">
        <f>IF(A1887="","",DATE(YEAR(A1887),MONTH(A1887),1))</f>
      </c>
      <c r="C1887" s="11"/>
      <c r="D1887" s="11"/>
      <c r="E1887" s="16">
        <f>IF(OR(D1887="",C1887&lt;&gt;"Chi"),"",IFERROR(INDEX('Danh mục'!$B$39:$B$78,MATCH(D1887,'Danh mục'!$A$39:$A$78,0))&amp;"","?"))</f>
      </c>
      <c r="F1887" s="16">
        <f>IF(D1887="","",IF(C1887="Thu",IFERROR(INDEX('Danh mục'!$B$26:$B$35,MATCH(D1887,'Danh mục'!$A$26:$A$35,0))&amp;"","?"),IFERROR(INDEX('Danh mục'!$D$39:$D$78,MATCH(D1887,'Danh mục'!$A$39:$A$78,0))&amp;"","?")))</f>
      </c>
      <c r="G1887" s="16">
        <f>IF(OR(D1887="",C1887&lt;&gt;"Chi"),"",IFERROR(INDEX('Danh mục'!$C$39:$C$78,MATCH(D1887,'Danh mục'!$A$39:$A$78,0))&amp;"",""))</f>
      </c>
      <c r="H1887" s="11"/>
      <c r="I1887" s="20"/>
      <c r="J1887" s="11"/>
      <c r="K1887" s="11"/>
      <c r="L1887" s="11"/>
    </row>
    <row r="1888" spans="1:12" x14ac:dyDescent="0.3">
      <c r="A1888" s="31"/>
      <c r="B1888" s="32">
        <f>IF(A1888="","",DATE(YEAR(A1888),MONTH(A1888),1))</f>
      </c>
      <c r="C1888" s="11"/>
      <c r="D1888" s="11"/>
      <c r="E1888" s="16">
        <f>IF(OR(D1888="",C1888&lt;&gt;"Chi"),"",IFERROR(INDEX('Danh mục'!$B$39:$B$78,MATCH(D1888,'Danh mục'!$A$39:$A$78,0))&amp;"","?"))</f>
      </c>
      <c r="F1888" s="16">
        <f>IF(D1888="","",IF(C1888="Thu",IFERROR(INDEX('Danh mục'!$B$26:$B$35,MATCH(D1888,'Danh mục'!$A$26:$A$35,0))&amp;"","?"),IFERROR(INDEX('Danh mục'!$D$39:$D$78,MATCH(D1888,'Danh mục'!$A$39:$A$78,0))&amp;"","?")))</f>
      </c>
      <c r="G1888" s="16">
        <f>IF(OR(D1888="",C1888&lt;&gt;"Chi"),"",IFERROR(INDEX('Danh mục'!$C$39:$C$78,MATCH(D1888,'Danh mục'!$A$39:$A$78,0))&amp;"",""))</f>
      </c>
      <c r="H1888" s="11"/>
      <c r="I1888" s="20"/>
      <c r="J1888" s="11"/>
      <c r="K1888" s="11"/>
      <c r="L1888" s="11"/>
    </row>
    <row r="1889" spans="1:12" x14ac:dyDescent="0.3">
      <c r="A1889" s="31"/>
      <c r="B1889" s="32">
        <f>IF(A1889="","",DATE(YEAR(A1889),MONTH(A1889),1))</f>
      </c>
      <c r="C1889" s="11"/>
      <c r="D1889" s="11"/>
      <c r="E1889" s="16">
        <f>IF(OR(D1889="",C1889&lt;&gt;"Chi"),"",IFERROR(INDEX('Danh mục'!$B$39:$B$78,MATCH(D1889,'Danh mục'!$A$39:$A$78,0))&amp;"","?"))</f>
      </c>
      <c r="F1889" s="16">
        <f>IF(D1889="","",IF(C1889="Thu",IFERROR(INDEX('Danh mục'!$B$26:$B$35,MATCH(D1889,'Danh mục'!$A$26:$A$35,0))&amp;"","?"),IFERROR(INDEX('Danh mục'!$D$39:$D$78,MATCH(D1889,'Danh mục'!$A$39:$A$78,0))&amp;"","?")))</f>
      </c>
      <c r="G1889" s="16">
        <f>IF(OR(D1889="",C1889&lt;&gt;"Chi"),"",IFERROR(INDEX('Danh mục'!$C$39:$C$78,MATCH(D1889,'Danh mục'!$A$39:$A$78,0))&amp;"",""))</f>
      </c>
      <c r="H1889" s="11"/>
      <c r="I1889" s="20"/>
      <c r="J1889" s="11"/>
      <c r="K1889" s="11"/>
      <c r="L1889" s="11"/>
    </row>
    <row r="1890" spans="1:12" x14ac:dyDescent="0.3">
      <c r="A1890" s="31"/>
      <c r="B1890" s="32">
        <f>IF(A1890="","",DATE(YEAR(A1890),MONTH(A1890),1))</f>
      </c>
      <c r="C1890" s="11"/>
      <c r="D1890" s="11"/>
      <c r="E1890" s="16">
        <f>IF(OR(D1890="",C1890&lt;&gt;"Chi"),"",IFERROR(INDEX('Danh mục'!$B$39:$B$78,MATCH(D1890,'Danh mục'!$A$39:$A$78,0))&amp;"","?"))</f>
      </c>
      <c r="F1890" s="16">
        <f>IF(D1890="","",IF(C1890="Thu",IFERROR(INDEX('Danh mục'!$B$26:$B$35,MATCH(D1890,'Danh mục'!$A$26:$A$35,0))&amp;"","?"),IFERROR(INDEX('Danh mục'!$D$39:$D$78,MATCH(D1890,'Danh mục'!$A$39:$A$78,0))&amp;"","?")))</f>
      </c>
      <c r="G1890" s="16">
        <f>IF(OR(D1890="",C1890&lt;&gt;"Chi"),"",IFERROR(INDEX('Danh mục'!$C$39:$C$78,MATCH(D1890,'Danh mục'!$A$39:$A$78,0))&amp;"",""))</f>
      </c>
      <c r="H1890" s="11"/>
      <c r="I1890" s="20"/>
      <c r="J1890" s="11"/>
      <c r="K1890" s="11"/>
      <c r="L1890" s="11"/>
    </row>
    <row r="1891" spans="1:12" x14ac:dyDescent="0.3">
      <c r="A1891" s="31"/>
      <c r="B1891" s="32">
        <f>IF(A1891="","",DATE(YEAR(A1891),MONTH(A1891),1))</f>
      </c>
      <c r="C1891" s="11"/>
      <c r="D1891" s="11"/>
      <c r="E1891" s="16">
        <f>IF(OR(D1891="",C1891&lt;&gt;"Chi"),"",IFERROR(INDEX('Danh mục'!$B$39:$B$78,MATCH(D1891,'Danh mục'!$A$39:$A$78,0))&amp;"","?"))</f>
      </c>
      <c r="F1891" s="16">
        <f>IF(D1891="","",IF(C1891="Thu",IFERROR(INDEX('Danh mục'!$B$26:$B$35,MATCH(D1891,'Danh mục'!$A$26:$A$35,0))&amp;"","?"),IFERROR(INDEX('Danh mục'!$D$39:$D$78,MATCH(D1891,'Danh mục'!$A$39:$A$78,0))&amp;"","?")))</f>
      </c>
      <c r="G1891" s="16">
        <f>IF(OR(D1891="",C1891&lt;&gt;"Chi"),"",IFERROR(INDEX('Danh mục'!$C$39:$C$78,MATCH(D1891,'Danh mục'!$A$39:$A$78,0))&amp;"",""))</f>
      </c>
      <c r="H1891" s="11"/>
      <c r="I1891" s="20"/>
      <c r="J1891" s="11"/>
      <c r="K1891" s="11"/>
      <c r="L1891" s="11"/>
    </row>
    <row r="1892" spans="1:12" x14ac:dyDescent="0.3">
      <c r="A1892" s="31"/>
      <c r="B1892" s="32">
        <f>IF(A1892="","",DATE(YEAR(A1892),MONTH(A1892),1))</f>
      </c>
      <c r="C1892" s="11"/>
      <c r="D1892" s="11"/>
      <c r="E1892" s="16">
        <f>IF(OR(D1892="",C1892&lt;&gt;"Chi"),"",IFERROR(INDEX('Danh mục'!$B$39:$B$78,MATCH(D1892,'Danh mục'!$A$39:$A$78,0))&amp;"","?"))</f>
      </c>
      <c r="F1892" s="16">
        <f>IF(D1892="","",IF(C1892="Thu",IFERROR(INDEX('Danh mục'!$B$26:$B$35,MATCH(D1892,'Danh mục'!$A$26:$A$35,0))&amp;"","?"),IFERROR(INDEX('Danh mục'!$D$39:$D$78,MATCH(D1892,'Danh mục'!$A$39:$A$78,0))&amp;"","?")))</f>
      </c>
      <c r="G1892" s="16">
        <f>IF(OR(D1892="",C1892&lt;&gt;"Chi"),"",IFERROR(INDEX('Danh mục'!$C$39:$C$78,MATCH(D1892,'Danh mục'!$A$39:$A$78,0))&amp;"",""))</f>
      </c>
      <c r="H1892" s="11"/>
      <c r="I1892" s="20"/>
      <c r="J1892" s="11"/>
      <c r="K1892" s="11"/>
      <c r="L1892" s="11"/>
    </row>
    <row r="1893" spans="1:12" x14ac:dyDescent="0.3">
      <c r="A1893" s="31"/>
      <c r="B1893" s="32">
        <f>IF(A1893="","",DATE(YEAR(A1893),MONTH(A1893),1))</f>
      </c>
      <c r="C1893" s="11"/>
      <c r="D1893" s="11"/>
      <c r="E1893" s="16">
        <f>IF(OR(D1893="",C1893&lt;&gt;"Chi"),"",IFERROR(INDEX('Danh mục'!$B$39:$B$78,MATCH(D1893,'Danh mục'!$A$39:$A$78,0))&amp;"","?"))</f>
      </c>
      <c r="F1893" s="16">
        <f>IF(D1893="","",IF(C1893="Thu",IFERROR(INDEX('Danh mục'!$B$26:$B$35,MATCH(D1893,'Danh mục'!$A$26:$A$35,0))&amp;"","?"),IFERROR(INDEX('Danh mục'!$D$39:$D$78,MATCH(D1893,'Danh mục'!$A$39:$A$78,0))&amp;"","?")))</f>
      </c>
      <c r="G1893" s="16">
        <f>IF(OR(D1893="",C1893&lt;&gt;"Chi"),"",IFERROR(INDEX('Danh mục'!$C$39:$C$78,MATCH(D1893,'Danh mục'!$A$39:$A$78,0))&amp;"",""))</f>
      </c>
      <c r="H1893" s="11"/>
      <c r="I1893" s="20"/>
      <c r="J1893" s="11"/>
      <c r="K1893" s="11"/>
      <c r="L1893" s="11"/>
    </row>
    <row r="1894" spans="1:12" x14ac:dyDescent="0.3">
      <c r="A1894" s="31"/>
      <c r="B1894" s="32">
        <f>IF(A1894="","",DATE(YEAR(A1894),MONTH(A1894),1))</f>
      </c>
      <c r="C1894" s="11"/>
      <c r="D1894" s="11"/>
      <c r="E1894" s="16">
        <f>IF(OR(D1894="",C1894&lt;&gt;"Chi"),"",IFERROR(INDEX('Danh mục'!$B$39:$B$78,MATCH(D1894,'Danh mục'!$A$39:$A$78,0))&amp;"","?"))</f>
      </c>
      <c r="F1894" s="16">
        <f>IF(D1894="","",IF(C1894="Thu",IFERROR(INDEX('Danh mục'!$B$26:$B$35,MATCH(D1894,'Danh mục'!$A$26:$A$35,0))&amp;"","?"),IFERROR(INDEX('Danh mục'!$D$39:$D$78,MATCH(D1894,'Danh mục'!$A$39:$A$78,0))&amp;"","?")))</f>
      </c>
      <c r="G1894" s="16">
        <f>IF(OR(D1894="",C1894&lt;&gt;"Chi"),"",IFERROR(INDEX('Danh mục'!$C$39:$C$78,MATCH(D1894,'Danh mục'!$A$39:$A$78,0))&amp;"",""))</f>
      </c>
      <c r="H1894" s="11"/>
      <c r="I1894" s="20"/>
      <c r="J1894" s="11"/>
      <c r="K1894" s="11"/>
      <c r="L1894" s="11"/>
    </row>
    <row r="1895" spans="1:12" x14ac:dyDescent="0.3">
      <c r="A1895" s="31"/>
      <c r="B1895" s="32">
        <f>IF(A1895="","",DATE(YEAR(A1895),MONTH(A1895),1))</f>
      </c>
      <c r="C1895" s="11"/>
      <c r="D1895" s="11"/>
      <c r="E1895" s="16">
        <f>IF(OR(D1895="",C1895&lt;&gt;"Chi"),"",IFERROR(INDEX('Danh mục'!$B$39:$B$78,MATCH(D1895,'Danh mục'!$A$39:$A$78,0))&amp;"","?"))</f>
      </c>
      <c r="F1895" s="16">
        <f>IF(D1895="","",IF(C1895="Thu",IFERROR(INDEX('Danh mục'!$B$26:$B$35,MATCH(D1895,'Danh mục'!$A$26:$A$35,0))&amp;"","?"),IFERROR(INDEX('Danh mục'!$D$39:$D$78,MATCH(D1895,'Danh mục'!$A$39:$A$78,0))&amp;"","?")))</f>
      </c>
      <c r="G1895" s="16">
        <f>IF(OR(D1895="",C1895&lt;&gt;"Chi"),"",IFERROR(INDEX('Danh mục'!$C$39:$C$78,MATCH(D1895,'Danh mục'!$A$39:$A$78,0))&amp;"",""))</f>
      </c>
      <c r="H1895" s="11"/>
      <c r="I1895" s="20"/>
      <c r="J1895" s="11"/>
      <c r="K1895" s="11"/>
      <c r="L1895" s="11"/>
    </row>
    <row r="1896" spans="1:12" x14ac:dyDescent="0.3">
      <c r="A1896" s="31"/>
      <c r="B1896" s="32">
        <f>IF(A1896="","",DATE(YEAR(A1896),MONTH(A1896),1))</f>
      </c>
      <c r="C1896" s="11"/>
      <c r="D1896" s="11"/>
      <c r="E1896" s="16">
        <f>IF(OR(D1896="",C1896&lt;&gt;"Chi"),"",IFERROR(INDEX('Danh mục'!$B$39:$B$78,MATCH(D1896,'Danh mục'!$A$39:$A$78,0))&amp;"","?"))</f>
      </c>
      <c r="F1896" s="16">
        <f>IF(D1896="","",IF(C1896="Thu",IFERROR(INDEX('Danh mục'!$B$26:$B$35,MATCH(D1896,'Danh mục'!$A$26:$A$35,0))&amp;"","?"),IFERROR(INDEX('Danh mục'!$D$39:$D$78,MATCH(D1896,'Danh mục'!$A$39:$A$78,0))&amp;"","?")))</f>
      </c>
      <c r="G1896" s="16">
        <f>IF(OR(D1896="",C1896&lt;&gt;"Chi"),"",IFERROR(INDEX('Danh mục'!$C$39:$C$78,MATCH(D1896,'Danh mục'!$A$39:$A$78,0))&amp;"",""))</f>
      </c>
      <c r="H1896" s="11"/>
      <c r="I1896" s="20"/>
      <c r="J1896" s="11"/>
      <c r="K1896" s="11"/>
      <c r="L1896" s="11"/>
    </row>
    <row r="1897" spans="1:12" x14ac:dyDescent="0.3">
      <c r="A1897" s="31"/>
      <c r="B1897" s="32">
        <f>IF(A1897="","",DATE(YEAR(A1897),MONTH(A1897),1))</f>
      </c>
      <c r="C1897" s="11"/>
      <c r="D1897" s="11"/>
      <c r="E1897" s="16">
        <f>IF(OR(D1897="",C1897&lt;&gt;"Chi"),"",IFERROR(INDEX('Danh mục'!$B$39:$B$78,MATCH(D1897,'Danh mục'!$A$39:$A$78,0))&amp;"","?"))</f>
      </c>
      <c r="F1897" s="16">
        <f>IF(D1897="","",IF(C1897="Thu",IFERROR(INDEX('Danh mục'!$B$26:$B$35,MATCH(D1897,'Danh mục'!$A$26:$A$35,0))&amp;"","?"),IFERROR(INDEX('Danh mục'!$D$39:$D$78,MATCH(D1897,'Danh mục'!$A$39:$A$78,0))&amp;"","?")))</f>
      </c>
      <c r="G1897" s="16">
        <f>IF(OR(D1897="",C1897&lt;&gt;"Chi"),"",IFERROR(INDEX('Danh mục'!$C$39:$C$78,MATCH(D1897,'Danh mục'!$A$39:$A$78,0))&amp;"",""))</f>
      </c>
      <c r="H1897" s="11"/>
      <c r="I1897" s="20"/>
      <c r="J1897" s="11"/>
      <c r="K1897" s="11"/>
      <c r="L1897" s="11"/>
    </row>
    <row r="1898" spans="1:12" x14ac:dyDescent="0.3">
      <c r="A1898" s="31"/>
      <c r="B1898" s="32">
        <f>IF(A1898="","",DATE(YEAR(A1898),MONTH(A1898),1))</f>
      </c>
      <c r="C1898" s="11"/>
      <c r="D1898" s="11"/>
      <c r="E1898" s="16">
        <f>IF(OR(D1898="",C1898&lt;&gt;"Chi"),"",IFERROR(INDEX('Danh mục'!$B$39:$B$78,MATCH(D1898,'Danh mục'!$A$39:$A$78,0))&amp;"","?"))</f>
      </c>
      <c r="F1898" s="16">
        <f>IF(D1898="","",IF(C1898="Thu",IFERROR(INDEX('Danh mục'!$B$26:$B$35,MATCH(D1898,'Danh mục'!$A$26:$A$35,0))&amp;"","?"),IFERROR(INDEX('Danh mục'!$D$39:$D$78,MATCH(D1898,'Danh mục'!$A$39:$A$78,0))&amp;"","?")))</f>
      </c>
      <c r="G1898" s="16">
        <f>IF(OR(D1898="",C1898&lt;&gt;"Chi"),"",IFERROR(INDEX('Danh mục'!$C$39:$C$78,MATCH(D1898,'Danh mục'!$A$39:$A$78,0))&amp;"",""))</f>
      </c>
      <c r="H1898" s="11"/>
      <c r="I1898" s="20"/>
      <c r="J1898" s="11"/>
      <c r="K1898" s="11"/>
      <c r="L1898" s="11"/>
    </row>
    <row r="1899" spans="1:12" x14ac:dyDescent="0.3">
      <c r="A1899" s="31"/>
      <c r="B1899" s="32">
        <f>IF(A1899="","",DATE(YEAR(A1899),MONTH(A1899),1))</f>
      </c>
      <c r="C1899" s="11"/>
      <c r="D1899" s="11"/>
      <c r="E1899" s="16">
        <f>IF(OR(D1899="",C1899&lt;&gt;"Chi"),"",IFERROR(INDEX('Danh mục'!$B$39:$B$78,MATCH(D1899,'Danh mục'!$A$39:$A$78,0))&amp;"","?"))</f>
      </c>
      <c r="F1899" s="16">
        <f>IF(D1899="","",IF(C1899="Thu",IFERROR(INDEX('Danh mục'!$B$26:$B$35,MATCH(D1899,'Danh mục'!$A$26:$A$35,0))&amp;"","?"),IFERROR(INDEX('Danh mục'!$D$39:$D$78,MATCH(D1899,'Danh mục'!$A$39:$A$78,0))&amp;"","?")))</f>
      </c>
      <c r="G1899" s="16">
        <f>IF(OR(D1899="",C1899&lt;&gt;"Chi"),"",IFERROR(INDEX('Danh mục'!$C$39:$C$78,MATCH(D1899,'Danh mục'!$A$39:$A$78,0))&amp;"",""))</f>
      </c>
      <c r="H1899" s="11"/>
      <c r="I1899" s="20"/>
      <c r="J1899" s="11"/>
      <c r="K1899" s="11"/>
      <c r="L1899" s="11"/>
    </row>
    <row r="1900" spans="1:12" x14ac:dyDescent="0.3">
      <c r="A1900" s="31"/>
      <c r="B1900" s="32">
        <f>IF(A1900="","",DATE(YEAR(A1900),MONTH(A1900),1))</f>
      </c>
      <c r="C1900" s="11"/>
      <c r="D1900" s="11"/>
      <c r="E1900" s="16">
        <f>IF(OR(D1900="",C1900&lt;&gt;"Chi"),"",IFERROR(INDEX('Danh mục'!$B$39:$B$78,MATCH(D1900,'Danh mục'!$A$39:$A$78,0))&amp;"","?"))</f>
      </c>
      <c r="F1900" s="16">
        <f>IF(D1900="","",IF(C1900="Thu",IFERROR(INDEX('Danh mục'!$B$26:$B$35,MATCH(D1900,'Danh mục'!$A$26:$A$35,0))&amp;"","?"),IFERROR(INDEX('Danh mục'!$D$39:$D$78,MATCH(D1900,'Danh mục'!$A$39:$A$78,0))&amp;"","?")))</f>
      </c>
      <c r="G1900" s="16">
        <f>IF(OR(D1900="",C1900&lt;&gt;"Chi"),"",IFERROR(INDEX('Danh mục'!$C$39:$C$78,MATCH(D1900,'Danh mục'!$A$39:$A$78,0))&amp;"",""))</f>
      </c>
      <c r="H1900" s="11"/>
      <c r="I1900" s="20"/>
      <c r="J1900" s="11"/>
      <c r="K1900" s="11"/>
      <c r="L1900" s="11"/>
    </row>
    <row r="1901" spans="1:12" x14ac:dyDescent="0.3">
      <c r="A1901" s="31"/>
      <c r="B1901" s="32">
        <f>IF(A1901="","",DATE(YEAR(A1901),MONTH(A1901),1))</f>
      </c>
      <c r="C1901" s="11"/>
      <c r="D1901" s="11"/>
      <c r="E1901" s="16">
        <f>IF(OR(D1901="",C1901&lt;&gt;"Chi"),"",IFERROR(INDEX('Danh mục'!$B$39:$B$78,MATCH(D1901,'Danh mục'!$A$39:$A$78,0))&amp;"","?"))</f>
      </c>
      <c r="F1901" s="16">
        <f>IF(D1901="","",IF(C1901="Thu",IFERROR(INDEX('Danh mục'!$B$26:$B$35,MATCH(D1901,'Danh mục'!$A$26:$A$35,0))&amp;"","?"),IFERROR(INDEX('Danh mục'!$D$39:$D$78,MATCH(D1901,'Danh mục'!$A$39:$A$78,0))&amp;"","?")))</f>
      </c>
      <c r="G1901" s="16">
        <f>IF(OR(D1901="",C1901&lt;&gt;"Chi"),"",IFERROR(INDEX('Danh mục'!$C$39:$C$78,MATCH(D1901,'Danh mục'!$A$39:$A$78,0))&amp;"",""))</f>
      </c>
      <c r="H1901" s="11"/>
      <c r="I1901" s="20"/>
      <c r="J1901" s="11"/>
      <c r="K1901" s="11"/>
      <c r="L1901" s="11"/>
    </row>
    <row r="1902" spans="1:12" x14ac:dyDescent="0.3">
      <c r="A1902" s="31"/>
      <c r="B1902" s="32">
        <f>IF(A1902="","",DATE(YEAR(A1902),MONTH(A1902),1))</f>
      </c>
      <c r="C1902" s="11"/>
      <c r="D1902" s="11"/>
      <c r="E1902" s="16">
        <f>IF(OR(D1902="",C1902&lt;&gt;"Chi"),"",IFERROR(INDEX('Danh mục'!$B$39:$B$78,MATCH(D1902,'Danh mục'!$A$39:$A$78,0))&amp;"","?"))</f>
      </c>
      <c r="F1902" s="16">
        <f>IF(D1902="","",IF(C1902="Thu",IFERROR(INDEX('Danh mục'!$B$26:$B$35,MATCH(D1902,'Danh mục'!$A$26:$A$35,0))&amp;"","?"),IFERROR(INDEX('Danh mục'!$D$39:$D$78,MATCH(D1902,'Danh mục'!$A$39:$A$78,0))&amp;"","?")))</f>
      </c>
      <c r="G1902" s="16">
        <f>IF(OR(D1902="",C1902&lt;&gt;"Chi"),"",IFERROR(INDEX('Danh mục'!$C$39:$C$78,MATCH(D1902,'Danh mục'!$A$39:$A$78,0))&amp;"",""))</f>
      </c>
      <c r="H1902" s="11"/>
      <c r="I1902" s="20"/>
      <c r="J1902" s="11"/>
      <c r="K1902" s="11"/>
      <c r="L1902" s="11"/>
    </row>
    <row r="1903" spans="1:12" x14ac:dyDescent="0.3">
      <c r="A1903" s="31"/>
      <c r="B1903" s="32">
        <f>IF(A1903="","",DATE(YEAR(A1903),MONTH(A1903),1))</f>
      </c>
      <c r="C1903" s="11"/>
      <c r="D1903" s="11"/>
      <c r="E1903" s="16">
        <f>IF(OR(D1903="",C1903&lt;&gt;"Chi"),"",IFERROR(INDEX('Danh mục'!$B$39:$B$78,MATCH(D1903,'Danh mục'!$A$39:$A$78,0))&amp;"","?"))</f>
      </c>
      <c r="F1903" s="16">
        <f>IF(D1903="","",IF(C1903="Thu",IFERROR(INDEX('Danh mục'!$B$26:$B$35,MATCH(D1903,'Danh mục'!$A$26:$A$35,0))&amp;"","?"),IFERROR(INDEX('Danh mục'!$D$39:$D$78,MATCH(D1903,'Danh mục'!$A$39:$A$78,0))&amp;"","?")))</f>
      </c>
      <c r="G1903" s="16">
        <f>IF(OR(D1903="",C1903&lt;&gt;"Chi"),"",IFERROR(INDEX('Danh mục'!$C$39:$C$78,MATCH(D1903,'Danh mục'!$A$39:$A$78,0))&amp;"",""))</f>
      </c>
      <c r="H1903" s="11"/>
      <c r="I1903" s="20"/>
      <c r="J1903" s="11"/>
      <c r="K1903" s="11"/>
      <c r="L1903" s="11"/>
    </row>
    <row r="1904" spans="1:12" x14ac:dyDescent="0.3">
      <c r="A1904" s="31"/>
      <c r="B1904" s="32">
        <f>IF(A1904="","",DATE(YEAR(A1904),MONTH(A1904),1))</f>
      </c>
      <c r="C1904" s="11"/>
      <c r="D1904" s="11"/>
      <c r="E1904" s="16">
        <f>IF(OR(D1904="",C1904&lt;&gt;"Chi"),"",IFERROR(INDEX('Danh mục'!$B$39:$B$78,MATCH(D1904,'Danh mục'!$A$39:$A$78,0))&amp;"","?"))</f>
      </c>
      <c r="F1904" s="16">
        <f>IF(D1904="","",IF(C1904="Thu",IFERROR(INDEX('Danh mục'!$B$26:$B$35,MATCH(D1904,'Danh mục'!$A$26:$A$35,0))&amp;"","?"),IFERROR(INDEX('Danh mục'!$D$39:$D$78,MATCH(D1904,'Danh mục'!$A$39:$A$78,0))&amp;"","?")))</f>
      </c>
      <c r="G1904" s="16">
        <f>IF(OR(D1904="",C1904&lt;&gt;"Chi"),"",IFERROR(INDEX('Danh mục'!$C$39:$C$78,MATCH(D1904,'Danh mục'!$A$39:$A$78,0))&amp;"",""))</f>
      </c>
      <c r="H1904" s="11"/>
      <c r="I1904" s="20"/>
      <c r="J1904" s="11"/>
      <c r="K1904" s="11"/>
      <c r="L1904" s="11"/>
    </row>
    <row r="1905" spans="1:12" x14ac:dyDescent="0.3">
      <c r="A1905" s="31"/>
      <c r="B1905" s="32">
        <f>IF(A1905="","",DATE(YEAR(A1905),MONTH(A1905),1))</f>
      </c>
      <c r="C1905" s="11"/>
      <c r="D1905" s="11"/>
      <c r="E1905" s="16">
        <f>IF(OR(D1905="",C1905&lt;&gt;"Chi"),"",IFERROR(INDEX('Danh mục'!$B$39:$B$78,MATCH(D1905,'Danh mục'!$A$39:$A$78,0))&amp;"","?"))</f>
      </c>
      <c r="F1905" s="16">
        <f>IF(D1905="","",IF(C1905="Thu",IFERROR(INDEX('Danh mục'!$B$26:$B$35,MATCH(D1905,'Danh mục'!$A$26:$A$35,0))&amp;"","?"),IFERROR(INDEX('Danh mục'!$D$39:$D$78,MATCH(D1905,'Danh mục'!$A$39:$A$78,0))&amp;"","?")))</f>
      </c>
      <c r="G1905" s="16">
        <f>IF(OR(D1905="",C1905&lt;&gt;"Chi"),"",IFERROR(INDEX('Danh mục'!$C$39:$C$78,MATCH(D1905,'Danh mục'!$A$39:$A$78,0))&amp;"",""))</f>
      </c>
      <c r="H1905" s="11"/>
      <c r="I1905" s="20"/>
      <c r="J1905" s="11"/>
      <c r="K1905" s="11"/>
      <c r="L1905" s="11"/>
    </row>
    <row r="1906" spans="1:12" x14ac:dyDescent="0.3">
      <c r="A1906" s="31"/>
      <c r="B1906" s="32">
        <f>IF(A1906="","",DATE(YEAR(A1906),MONTH(A1906),1))</f>
      </c>
      <c r="C1906" s="11"/>
      <c r="D1906" s="11"/>
      <c r="E1906" s="16">
        <f>IF(OR(D1906="",C1906&lt;&gt;"Chi"),"",IFERROR(INDEX('Danh mục'!$B$39:$B$78,MATCH(D1906,'Danh mục'!$A$39:$A$78,0))&amp;"","?"))</f>
      </c>
      <c r="F1906" s="16">
        <f>IF(D1906="","",IF(C1906="Thu",IFERROR(INDEX('Danh mục'!$B$26:$B$35,MATCH(D1906,'Danh mục'!$A$26:$A$35,0))&amp;"","?"),IFERROR(INDEX('Danh mục'!$D$39:$D$78,MATCH(D1906,'Danh mục'!$A$39:$A$78,0))&amp;"","?")))</f>
      </c>
      <c r="G1906" s="16">
        <f>IF(OR(D1906="",C1906&lt;&gt;"Chi"),"",IFERROR(INDEX('Danh mục'!$C$39:$C$78,MATCH(D1906,'Danh mục'!$A$39:$A$78,0))&amp;"",""))</f>
      </c>
      <c r="H1906" s="11"/>
      <c r="I1906" s="20"/>
      <c r="J1906" s="11"/>
      <c r="K1906" s="11"/>
      <c r="L1906" s="11"/>
    </row>
    <row r="1907" spans="1:12" x14ac:dyDescent="0.3">
      <c r="A1907" s="31"/>
      <c r="B1907" s="32">
        <f>IF(A1907="","",DATE(YEAR(A1907),MONTH(A1907),1))</f>
      </c>
      <c r="C1907" s="11"/>
      <c r="D1907" s="11"/>
      <c r="E1907" s="16">
        <f>IF(OR(D1907="",C1907&lt;&gt;"Chi"),"",IFERROR(INDEX('Danh mục'!$B$39:$B$78,MATCH(D1907,'Danh mục'!$A$39:$A$78,0))&amp;"","?"))</f>
      </c>
      <c r="F1907" s="16">
        <f>IF(D1907="","",IF(C1907="Thu",IFERROR(INDEX('Danh mục'!$B$26:$B$35,MATCH(D1907,'Danh mục'!$A$26:$A$35,0))&amp;"","?"),IFERROR(INDEX('Danh mục'!$D$39:$D$78,MATCH(D1907,'Danh mục'!$A$39:$A$78,0))&amp;"","?")))</f>
      </c>
      <c r="G1907" s="16">
        <f>IF(OR(D1907="",C1907&lt;&gt;"Chi"),"",IFERROR(INDEX('Danh mục'!$C$39:$C$78,MATCH(D1907,'Danh mục'!$A$39:$A$78,0))&amp;"",""))</f>
      </c>
      <c r="H1907" s="11"/>
      <c r="I1907" s="20"/>
      <c r="J1907" s="11"/>
      <c r="K1907" s="11"/>
      <c r="L1907" s="11"/>
    </row>
    <row r="1908" spans="1:12" x14ac:dyDescent="0.3">
      <c r="A1908" s="31"/>
      <c r="B1908" s="32">
        <f>IF(A1908="","",DATE(YEAR(A1908),MONTH(A1908),1))</f>
      </c>
      <c r="C1908" s="11"/>
      <c r="D1908" s="11"/>
      <c r="E1908" s="16">
        <f>IF(OR(D1908="",C1908&lt;&gt;"Chi"),"",IFERROR(INDEX('Danh mục'!$B$39:$B$78,MATCH(D1908,'Danh mục'!$A$39:$A$78,0))&amp;"","?"))</f>
      </c>
      <c r="F1908" s="16">
        <f>IF(D1908="","",IF(C1908="Thu",IFERROR(INDEX('Danh mục'!$B$26:$B$35,MATCH(D1908,'Danh mục'!$A$26:$A$35,0))&amp;"","?"),IFERROR(INDEX('Danh mục'!$D$39:$D$78,MATCH(D1908,'Danh mục'!$A$39:$A$78,0))&amp;"","?")))</f>
      </c>
      <c r="G1908" s="16">
        <f>IF(OR(D1908="",C1908&lt;&gt;"Chi"),"",IFERROR(INDEX('Danh mục'!$C$39:$C$78,MATCH(D1908,'Danh mục'!$A$39:$A$78,0))&amp;"",""))</f>
      </c>
      <c r="H1908" s="11"/>
      <c r="I1908" s="20"/>
      <c r="J1908" s="11"/>
      <c r="K1908" s="11"/>
      <c r="L1908" s="11"/>
    </row>
    <row r="1909" spans="1:12" x14ac:dyDescent="0.3">
      <c r="A1909" s="31"/>
      <c r="B1909" s="32">
        <f>IF(A1909="","",DATE(YEAR(A1909),MONTH(A1909),1))</f>
      </c>
      <c r="C1909" s="11"/>
      <c r="D1909" s="11"/>
      <c r="E1909" s="16">
        <f>IF(OR(D1909="",C1909&lt;&gt;"Chi"),"",IFERROR(INDEX('Danh mục'!$B$39:$B$78,MATCH(D1909,'Danh mục'!$A$39:$A$78,0))&amp;"","?"))</f>
      </c>
      <c r="F1909" s="16">
        <f>IF(D1909="","",IF(C1909="Thu",IFERROR(INDEX('Danh mục'!$B$26:$B$35,MATCH(D1909,'Danh mục'!$A$26:$A$35,0))&amp;"","?"),IFERROR(INDEX('Danh mục'!$D$39:$D$78,MATCH(D1909,'Danh mục'!$A$39:$A$78,0))&amp;"","?")))</f>
      </c>
      <c r="G1909" s="16">
        <f>IF(OR(D1909="",C1909&lt;&gt;"Chi"),"",IFERROR(INDEX('Danh mục'!$C$39:$C$78,MATCH(D1909,'Danh mục'!$A$39:$A$78,0))&amp;"",""))</f>
      </c>
      <c r="H1909" s="11"/>
      <c r="I1909" s="20"/>
      <c r="J1909" s="11"/>
      <c r="K1909" s="11"/>
      <c r="L1909" s="11"/>
    </row>
    <row r="1910" spans="1:12" x14ac:dyDescent="0.3">
      <c r="A1910" s="31"/>
      <c r="B1910" s="32">
        <f>IF(A1910="","",DATE(YEAR(A1910),MONTH(A1910),1))</f>
      </c>
      <c r="C1910" s="11"/>
      <c r="D1910" s="11"/>
      <c r="E1910" s="16">
        <f>IF(OR(D1910="",C1910&lt;&gt;"Chi"),"",IFERROR(INDEX('Danh mục'!$B$39:$B$78,MATCH(D1910,'Danh mục'!$A$39:$A$78,0))&amp;"","?"))</f>
      </c>
      <c r="F1910" s="16">
        <f>IF(D1910="","",IF(C1910="Thu",IFERROR(INDEX('Danh mục'!$B$26:$B$35,MATCH(D1910,'Danh mục'!$A$26:$A$35,0))&amp;"","?"),IFERROR(INDEX('Danh mục'!$D$39:$D$78,MATCH(D1910,'Danh mục'!$A$39:$A$78,0))&amp;"","?")))</f>
      </c>
      <c r="G1910" s="16">
        <f>IF(OR(D1910="",C1910&lt;&gt;"Chi"),"",IFERROR(INDEX('Danh mục'!$C$39:$C$78,MATCH(D1910,'Danh mục'!$A$39:$A$78,0))&amp;"",""))</f>
      </c>
      <c r="H1910" s="11"/>
      <c r="I1910" s="20"/>
      <c r="J1910" s="11"/>
      <c r="K1910" s="11"/>
      <c r="L1910" s="11"/>
    </row>
    <row r="1911" spans="1:12" x14ac:dyDescent="0.3">
      <c r="A1911" s="31"/>
      <c r="B1911" s="32">
        <f>IF(A1911="","",DATE(YEAR(A1911),MONTH(A1911),1))</f>
      </c>
      <c r="C1911" s="11"/>
      <c r="D1911" s="11"/>
      <c r="E1911" s="16">
        <f>IF(OR(D1911="",C1911&lt;&gt;"Chi"),"",IFERROR(INDEX('Danh mục'!$B$39:$B$78,MATCH(D1911,'Danh mục'!$A$39:$A$78,0))&amp;"","?"))</f>
      </c>
      <c r="F1911" s="16">
        <f>IF(D1911="","",IF(C1911="Thu",IFERROR(INDEX('Danh mục'!$B$26:$B$35,MATCH(D1911,'Danh mục'!$A$26:$A$35,0))&amp;"","?"),IFERROR(INDEX('Danh mục'!$D$39:$D$78,MATCH(D1911,'Danh mục'!$A$39:$A$78,0))&amp;"","?")))</f>
      </c>
      <c r="G1911" s="16">
        <f>IF(OR(D1911="",C1911&lt;&gt;"Chi"),"",IFERROR(INDEX('Danh mục'!$C$39:$C$78,MATCH(D1911,'Danh mục'!$A$39:$A$78,0))&amp;"",""))</f>
      </c>
      <c r="H1911" s="11"/>
      <c r="I1911" s="20"/>
      <c r="J1911" s="11"/>
      <c r="K1911" s="11"/>
      <c r="L1911" s="11"/>
    </row>
    <row r="1912" spans="1:12" x14ac:dyDescent="0.3">
      <c r="A1912" s="31"/>
      <c r="B1912" s="32">
        <f>IF(A1912="","",DATE(YEAR(A1912),MONTH(A1912),1))</f>
      </c>
      <c r="C1912" s="11"/>
      <c r="D1912" s="11"/>
      <c r="E1912" s="16">
        <f>IF(OR(D1912="",C1912&lt;&gt;"Chi"),"",IFERROR(INDEX('Danh mục'!$B$39:$B$78,MATCH(D1912,'Danh mục'!$A$39:$A$78,0))&amp;"","?"))</f>
      </c>
      <c r="F1912" s="16">
        <f>IF(D1912="","",IF(C1912="Thu",IFERROR(INDEX('Danh mục'!$B$26:$B$35,MATCH(D1912,'Danh mục'!$A$26:$A$35,0))&amp;"","?"),IFERROR(INDEX('Danh mục'!$D$39:$D$78,MATCH(D1912,'Danh mục'!$A$39:$A$78,0))&amp;"","?")))</f>
      </c>
      <c r="G1912" s="16">
        <f>IF(OR(D1912="",C1912&lt;&gt;"Chi"),"",IFERROR(INDEX('Danh mục'!$C$39:$C$78,MATCH(D1912,'Danh mục'!$A$39:$A$78,0))&amp;"",""))</f>
      </c>
      <c r="H1912" s="11"/>
      <c r="I1912" s="20"/>
      <c r="J1912" s="11"/>
      <c r="K1912" s="11"/>
      <c r="L1912" s="11"/>
    </row>
    <row r="1913" spans="1:12" x14ac:dyDescent="0.3">
      <c r="A1913" s="31"/>
      <c r="B1913" s="32">
        <f>IF(A1913="","",DATE(YEAR(A1913),MONTH(A1913),1))</f>
      </c>
      <c r="C1913" s="11"/>
      <c r="D1913" s="11"/>
      <c r="E1913" s="16">
        <f>IF(OR(D1913="",C1913&lt;&gt;"Chi"),"",IFERROR(INDEX('Danh mục'!$B$39:$B$78,MATCH(D1913,'Danh mục'!$A$39:$A$78,0))&amp;"","?"))</f>
      </c>
      <c r="F1913" s="16">
        <f>IF(D1913="","",IF(C1913="Thu",IFERROR(INDEX('Danh mục'!$B$26:$B$35,MATCH(D1913,'Danh mục'!$A$26:$A$35,0))&amp;"","?"),IFERROR(INDEX('Danh mục'!$D$39:$D$78,MATCH(D1913,'Danh mục'!$A$39:$A$78,0))&amp;"","?")))</f>
      </c>
      <c r="G1913" s="16">
        <f>IF(OR(D1913="",C1913&lt;&gt;"Chi"),"",IFERROR(INDEX('Danh mục'!$C$39:$C$78,MATCH(D1913,'Danh mục'!$A$39:$A$78,0))&amp;"",""))</f>
      </c>
      <c r="H1913" s="11"/>
      <c r="I1913" s="20"/>
      <c r="J1913" s="11"/>
      <c r="K1913" s="11"/>
      <c r="L1913" s="11"/>
    </row>
    <row r="1914" spans="1:12" x14ac:dyDescent="0.3">
      <c r="A1914" s="31"/>
      <c r="B1914" s="32">
        <f>IF(A1914="","",DATE(YEAR(A1914),MONTH(A1914),1))</f>
      </c>
      <c r="C1914" s="11"/>
      <c r="D1914" s="11"/>
      <c r="E1914" s="16">
        <f>IF(OR(D1914="",C1914&lt;&gt;"Chi"),"",IFERROR(INDEX('Danh mục'!$B$39:$B$78,MATCH(D1914,'Danh mục'!$A$39:$A$78,0))&amp;"","?"))</f>
      </c>
      <c r="F1914" s="16">
        <f>IF(D1914="","",IF(C1914="Thu",IFERROR(INDEX('Danh mục'!$B$26:$B$35,MATCH(D1914,'Danh mục'!$A$26:$A$35,0))&amp;"","?"),IFERROR(INDEX('Danh mục'!$D$39:$D$78,MATCH(D1914,'Danh mục'!$A$39:$A$78,0))&amp;"","?")))</f>
      </c>
      <c r="G1914" s="16">
        <f>IF(OR(D1914="",C1914&lt;&gt;"Chi"),"",IFERROR(INDEX('Danh mục'!$C$39:$C$78,MATCH(D1914,'Danh mục'!$A$39:$A$78,0))&amp;"",""))</f>
      </c>
      <c r="H1914" s="11"/>
      <c r="I1914" s="20"/>
      <c r="J1914" s="11"/>
      <c r="K1914" s="11"/>
      <c r="L1914" s="11"/>
    </row>
    <row r="1915" spans="1:12" x14ac:dyDescent="0.3">
      <c r="A1915" s="31"/>
      <c r="B1915" s="32">
        <f>IF(A1915="","",DATE(YEAR(A1915),MONTH(A1915),1))</f>
      </c>
      <c r="C1915" s="11"/>
      <c r="D1915" s="11"/>
      <c r="E1915" s="16">
        <f>IF(OR(D1915="",C1915&lt;&gt;"Chi"),"",IFERROR(INDEX('Danh mục'!$B$39:$B$78,MATCH(D1915,'Danh mục'!$A$39:$A$78,0))&amp;"","?"))</f>
      </c>
      <c r="F1915" s="16">
        <f>IF(D1915="","",IF(C1915="Thu",IFERROR(INDEX('Danh mục'!$B$26:$B$35,MATCH(D1915,'Danh mục'!$A$26:$A$35,0))&amp;"","?"),IFERROR(INDEX('Danh mục'!$D$39:$D$78,MATCH(D1915,'Danh mục'!$A$39:$A$78,0))&amp;"","?")))</f>
      </c>
      <c r="G1915" s="16">
        <f>IF(OR(D1915="",C1915&lt;&gt;"Chi"),"",IFERROR(INDEX('Danh mục'!$C$39:$C$78,MATCH(D1915,'Danh mục'!$A$39:$A$78,0))&amp;"",""))</f>
      </c>
      <c r="H1915" s="11"/>
      <c r="I1915" s="20"/>
      <c r="J1915" s="11"/>
      <c r="K1915" s="11"/>
      <c r="L1915" s="11"/>
    </row>
    <row r="1916" spans="1:12" x14ac:dyDescent="0.3">
      <c r="A1916" s="31"/>
      <c r="B1916" s="32">
        <f>IF(A1916="","",DATE(YEAR(A1916),MONTH(A1916),1))</f>
      </c>
      <c r="C1916" s="11"/>
      <c r="D1916" s="11"/>
      <c r="E1916" s="16">
        <f>IF(OR(D1916="",C1916&lt;&gt;"Chi"),"",IFERROR(INDEX('Danh mục'!$B$39:$B$78,MATCH(D1916,'Danh mục'!$A$39:$A$78,0))&amp;"","?"))</f>
      </c>
      <c r="F1916" s="16">
        <f>IF(D1916="","",IF(C1916="Thu",IFERROR(INDEX('Danh mục'!$B$26:$B$35,MATCH(D1916,'Danh mục'!$A$26:$A$35,0))&amp;"","?"),IFERROR(INDEX('Danh mục'!$D$39:$D$78,MATCH(D1916,'Danh mục'!$A$39:$A$78,0))&amp;"","?")))</f>
      </c>
      <c r="G1916" s="16">
        <f>IF(OR(D1916="",C1916&lt;&gt;"Chi"),"",IFERROR(INDEX('Danh mục'!$C$39:$C$78,MATCH(D1916,'Danh mục'!$A$39:$A$78,0))&amp;"",""))</f>
      </c>
      <c r="H1916" s="11"/>
      <c r="I1916" s="20"/>
      <c r="J1916" s="11"/>
      <c r="K1916" s="11"/>
      <c r="L1916" s="11"/>
    </row>
    <row r="1917" spans="1:12" x14ac:dyDescent="0.3">
      <c r="A1917" s="31"/>
      <c r="B1917" s="32">
        <f>IF(A1917="","",DATE(YEAR(A1917),MONTH(A1917),1))</f>
      </c>
      <c r="C1917" s="11"/>
      <c r="D1917" s="11"/>
      <c r="E1917" s="16">
        <f>IF(OR(D1917="",C1917&lt;&gt;"Chi"),"",IFERROR(INDEX('Danh mục'!$B$39:$B$78,MATCH(D1917,'Danh mục'!$A$39:$A$78,0))&amp;"","?"))</f>
      </c>
      <c r="F1917" s="16">
        <f>IF(D1917="","",IF(C1917="Thu",IFERROR(INDEX('Danh mục'!$B$26:$B$35,MATCH(D1917,'Danh mục'!$A$26:$A$35,0))&amp;"","?"),IFERROR(INDEX('Danh mục'!$D$39:$D$78,MATCH(D1917,'Danh mục'!$A$39:$A$78,0))&amp;"","?")))</f>
      </c>
      <c r="G1917" s="16">
        <f>IF(OR(D1917="",C1917&lt;&gt;"Chi"),"",IFERROR(INDEX('Danh mục'!$C$39:$C$78,MATCH(D1917,'Danh mục'!$A$39:$A$78,0))&amp;"",""))</f>
      </c>
      <c r="H1917" s="11"/>
      <c r="I1917" s="20"/>
      <c r="J1917" s="11"/>
      <c r="K1917" s="11"/>
      <c r="L1917" s="11"/>
    </row>
    <row r="1918" spans="1:12" x14ac:dyDescent="0.3">
      <c r="A1918" s="31"/>
      <c r="B1918" s="32">
        <f>IF(A1918="","",DATE(YEAR(A1918),MONTH(A1918),1))</f>
      </c>
      <c r="C1918" s="11"/>
      <c r="D1918" s="11"/>
      <c r="E1918" s="16">
        <f>IF(OR(D1918="",C1918&lt;&gt;"Chi"),"",IFERROR(INDEX('Danh mục'!$B$39:$B$78,MATCH(D1918,'Danh mục'!$A$39:$A$78,0))&amp;"","?"))</f>
      </c>
      <c r="F1918" s="16">
        <f>IF(D1918="","",IF(C1918="Thu",IFERROR(INDEX('Danh mục'!$B$26:$B$35,MATCH(D1918,'Danh mục'!$A$26:$A$35,0))&amp;"","?"),IFERROR(INDEX('Danh mục'!$D$39:$D$78,MATCH(D1918,'Danh mục'!$A$39:$A$78,0))&amp;"","?")))</f>
      </c>
      <c r="G1918" s="16">
        <f>IF(OR(D1918="",C1918&lt;&gt;"Chi"),"",IFERROR(INDEX('Danh mục'!$C$39:$C$78,MATCH(D1918,'Danh mục'!$A$39:$A$78,0))&amp;"",""))</f>
      </c>
      <c r="H1918" s="11"/>
      <c r="I1918" s="20"/>
      <c r="J1918" s="11"/>
      <c r="K1918" s="11"/>
      <c r="L1918" s="11"/>
    </row>
    <row r="1919" spans="1:12" x14ac:dyDescent="0.3">
      <c r="A1919" s="31"/>
      <c r="B1919" s="32">
        <f>IF(A1919="","",DATE(YEAR(A1919),MONTH(A1919),1))</f>
      </c>
      <c r="C1919" s="11"/>
      <c r="D1919" s="11"/>
      <c r="E1919" s="16">
        <f>IF(OR(D1919="",C1919&lt;&gt;"Chi"),"",IFERROR(INDEX('Danh mục'!$B$39:$B$78,MATCH(D1919,'Danh mục'!$A$39:$A$78,0))&amp;"","?"))</f>
      </c>
      <c r="F1919" s="16">
        <f>IF(D1919="","",IF(C1919="Thu",IFERROR(INDEX('Danh mục'!$B$26:$B$35,MATCH(D1919,'Danh mục'!$A$26:$A$35,0))&amp;"","?"),IFERROR(INDEX('Danh mục'!$D$39:$D$78,MATCH(D1919,'Danh mục'!$A$39:$A$78,0))&amp;"","?")))</f>
      </c>
      <c r="G1919" s="16">
        <f>IF(OR(D1919="",C1919&lt;&gt;"Chi"),"",IFERROR(INDEX('Danh mục'!$C$39:$C$78,MATCH(D1919,'Danh mục'!$A$39:$A$78,0))&amp;"",""))</f>
      </c>
      <c r="H1919" s="11"/>
      <c r="I1919" s="20"/>
      <c r="J1919" s="11"/>
      <c r="K1919" s="11"/>
      <c r="L1919" s="11"/>
    </row>
    <row r="1920" spans="1:12" x14ac:dyDescent="0.3">
      <c r="A1920" s="31"/>
      <c r="B1920" s="32">
        <f>IF(A1920="","",DATE(YEAR(A1920),MONTH(A1920),1))</f>
      </c>
      <c r="C1920" s="11"/>
      <c r="D1920" s="11"/>
      <c r="E1920" s="16">
        <f>IF(OR(D1920="",C1920&lt;&gt;"Chi"),"",IFERROR(INDEX('Danh mục'!$B$39:$B$78,MATCH(D1920,'Danh mục'!$A$39:$A$78,0))&amp;"","?"))</f>
      </c>
      <c r="F1920" s="16">
        <f>IF(D1920="","",IF(C1920="Thu",IFERROR(INDEX('Danh mục'!$B$26:$B$35,MATCH(D1920,'Danh mục'!$A$26:$A$35,0))&amp;"","?"),IFERROR(INDEX('Danh mục'!$D$39:$D$78,MATCH(D1920,'Danh mục'!$A$39:$A$78,0))&amp;"","?")))</f>
      </c>
      <c r="G1920" s="16">
        <f>IF(OR(D1920="",C1920&lt;&gt;"Chi"),"",IFERROR(INDEX('Danh mục'!$C$39:$C$78,MATCH(D1920,'Danh mục'!$A$39:$A$78,0))&amp;"",""))</f>
      </c>
      <c r="H1920" s="11"/>
      <c r="I1920" s="20"/>
      <c r="J1920" s="11"/>
      <c r="K1920" s="11"/>
      <c r="L1920" s="11"/>
    </row>
    <row r="1921" spans="1:12" x14ac:dyDescent="0.3">
      <c r="A1921" s="31"/>
      <c r="B1921" s="32">
        <f>IF(A1921="","",DATE(YEAR(A1921),MONTH(A1921),1))</f>
      </c>
      <c r="C1921" s="11"/>
      <c r="D1921" s="11"/>
      <c r="E1921" s="16">
        <f>IF(OR(D1921="",C1921&lt;&gt;"Chi"),"",IFERROR(INDEX('Danh mục'!$B$39:$B$78,MATCH(D1921,'Danh mục'!$A$39:$A$78,0))&amp;"","?"))</f>
      </c>
      <c r="F1921" s="16">
        <f>IF(D1921="","",IF(C1921="Thu",IFERROR(INDEX('Danh mục'!$B$26:$B$35,MATCH(D1921,'Danh mục'!$A$26:$A$35,0))&amp;"","?"),IFERROR(INDEX('Danh mục'!$D$39:$D$78,MATCH(D1921,'Danh mục'!$A$39:$A$78,0))&amp;"","?")))</f>
      </c>
      <c r="G1921" s="16">
        <f>IF(OR(D1921="",C1921&lt;&gt;"Chi"),"",IFERROR(INDEX('Danh mục'!$C$39:$C$78,MATCH(D1921,'Danh mục'!$A$39:$A$78,0))&amp;"",""))</f>
      </c>
      <c r="H1921" s="11"/>
      <c r="I1921" s="20"/>
      <c r="J1921" s="11"/>
      <c r="K1921" s="11"/>
      <c r="L1921" s="11"/>
    </row>
    <row r="1922" spans="1:12" x14ac:dyDescent="0.3">
      <c r="A1922" s="31"/>
      <c r="B1922" s="32">
        <f>IF(A1922="","",DATE(YEAR(A1922),MONTH(A1922),1))</f>
      </c>
      <c r="C1922" s="11"/>
      <c r="D1922" s="11"/>
      <c r="E1922" s="16">
        <f>IF(OR(D1922="",C1922&lt;&gt;"Chi"),"",IFERROR(INDEX('Danh mục'!$B$39:$B$78,MATCH(D1922,'Danh mục'!$A$39:$A$78,0))&amp;"","?"))</f>
      </c>
      <c r="F1922" s="16">
        <f>IF(D1922="","",IF(C1922="Thu",IFERROR(INDEX('Danh mục'!$B$26:$B$35,MATCH(D1922,'Danh mục'!$A$26:$A$35,0))&amp;"","?"),IFERROR(INDEX('Danh mục'!$D$39:$D$78,MATCH(D1922,'Danh mục'!$A$39:$A$78,0))&amp;"","?")))</f>
      </c>
      <c r="G1922" s="16">
        <f>IF(OR(D1922="",C1922&lt;&gt;"Chi"),"",IFERROR(INDEX('Danh mục'!$C$39:$C$78,MATCH(D1922,'Danh mục'!$A$39:$A$78,0))&amp;"",""))</f>
      </c>
      <c r="H1922" s="11"/>
      <c r="I1922" s="20"/>
      <c r="J1922" s="11"/>
      <c r="K1922" s="11"/>
      <c r="L1922" s="11"/>
    </row>
    <row r="1923" spans="1:12" x14ac:dyDescent="0.3">
      <c r="A1923" s="31"/>
      <c r="B1923" s="32">
        <f>IF(A1923="","",DATE(YEAR(A1923),MONTH(A1923),1))</f>
      </c>
      <c r="C1923" s="11"/>
      <c r="D1923" s="11"/>
      <c r="E1923" s="16">
        <f>IF(OR(D1923="",C1923&lt;&gt;"Chi"),"",IFERROR(INDEX('Danh mục'!$B$39:$B$78,MATCH(D1923,'Danh mục'!$A$39:$A$78,0))&amp;"","?"))</f>
      </c>
      <c r="F1923" s="16">
        <f>IF(D1923="","",IF(C1923="Thu",IFERROR(INDEX('Danh mục'!$B$26:$B$35,MATCH(D1923,'Danh mục'!$A$26:$A$35,0))&amp;"","?"),IFERROR(INDEX('Danh mục'!$D$39:$D$78,MATCH(D1923,'Danh mục'!$A$39:$A$78,0))&amp;"","?")))</f>
      </c>
      <c r="G1923" s="16">
        <f>IF(OR(D1923="",C1923&lt;&gt;"Chi"),"",IFERROR(INDEX('Danh mục'!$C$39:$C$78,MATCH(D1923,'Danh mục'!$A$39:$A$78,0))&amp;"",""))</f>
      </c>
      <c r="H1923" s="11"/>
      <c r="I1923" s="20"/>
      <c r="J1923" s="11"/>
      <c r="K1923" s="11"/>
      <c r="L1923" s="11"/>
    </row>
    <row r="1924" spans="1:12" x14ac:dyDescent="0.3">
      <c r="A1924" s="31"/>
      <c r="B1924" s="32">
        <f>IF(A1924="","",DATE(YEAR(A1924),MONTH(A1924),1))</f>
      </c>
      <c r="C1924" s="11"/>
      <c r="D1924" s="11"/>
      <c r="E1924" s="16">
        <f>IF(OR(D1924="",C1924&lt;&gt;"Chi"),"",IFERROR(INDEX('Danh mục'!$B$39:$B$78,MATCH(D1924,'Danh mục'!$A$39:$A$78,0))&amp;"","?"))</f>
      </c>
      <c r="F1924" s="16">
        <f>IF(D1924="","",IF(C1924="Thu",IFERROR(INDEX('Danh mục'!$B$26:$B$35,MATCH(D1924,'Danh mục'!$A$26:$A$35,0))&amp;"","?"),IFERROR(INDEX('Danh mục'!$D$39:$D$78,MATCH(D1924,'Danh mục'!$A$39:$A$78,0))&amp;"","?")))</f>
      </c>
      <c r="G1924" s="16">
        <f>IF(OR(D1924="",C1924&lt;&gt;"Chi"),"",IFERROR(INDEX('Danh mục'!$C$39:$C$78,MATCH(D1924,'Danh mục'!$A$39:$A$78,0))&amp;"",""))</f>
      </c>
      <c r="H1924" s="11"/>
      <c r="I1924" s="20"/>
      <c r="J1924" s="11"/>
      <c r="K1924" s="11"/>
      <c r="L1924" s="11"/>
    </row>
    <row r="1925" spans="1:12" x14ac:dyDescent="0.3">
      <c r="A1925" s="31"/>
      <c r="B1925" s="32">
        <f>IF(A1925="","",DATE(YEAR(A1925),MONTH(A1925),1))</f>
      </c>
      <c r="C1925" s="11"/>
      <c r="D1925" s="11"/>
      <c r="E1925" s="16">
        <f>IF(OR(D1925="",C1925&lt;&gt;"Chi"),"",IFERROR(INDEX('Danh mục'!$B$39:$B$78,MATCH(D1925,'Danh mục'!$A$39:$A$78,0))&amp;"","?"))</f>
      </c>
      <c r="F1925" s="16">
        <f>IF(D1925="","",IF(C1925="Thu",IFERROR(INDEX('Danh mục'!$B$26:$B$35,MATCH(D1925,'Danh mục'!$A$26:$A$35,0))&amp;"","?"),IFERROR(INDEX('Danh mục'!$D$39:$D$78,MATCH(D1925,'Danh mục'!$A$39:$A$78,0))&amp;"","?")))</f>
      </c>
      <c r="G1925" s="16">
        <f>IF(OR(D1925="",C1925&lt;&gt;"Chi"),"",IFERROR(INDEX('Danh mục'!$C$39:$C$78,MATCH(D1925,'Danh mục'!$A$39:$A$78,0))&amp;"",""))</f>
      </c>
      <c r="H1925" s="11"/>
      <c r="I1925" s="20"/>
      <c r="J1925" s="11"/>
      <c r="K1925" s="11"/>
      <c r="L1925" s="11"/>
    </row>
    <row r="1926" spans="1:12" x14ac:dyDescent="0.3">
      <c r="A1926" s="31"/>
      <c r="B1926" s="32">
        <f>IF(A1926="","",DATE(YEAR(A1926),MONTH(A1926),1))</f>
      </c>
      <c r="C1926" s="11"/>
      <c r="D1926" s="11"/>
      <c r="E1926" s="16">
        <f>IF(OR(D1926="",C1926&lt;&gt;"Chi"),"",IFERROR(INDEX('Danh mục'!$B$39:$B$78,MATCH(D1926,'Danh mục'!$A$39:$A$78,0))&amp;"","?"))</f>
      </c>
      <c r="F1926" s="16">
        <f>IF(D1926="","",IF(C1926="Thu",IFERROR(INDEX('Danh mục'!$B$26:$B$35,MATCH(D1926,'Danh mục'!$A$26:$A$35,0))&amp;"","?"),IFERROR(INDEX('Danh mục'!$D$39:$D$78,MATCH(D1926,'Danh mục'!$A$39:$A$78,0))&amp;"","?")))</f>
      </c>
      <c r="G1926" s="16">
        <f>IF(OR(D1926="",C1926&lt;&gt;"Chi"),"",IFERROR(INDEX('Danh mục'!$C$39:$C$78,MATCH(D1926,'Danh mục'!$A$39:$A$78,0))&amp;"",""))</f>
      </c>
      <c r="H1926" s="11"/>
      <c r="I1926" s="20"/>
      <c r="J1926" s="11"/>
      <c r="K1926" s="11"/>
      <c r="L1926" s="11"/>
    </row>
    <row r="1927" spans="1:12" x14ac:dyDescent="0.3">
      <c r="A1927" s="31"/>
      <c r="B1927" s="32">
        <f>IF(A1927="","",DATE(YEAR(A1927),MONTH(A1927),1))</f>
      </c>
      <c r="C1927" s="11"/>
      <c r="D1927" s="11"/>
      <c r="E1927" s="16">
        <f>IF(OR(D1927="",C1927&lt;&gt;"Chi"),"",IFERROR(INDEX('Danh mục'!$B$39:$B$78,MATCH(D1927,'Danh mục'!$A$39:$A$78,0))&amp;"","?"))</f>
      </c>
      <c r="F1927" s="16">
        <f>IF(D1927="","",IF(C1927="Thu",IFERROR(INDEX('Danh mục'!$B$26:$B$35,MATCH(D1927,'Danh mục'!$A$26:$A$35,0))&amp;"","?"),IFERROR(INDEX('Danh mục'!$D$39:$D$78,MATCH(D1927,'Danh mục'!$A$39:$A$78,0))&amp;"","?")))</f>
      </c>
      <c r="G1927" s="16">
        <f>IF(OR(D1927="",C1927&lt;&gt;"Chi"),"",IFERROR(INDEX('Danh mục'!$C$39:$C$78,MATCH(D1927,'Danh mục'!$A$39:$A$78,0))&amp;"",""))</f>
      </c>
      <c r="H1927" s="11"/>
      <c r="I1927" s="20"/>
      <c r="J1927" s="11"/>
      <c r="K1927" s="11"/>
      <c r="L1927" s="11"/>
    </row>
    <row r="1928" spans="1:12" x14ac:dyDescent="0.3">
      <c r="A1928" s="31"/>
      <c r="B1928" s="32">
        <f>IF(A1928="","",DATE(YEAR(A1928),MONTH(A1928),1))</f>
      </c>
      <c r="C1928" s="11"/>
      <c r="D1928" s="11"/>
      <c r="E1928" s="16">
        <f>IF(OR(D1928="",C1928&lt;&gt;"Chi"),"",IFERROR(INDEX('Danh mục'!$B$39:$B$78,MATCH(D1928,'Danh mục'!$A$39:$A$78,0))&amp;"","?"))</f>
      </c>
      <c r="F1928" s="16">
        <f>IF(D1928="","",IF(C1928="Thu",IFERROR(INDEX('Danh mục'!$B$26:$B$35,MATCH(D1928,'Danh mục'!$A$26:$A$35,0))&amp;"","?"),IFERROR(INDEX('Danh mục'!$D$39:$D$78,MATCH(D1928,'Danh mục'!$A$39:$A$78,0))&amp;"","?")))</f>
      </c>
      <c r="G1928" s="16">
        <f>IF(OR(D1928="",C1928&lt;&gt;"Chi"),"",IFERROR(INDEX('Danh mục'!$C$39:$C$78,MATCH(D1928,'Danh mục'!$A$39:$A$78,0))&amp;"",""))</f>
      </c>
      <c r="H1928" s="11"/>
      <c r="I1928" s="20"/>
      <c r="J1928" s="11"/>
      <c r="K1928" s="11"/>
      <c r="L1928" s="11"/>
    </row>
    <row r="1929" spans="1:12" x14ac:dyDescent="0.3">
      <c r="A1929" s="31"/>
      <c r="B1929" s="32">
        <f>IF(A1929="","",DATE(YEAR(A1929),MONTH(A1929),1))</f>
      </c>
      <c r="C1929" s="11"/>
      <c r="D1929" s="11"/>
      <c r="E1929" s="16">
        <f>IF(OR(D1929="",C1929&lt;&gt;"Chi"),"",IFERROR(INDEX('Danh mục'!$B$39:$B$78,MATCH(D1929,'Danh mục'!$A$39:$A$78,0))&amp;"","?"))</f>
      </c>
      <c r="F1929" s="16">
        <f>IF(D1929="","",IF(C1929="Thu",IFERROR(INDEX('Danh mục'!$B$26:$B$35,MATCH(D1929,'Danh mục'!$A$26:$A$35,0))&amp;"","?"),IFERROR(INDEX('Danh mục'!$D$39:$D$78,MATCH(D1929,'Danh mục'!$A$39:$A$78,0))&amp;"","?")))</f>
      </c>
      <c r="G1929" s="16">
        <f>IF(OR(D1929="",C1929&lt;&gt;"Chi"),"",IFERROR(INDEX('Danh mục'!$C$39:$C$78,MATCH(D1929,'Danh mục'!$A$39:$A$78,0))&amp;"",""))</f>
      </c>
      <c r="H1929" s="11"/>
      <c r="I1929" s="20"/>
      <c r="J1929" s="11"/>
      <c r="K1929" s="11"/>
      <c r="L1929" s="11"/>
    </row>
    <row r="1930" spans="1:12" x14ac:dyDescent="0.3">
      <c r="A1930" s="31"/>
      <c r="B1930" s="32">
        <f>IF(A1930="","",DATE(YEAR(A1930),MONTH(A1930),1))</f>
      </c>
      <c r="C1930" s="11"/>
      <c r="D1930" s="11"/>
      <c r="E1930" s="16">
        <f>IF(OR(D1930="",C1930&lt;&gt;"Chi"),"",IFERROR(INDEX('Danh mục'!$B$39:$B$78,MATCH(D1930,'Danh mục'!$A$39:$A$78,0))&amp;"","?"))</f>
      </c>
      <c r="F1930" s="16">
        <f>IF(D1930="","",IF(C1930="Thu",IFERROR(INDEX('Danh mục'!$B$26:$B$35,MATCH(D1930,'Danh mục'!$A$26:$A$35,0))&amp;"","?"),IFERROR(INDEX('Danh mục'!$D$39:$D$78,MATCH(D1930,'Danh mục'!$A$39:$A$78,0))&amp;"","?")))</f>
      </c>
      <c r="G1930" s="16">
        <f>IF(OR(D1930="",C1930&lt;&gt;"Chi"),"",IFERROR(INDEX('Danh mục'!$C$39:$C$78,MATCH(D1930,'Danh mục'!$A$39:$A$78,0))&amp;"",""))</f>
      </c>
      <c r="H1930" s="11"/>
      <c r="I1930" s="20"/>
      <c r="J1930" s="11"/>
      <c r="K1930" s="11"/>
      <c r="L1930" s="11"/>
    </row>
    <row r="1931" spans="1:12" x14ac:dyDescent="0.3">
      <c r="A1931" s="31"/>
      <c r="B1931" s="32">
        <f>IF(A1931="","",DATE(YEAR(A1931),MONTH(A1931),1))</f>
      </c>
      <c r="C1931" s="11"/>
      <c r="D1931" s="11"/>
      <c r="E1931" s="16">
        <f>IF(OR(D1931="",C1931&lt;&gt;"Chi"),"",IFERROR(INDEX('Danh mục'!$B$39:$B$78,MATCH(D1931,'Danh mục'!$A$39:$A$78,0))&amp;"","?"))</f>
      </c>
      <c r="F1931" s="16">
        <f>IF(D1931="","",IF(C1931="Thu",IFERROR(INDEX('Danh mục'!$B$26:$B$35,MATCH(D1931,'Danh mục'!$A$26:$A$35,0))&amp;"","?"),IFERROR(INDEX('Danh mục'!$D$39:$D$78,MATCH(D1931,'Danh mục'!$A$39:$A$78,0))&amp;"","?")))</f>
      </c>
      <c r="G1931" s="16">
        <f>IF(OR(D1931="",C1931&lt;&gt;"Chi"),"",IFERROR(INDEX('Danh mục'!$C$39:$C$78,MATCH(D1931,'Danh mục'!$A$39:$A$78,0))&amp;"",""))</f>
      </c>
      <c r="H1931" s="11"/>
      <c r="I1931" s="20"/>
      <c r="J1931" s="11"/>
      <c r="K1931" s="11"/>
      <c r="L1931" s="11"/>
    </row>
    <row r="1932" spans="1:12" x14ac:dyDescent="0.3">
      <c r="A1932" s="31"/>
      <c r="B1932" s="32">
        <f>IF(A1932="","",DATE(YEAR(A1932),MONTH(A1932),1))</f>
      </c>
      <c r="C1932" s="11"/>
      <c r="D1932" s="11"/>
      <c r="E1932" s="16">
        <f>IF(OR(D1932="",C1932&lt;&gt;"Chi"),"",IFERROR(INDEX('Danh mục'!$B$39:$B$78,MATCH(D1932,'Danh mục'!$A$39:$A$78,0))&amp;"","?"))</f>
      </c>
      <c r="F1932" s="16">
        <f>IF(D1932="","",IF(C1932="Thu",IFERROR(INDEX('Danh mục'!$B$26:$B$35,MATCH(D1932,'Danh mục'!$A$26:$A$35,0))&amp;"","?"),IFERROR(INDEX('Danh mục'!$D$39:$D$78,MATCH(D1932,'Danh mục'!$A$39:$A$78,0))&amp;"","?")))</f>
      </c>
      <c r="G1932" s="16">
        <f>IF(OR(D1932="",C1932&lt;&gt;"Chi"),"",IFERROR(INDEX('Danh mục'!$C$39:$C$78,MATCH(D1932,'Danh mục'!$A$39:$A$78,0))&amp;"",""))</f>
      </c>
      <c r="H1932" s="11"/>
      <c r="I1932" s="20"/>
      <c r="J1932" s="11"/>
      <c r="K1932" s="11"/>
      <c r="L1932" s="11"/>
    </row>
    <row r="1933" spans="1:12" x14ac:dyDescent="0.3">
      <c r="A1933" s="31"/>
      <c r="B1933" s="32">
        <f>IF(A1933="","",DATE(YEAR(A1933),MONTH(A1933),1))</f>
      </c>
      <c r="C1933" s="11"/>
      <c r="D1933" s="11"/>
      <c r="E1933" s="16">
        <f>IF(OR(D1933="",C1933&lt;&gt;"Chi"),"",IFERROR(INDEX('Danh mục'!$B$39:$B$78,MATCH(D1933,'Danh mục'!$A$39:$A$78,0))&amp;"","?"))</f>
      </c>
      <c r="F1933" s="16">
        <f>IF(D1933="","",IF(C1933="Thu",IFERROR(INDEX('Danh mục'!$B$26:$B$35,MATCH(D1933,'Danh mục'!$A$26:$A$35,0))&amp;"","?"),IFERROR(INDEX('Danh mục'!$D$39:$D$78,MATCH(D1933,'Danh mục'!$A$39:$A$78,0))&amp;"","?")))</f>
      </c>
      <c r="G1933" s="16">
        <f>IF(OR(D1933="",C1933&lt;&gt;"Chi"),"",IFERROR(INDEX('Danh mục'!$C$39:$C$78,MATCH(D1933,'Danh mục'!$A$39:$A$78,0))&amp;"",""))</f>
      </c>
      <c r="H1933" s="11"/>
      <c r="I1933" s="20"/>
      <c r="J1933" s="11"/>
      <c r="K1933" s="11"/>
      <c r="L1933" s="11"/>
    </row>
    <row r="1934" spans="1:12" x14ac:dyDescent="0.3">
      <c r="A1934" s="31"/>
      <c r="B1934" s="32">
        <f>IF(A1934="","",DATE(YEAR(A1934),MONTH(A1934),1))</f>
      </c>
      <c r="C1934" s="11"/>
      <c r="D1934" s="11"/>
      <c r="E1934" s="16">
        <f>IF(OR(D1934="",C1934&lt;&gt;"Chi"),"",IFERROR(INDEX('Danh mục'!$B$39:$B$78,MATCH(D1934,'Danh mục'!$A$39:$A$78,0))&amp;"","?"))</f>
      </c>
      <c r="F1934" s="16">
        <f>IF(D1934="","",IF(C1934="Thu",IFERROR(INDEX('Danh mục'!$B$26:$B$35,MATCH(D1934,'Danh mục'!$A$26:$A$35,0))&amp;"","?"),IFERROR(INDEX('Danh mục'!$D$39:$D$78,MATCH(D1934,'Danh mục'!$A$39:$A$78,0))&amp;"","?")))</f>
      </c>
      <c r="G1934" s="16">
        <f>IF(OR(D1934="",C1934&lt;&gt;"Chi"),"",IFERROR(INDEX('Danh mục'!$C$39:$C$78,MATCH(D1934,'Danh mục'!$A$39:$A$78,0))&amp;"",""))</f>
      </c>
      <c r="H1934" s="11"/>
      <c r="I1934" s="20"/>
      <c r="J1934" s="11"/>
      <c r="K1934" s="11"/>
      <c r="L1934" s="11"/>
    </row>
    <row r="1935" spans="1:12" x14ac:dyDescent="0.3">
      <c r="A1935" s="31"/>
      <c r="B1935" s="32">
        <f>IF(A1935="","",DATE(YEAR(A1935),MONTH(A1935),1))</f>
      </c>
      <c r="C1935" s="11"/>
      <c r="D1935" s="11"/>
      <c r="E1935" s="16">
        <f>IF(OR(D1935="",C1935&lt;&gt;"Chi"),"",IFERROR(INDEX('Danh mục'!$B$39:$B$78,MATCH(D1935,'Danh mục'!$A$39:$A$78,0))&amp;"","?"))</f>
      </c>
      <c r="F1935" s="16">
        <f>IF(D1935="","",IF(C1935="Thu",IFERROR(INDEX('Danh mục'!$B$26:$B$35,MATCH(D1935,'Danh mục'!$A$26:$A$35,0))&amp;"","?"),IFERROR(INDEX('Danh mục'!$D$39:$D$78,MATCH(D1935,'Danh mục'!$A$39:$A$78,0))&amp;"","?")))</f>
      </c>
      <c r="G1935" s="16">
        <f>IF(OR(D1935="",C1935&lt;&gt;"Chi"),"",IFERROR(INDEX('Danh mục'!$C$39:$C$78,MATCH(D1935,'Danh mục'!$A$39:$A$78,0))&amp;"",""))</f>
      </c>
      <c r="H1935" s="11"/>
      <c r="I1935" s="20"/>
      <c r="J1935" s="11"/>
      <c r="K1935" s="11"/>
      <c r="L1935" s="11"/>
    </row>
    <row r="1936" spans="1:12" x14ac:dyDescent="0.3">
      <c r="A1936" s="31"/>
      <c r="B1936" s="32">
        <f>IF(A1936="","",DATE(YEAR(A1936),MONTH(A1936),1))</f>
      </c>
      <c r="C1936" s="11"/>
      <c r="D1936" s="11"/>
      <c r="E1936" s="16">
        <f>IF(OR(D1936="",C1936&lt;&gt;"Chi"),"",IFERROR(INDEX('Danh mục'!$B$39:$B$78,MATCH(D1936,'Danh mục'!$A$39:$A$78,0))&amp;"","?"))</f>
      </c>
      <c r="F1936" s="16">
        <f>IF(D1936="","",IF(C1936="Thu",IFERROR(INDEX('Danh mục'!$B$26:$B$35,MATCH(D1936,'Danh mục'!$A$26:$A$35,0))&amp;"","?"),IFERROR(INDEX('Danh mục'!$D$39:$D$78,MATCH(D1936,'Danh mục'!$A$39:$A$78,0))&amp;"","?")))</f>
      </c>
      <c r="G1936" s="16">
        <f>IF(OR(D1936="",C1936&lt;&gt;"Chi"),"",IFERROR(INDEX('Danh mục'!$C$39:$C$78,MATCH(D1936,'Danh mục'!$A$39:$A$78,0))&amp;"",""))</f>
      </c>
      <c r="H1936" s="11"/>
      <c r="I1936" s="20"/>
      <c r="J1936" s="11"/>
      <c r="K1936" s="11"/>
      <c r="L1936" s="11"/>
    </row>
    <row r="1937" spans="1:12" x14ac:dyDescent="0.3">
      <c r="A1937" s="31"/>
      <c r="B1937" s="32">
        <f>IF(A1937="","",DATE(YEAR(A1937),MONTH(A1937),1))</f>
      </c>
      <c r="C1937" s="11"/>
      <c r="D1937" s="11"/>
      <c r="E1937" s="16">
        <f>IF(OR(D1937="",C1937&lt;&gt;"Chi"),"",IFERROR(INDEX('Danh mục'!$B$39:$B$78,MATCH(D1937,'Danh mục'!$A$39:$A$78,0))&amp;"","?"))</f>
      </c>
      <c r="F1937" s="16">
        <f>IF(D1937="","",IF(C1937="Thu",IFERROR(INDEX('Danh mục'!$B$26:$B$35,MATCH(D1937,'Danh mục'!$A$26:$A$35,0))&amp;"","?"),IFERROR(INDEX('Danh mục'!$D$39:$D$78,MATCH(D1937,'Danh mục'!$A$39:$A$78,0))&amp;"","?")))</f>
      </c>
      <c r="G1937" s="16">
        <f>IF(OR(D1937="",C1937&lt;&gt;"Chi"),"",IFERROR(INDEX('Danh mục'!$C$39:$C$78,MATCH(D1937,'Danh mục'!$A$39:$A$78,0))&amp;"",""))</f>
      </c>
      <c r="H1937" s="11"/>
      <c r="I1937" s="20"/>
      <c r="J1937" s="11"/>
      <c r="K1937" s="11"/>
      <c r="L1937" s="11"/>
    </row>
    <row r="1938" spans="1:12" x14ac:dyDescent="0.3">
      <c r="A1938" s="31"/>
      <c r="B1938" s="32">
        <f>IF(A1938="","",DATE(YEAR(A1938),MONTH(A1938),1))</f>
      </c>
      <c r="C1938" s="11"/>
      <c r="D1938" s="11"/>
      <c r="E1938" s="16">
        <f>IF(OR(D1938="",C1938&lt;&gt;"Chi"),"",IFERROR(INDEX('Danh mục'!$B$39:$B$78,MATCH(D1938,'Danh mục'!$A$39:$A$78,0))&amp;"","?"))</f>
      </c>
      <c r="F1938" s="16">
        <f>IF(D1938="","",IF(C1938="Thu",IFERROR(INDEX('Danh mục'!$B$26:$B$35,MATCH(D1938,'Danh mục'!$A$26:$A$35,0))&amp;"","?"),IFERROR(INDEX('Danh mục'!$D$39:$D$78,MATCH(D1938,'Danh mục'!$A$39:$A$78,0))&amp;"","?")))</f>
      </c>
      <c r="G1938" s="16">
        <f>IF(OR(D1938="",C1938&lt;&gt;"Chi"),"",IFERROR(INDEX('Danh mục'!$C$39:$C$78,MATCH(D1938,'Danh mục'!$A$39:$A$78,0))&amp;"",""))</f>
      </c>
      <c r="H1938" s="11"/>
      <c r="I1938" s="20"/>
      <c r="J1938" s="11"/>
      <c r="K1938" s="11"/>
      <c r="L1938" s="11"/>
    </row>
    <row r="1939" spans="1:12" x14ac:dyDescent="0.3">
      <c r="A1939" s="31"/>
      <c r="B1939" s="32">
        <f>IF(A1939="","",DATE(YEAR(A1939),MONTH(A1939),1))</f>
      </c>
      <c r="C1939" s="11"/>
      <c r="D1939" s="11"/>
      <c r="E1939" s="16">
        <f>IF(OR(D1939="",C1939&lt;&gt;"Chi"),"",IFERROR(INDEX('Danh mục'!$B$39:$B$78,MATCH(D1939,'Danh mục'!$A$39:$A$78,0))&amp;"","?"))</f>
      </c>
      <c r="F1939" s="16">
        <f>IF(D1939="","",IF(C1939="Thu",IFERROR(INDEX('Danh mục'!$B$26:$B$35,MATCH(D1939,'Danh mục'!$A$26:$A$35,0))&amp;"","?"),IFERROR(INDEX('Danh mục'!$D$39:$D$78,MATCH(D1939,'Danh mục'!$A$39:$A$78,0))&amp;"","?")))</f>
      </c>
      <c r="G1939" s="16">
        <f>IF(OR(D1939="",C1939&lt;&gt;"Chi"),"",IFERROR(INDEX('Danh mục'!$C$39:$C$78,MATCH(D1939,'Danh mục'!$A$39:$A$78,0))&amp;"",""))</f>
      </c>
      <c r="H1939" s="11"/>
      <c r="I1939" s="20"/>
      <c r="J1939" s="11"/>
      <c r="K1939" s="11"/>
      <c r="L1939" s="11"/>
    </row>
    <row r="1940" spans="1:12" x14ac:dyDescent="0.3">
      <c r="A1940" s="31"/>
      <c r="B1940" s="32">
        <f>IF(A1940="","",DATE(YEAR(A1940),MONTH(A1940),1))</f>
      </c>
      <c r="C1940" s="11"/>
      <c r="D1940" s="11"/>
      <c r="E1940" s="16">
        <f>IF(OR(D1940="",C1940&lt;&gt;"Chi"),"",IFERROR(INDEX('Danh mục'!$B$39:$B$78,MATCH(D1940,'Danh mục'!$A$39:$A$78,0))&amp;"","?"))</f>
      </c>
      <c r="F1940" s="16">
        <f>IF(D1940="","",IF(C1940="Thu",IFERROR(INDEX('Danh mục'!$B$26:$B$35,MATCH(D1940,'Danh mục'!$A$26:$A$35,0))&amp;"","?"),IFERROR(INDEX('Danh mục'!$D$39:$D$78,MATCH(D1940,'Danh mục'!$A$39:$A$78,0))&amp;"","?")))</f>
      </c>
      <c r="G1940" s="16">
        <f>IF(OR(D1940="",C1940&lt;&gt;"Chi"),"",IFERROR(INDEX('Danh mục'!$C$39:$C$78,MATCH(D1940,'Danh mục'!$A$39:$A$78,0))&amp;"",""))</f>
      </c>
      <c r="H1940" s="11"/>
      <c r="I1940" s="20"/>
      <c r="J1940" s="11"/>
      <c r="K1940" s="11"/>
      <c r="L1940" s="11"/>
    </row>
    <row r="1941" spans="1:12" x14ac:dyDescent="0.3">
      <c r="A1941" s="31"/>
      <c r="B1941" s="32">
        <f>IF(A1941="","",DATE(YEAR(A1941),MONTH(A1941),1))</f>
      </c>
      <c r="C1941" s="11"/>
      <c r="D1941" s="11"/>
      <c r="E1941" s="16">
        <f>IF(OR(D1941="",C1941&lt;&gt;"Chi"),"",IFERROR(INDEX('Danh mục'!$B$39:$B$78,MATCH(D1941,'Danh mục'!$A$39:$A$78,0))&amp;"","?"))</f>
      </c>
      <c r="F1941" s="16">
        <f>IF(D1941="","",IF(C1941="Thu",IFERROR(INDEX('Danh mục'!$B$26:$B$35,MATCH(D1941,'Danh mục'!$A$26:$A$35,0))&amp;"","?"),IFERROR(INDEX('Danh mục'!$D$39:$D$78,MATCH(D1941,'Danh mục'!$A$39:$A$78,0))&amp;"","?")))</f>
      </c>
      <c r="G1941" s="16">
        <f>IF(OR(D1941="",C1941&lt;&gt;"Chi"),"",IFERROR(INDEX('Danh mục'!$C$39:$C$78,MATCH(D1941,'Danh mục'!$A$39:$A$78,0))&amp;"",""))</f>
      </c>
      <c r="H1941" s="11"/>
      <c r="I1941" s="20"/>
      <c r="J1941" s="11"/>
      <c r="K1941" s="11"/>
      <c r="L1941" s="11"/>
    </row>
    <row r="1942" spans="1:12" x14ac:dyDescent="0.3">
      <c r="A1942" s="31"/>
      <c r="B1942" s="32">
        <f>IF(A1942="","",DATE(YEAR(A1942),MONTH(A1942),1))</f>
      </c>
      <c r="C1942" s="11"/>
      <c r="D1942" s="11"/>
      <c r="E1942" s="16">
        <f>IF(OR(D1942="",C1942&lt;&gt;"Chi"),"",IFERROR(INDEX('Danh mục'!$B$39:$B$78,MATCH(D1942,'Danh mục'!$A$39:$A$78,0))&amp;"","?"))</f>
      </c>
      <c r="F1942" s="16">
        <f>IF(D1942="","",IF(C1942="Thu",IFERROR(INDEX('Danh mục'!$B$26:$B$35,MATCH(D1942,'Danh mục'!$A$26:$A$35,0))&amp;"","?"),IFERROR(INDEX('Danh mục'!$D$39:$D$78,MATCH(D1942,'Danh mục'!$A$39:$A$78,0))&amp;"","?")))</f>
      </c>
      <c r="G1942" s="16">
        <f>IF(OR(D1942="",C1942&lt;&gt;"Chi"),"",IFERROR(INDEX('Danh mục'!$C$39:$C$78,MATCH(D1942,'Danh mục'!$A$39:$A$78,0))&amp;"",""))</f>
      </c>
      <c r="H1942" s="11"/>
      <c r="I1942" s="20"/>
      <c r="J1942" s="11"/>
      <c r="K1942" s="11"/>
      <c r="L1942" s="11"/>
    </row>
    <row r="1943" spans="1:12" x14ac:dyDescent="0.3">
      <c r="A1943" s="31"/>
      <c r="B1943" s="32">
        <f>IF(A1943="","",DATE(YEAR(A1943),MONTH(A1943),1))</f>
      </c>
      <c r="C1943" s="11"/>
      <c r="D1943" s="11"/>
      <c r="E1943" s="16">
        <f>IF(OR(D1943="",C1943&lt;&gt;"Chi"),"",IFERROR(INDEX('Danh mục'!$B$39:$B$78,MATCH(D1943,'Danh mục'!$A$39:$A$78,0))&amp;"","?"))</f>
      </c>
      <c r="F1943" s="16">
        <f>IF(D1943="","",IF(C1943="Thu",IFERROR(INDEX('Danh mục'!$B$26:$B$35,MATCH(D1943,'Danh mục'!$A$26:$A$35,0))&amp;"","?"),IFERROR(INDEX('Danh mục'!$D$39:$D$78,MATCH(D1943,'Danh mục'!$A$39:$A$78,0))&amp;"","?")))</f>
      </c>
      <c r="G1943" s="16">
        <f>IF(OR(D1943="",C1943&lt;&gt;"Chi"),"",IFERROR(INDEX('Danh mục'!$C$39:$C$78,MATCH(D1943,'Danh mục'!$A$39:$A$78,0))&amp;"",""))</f>
      </c>
      <c r="H1943" s="11"/>
      <c r="I1943" s="20"/>
      <c r="J1943" s="11"/>
      <c r="K1943" s="11"/>
      <c r="L1943" s="11"/>
    </row>
    <row r="1944" spans="1:12" x14ac:dyDescent="0.3">
      <c r="A1944" s="31"/>
      <c r="B1944" s="32">
        <f>IF(A1944="","",DATE(YEAR(A1944),MONTH(A1944),1))</f>
      </c>
      <c r="C1944" s="11"/>
      <c r="D1944" s="11"/>
      <c r="E1944" s="16">
        <f>IF(OR(D1944="",C1944&lt;&gt;"Chi"),"",IFERROR(INDEX('Danh mục'!$B$39:$B$78,MATCH(D1944,'Danh mục'!$A$39:$A$78,0))&amp;"","?"))</f>
      </c>
      <c r="F1944" s="16">
        <f>IF(D1944="","",IF(C1944="Thu",IFERROR(INDEX('Danh mục'!$B$26:$B$35,MATCH(D1944,'Danh mục'!$A$26:$A$35,0))&amp;"","?"),IFERROR(INDEX('Danh mục'!$D$39:$D$78,MATCH(D1944,'Danh mục'!$A$39:$A$78,0))&amp;"","?")))</f>
      </c>
      <c r="G1944" s="16">
        <f>IF(OR(D1944="",C1944&lt;&gt;"Chi"),"",IFERROR(INDEX('Danh mục'!$C$39:$C$78,MATCH(D1944,'Danh mục'!$A$39:$A$78,0))&amp;"",""))</f>
      </c>
      <c r="H1944" s="11"/>
      <c r="I1944" s="20"/>
      <c r="J1944" s="11"/>
      <c r="K1944" s="11"/>
      <c r="L1944" s="11"/>
    </row>
    <row r="1945" spans="1:12" x14ac:dyDescent="0.3">
      <c r="A1945" s="31"/>
      <c r="B1945" s="32">
        <f>IF(A1945="","",DATE(YEAR(A1945),MONTH(A1945),1))</f>
      </c>
      <c r="C1945" s="11"/>
      <c r="D1945" s="11"/>
      <c r="E1945" s="16">
        <f>IF(OR(D1945="",C1945&lt;&gt;"Chi"),"",IFERROR(INDEX('Danh mục'!$B$39:$B$78,MATCH(D1945,'Danh mục'!$A$39:$A$78,0))&amp;"","?"))</f>
      </c>
      <c r="F1945" s="16">
        <f>IF(D1945="","",IF(C1945="Thu",IFERROR(INDEX('Danh mục'!$B$26:$B$35,MATCH(D1945,'Danh mục'!$A$26:$A$35,0))&amp;"","?"),IFERROR(INDEX('Danh mục'!$D$39:$D$78,MATCH(D1945,'Danh mục'!$A$39:$A$78,0))&amp;"","?")))</f>
      </c>
      <c r="G1945" s="16">
        <f>IF(OR(D1945="",C1945&lt;&gt;"Chi"),"",IFERROR(INDEX('Danh mục'!$C$39:$C$78,MATCH(D1945,'Danh mục'!$A$39:$A$78,0))&amp;"",""))</f>
      </c>
      <c r="H1945" s="11"/>
      <c r="I1945" s="20"/>
      <c r="J1945" s="11"/>
      <c r="K1945" s="11"/>
      <c r="L1945" s="11"/>
    </row>
    <row r="1946" spans="1:12" x14ac:dyDescent="0.3">
      <c r="A1946" s="31"/>
      <c r="B1946" s="32">
        <f>IF(A1946="","",DATE(YEAR(A1946),MONTH(A1946),1))</f>
      </c>
      <c r="C1946" s="11"/>
      <c r="D1946" s="11"/>
      <c r="E1946" s="16">
        <f>IF(OR(D1946="",C1946&lt;&gt;"Chi"),"",IFERROR(INDEX('Danh mục'!$B$39:$B$78,MATCH(D1946,'Danh mục'!$A$39:$A$78,0))&amp;"","?"))</f>
      </c>
      <c r="F1946" s="16">
        <f>IF(D1946="","",IF(C1946="Thu",IFERROR(INDEX('Danh mục'!$B$26:$B$35,MATCH(D1946,'Danh mục'!$A$26:$A$35,0))&amp;"","?"),IFERROR(INDEX('Danh mục'!$D$39:$D$78,MATCH(D1946,'Danh mục'!$A$39:$A$78,0))&amp;"","?")))</f>
      </c>
      <c r="G1946" s="16">
        <f>IF(OR(D1946="",C1946&lt;&gt;"Chi"),"",IFERROR(INDEX('Danh mục'!$C$39:$C$78,MATCH(D1946,'Danh mục'!$A$39:$A$78,0))&amp;"",""))</f>
      </c>
      <c r="H1946" s="11"/>
      <c r="I1946" s="20"/>
      <c r="J1946" s="11"/>
      <c r="K1946" s="11"/>
      <c r="L1946" s="11"/>
    </row>
    <row r="1947" spans="1:12" x14ac:dyDescent="0.3">
      <c r="A1947" s="31"/>
      <c r="B1947" s="32">
        <f>IF(A1947="","",DATE(YEAR(A1947),MONTH(A1947),1))</f>
      </c>
      <c r="C1947" s="11"/>
      <c r="D1947" s="11"/>
      <c r="E1947" s="16">
        <f>IF(OR(D1947="",C1947&lt;&gt;"Chi"),"",IFERROR(INDEX('Danh mục'!$B$39:$B$78,MATCH(D1947,'Danh mục'!$A$39:$A$78,0))&amp;"","?"))</f>
      </c>
      <c r="F1947" s="16">
        <f>IF(D1947="","",IF(C1947="Thu",IFERROR(INDEX('Danh mục'!$B$26:$B$35,MATCH(D1947,'Danh mục'!$A$26:$A$35,0))&amp;"","?"),IFERROR(INDEX('Danh mục'!$D$39:$D$78,MATCH(D1947,'Danh mục'!$A$39:$A$78,0))&amp;"","?")))</f>
      </c>
      <c r="G1947" s="16">
        <f>IF(OR(D1947="",C1947&lt;&gt;"Chi"),"",IFERROR(INDEX('Danh mục'!$C$39:$C$78,MATCH(D1947,'Danh mục'!$A$39:$A$78,0))&amp;"",""))</f>
      </c>
      <c r="H1947" s="11"/>
      <c r="I1947" s="20"/>
      <c r="J1947" s="11"/>
      <c r="K1947" s="11"/>
      <c r="L1947" s="11"/>
    </row>
    <row r="1948" spans="1:12" x14ac:dyDescent="0.3">
      <c r="A1948" s="31"/>
      <c r="B1948" s="32">
        <f>IF(A1948="","",DATE(YEAR(A1948),MONTH(A1948),1))</f>
      </c>
      <c r="C1948" s="11"/>
      <c r="D1948" s="11"/>
      <c r="E1948" s="16">
        <f>IF(OR(D1948="",C1948&lt;&gt;"Chi"),"",IFERROR(INDEX('Danh mục'!$B$39:$B$78,MATCH(D1948,'Danh mục'!$A$39:$A$78,0))&amp;"","?"))</f>
      </c>
      <c r="F1948" s="16">
        <f>IF(D1948="","",IF(C1948="Thu",IFERROR(INDEX('Danh mục'!$B$26:$B$35,MATCH(D1948,'Danh mục'!$A$26:$A$35,0))&amp;"","?"),IFERROR(INDEX('Danh mục'!$D$39:$D$78,MATCH(D1948,'Danh mục'!$A$39:$A$78,0))&amp;"","?")))</f>
      </c>
      <c r="G1948" s="16">
        <f>IF(OR(D1948="",C1948&lt;&gt;"Chi"),"",IFERROR(INDEX('Danh mục'!$C$39:$C$78,MATCH(D1948,'Danh mục'!$A$39:$A$78,0))&amp;"",""))</f>
      </c>
      <c r="H1948" s="11"/>
      <c r="I1948" s="20"/>
      <c r="J1948" s="11"/>
      <c r="K1948" s="11"/>
      <c r="L1948" s="11"/>
    </row>
    <row r="1949" spans="1:12" x14ac:dyDescent="0.3">
      <c r="A1949" s="31"/>
      <c r="B1949" s="32">
        <f>IF(A1949="","",DATE(YEAR(A1949),MONTH(A1949),1))</f>
      </c>
      <c r="C1949" s="11"/>
      <c r="D1949" s="11"/>
      <c r="E1949" s="16">
        <f>IF(OR(D1949="",C1949&lt;&gt;"Chi"),"",IFERROR(INDEX('Danh mục'!$B$39:$B$78,MATCH(D1949,'Danh mục'!$A$39:$A$78,0))&amp;"","?"))</f>
      </c>
      <c r="F1949" s="16">
        <f>IF(D1949="","",IF(C1949="Thu",IFERROR(INDEX('Danh mục'!$B$26:$B$35,MATCH(D1949,'Danh mục'!$A$26:$A$35,0))&amp;"","?"),IFERROR(INDEX('Danh mục'!$D$39:$D$78,MATCH(D1949,'Danh mục'!$A$39:$A$78,0))&amp;"","?")))</f>
      </c>
      <c r="G1949" s="16">
        <f>IF(OR(D1949="",C1949&lt;&gt;"Chi"),"",IFERROR(INDEX('Danh mục'!$C$39:$C$78,MATCH(D1949,'Danh mục'!$A$39:$A$78,0))&amp;"",""))</f>
      </c>
      <c r="H1949" s="11"/>
      <c r="I1949" s="20"/>
      <c r="J1949" s="11"/>
      <c r="K1949" s="11"/>
      <c r="L1949" s="11"/>
    </row>
    <row r="1950" spans="1:12" x14ac:dyDescent="0.3">
      <c r="A1950" s="31"/>
      <c r="B1950" s="32">
        <f>IF(A1950="","",DATE(YEAR(A1950),MONTH(A1950),1))</f>
      </c>
      <c r="C1950" s="11"/>
      <c r="D1950" s="11"/>
      <c r="E1950" s="16">
        <f>IF(OR(D1950="",C1950&lt;&gt;"Chi"),"",IFERROR(INDEX('Danh mục'!$B$39:$B$78,MATCH(D1950,'Danh mục'!$A$39:$A$78,0))&amp;"","?"))</f>
      </c>
      <c r="F1950" s="16">
        <f>IF(D1950="","",IF(C1950="Thu",IFERROR(INDEX('Danh mục'!$B$26:$B$35,MATCH(D1950,'Danh mục'!$A$26:$A$35,0))&amp;"","?"),IFERROR(INDEX('Danh mục'!$D$39:$D$78,MATCH(D1950,'Danh mục'!$A$39:$A$78,0))&amp;"","?")))</f>
      </c>
      <c r="G1950" s="16">
        <f>IF(OR(D1950="",C1950&lt;&gt;"Chi"),"",IFERROR(INDEX('Danh mục'!$C$39:$C$78,MATCH(D1950,'Danh mục'!$A$39:$A$78,0))&amp;"",""))</f>
      </c>
      <c r="H1950" s="11"/>
      <c r="I1950" s="20"/>
      <c r="J1950" s="11"/>
      <c r="K1950" s="11"/>
      <c r="L1950" s="11"/>
    </row>
    <row r="1951" spans="1:12" x14ac:dyDescent="0.3">
      <c r="A1951" s="31"/>
      <c r="B1951" s="32">
        <f>IF(A1951="","",DATE(YEAR(A1951),MONTH(A1951),1))</f>
      </c>
      <c r="C1951" s="11"/>
      <c r="D1951" s="11"/>
      <c r="E1951" s="16">
        <f>IF(OR(D1951="",C1951&lt;&gt;"Chi"),"",IFERROR(INDEX('Danh mục'!$B$39:$B$78,MATCH(D1951,'Danh mục'!$A$39:$A$78,0))&amp;"","?"))</f>
      </c>
      <c r="F1951" s="16">
        <f>IF(D1951="","",IF(C1951="Thu",IFERROR(INDEX('Danh mục'!$B$26:$B$35,MATCH(D1951,'Danh mục'!$A$26:$A$35,0))&amp;"","?"),IFERROR(INDEX('Danh mục'!$D$39:$D$78,MATCH(D1951,'Danh mục'!$A$39:$A$78,0))&amp;"","?")))</f>
      </c>
      <c r="G1951" s="16">
        <f>IF(OR(D1951="",C1951&lt;&gt;"Chi"),"",IFERROR(INDEX('Danh mục'!$C$39:$C$78,MATCH(D1951,'Danh mục'!$A$39:$A$78,0))&amp;"",""))</f>
      </c>
      <c r="H1951" s="11"/>
      <c r="I1951" s="20"/>
      <c r="J1951" s="11"/>
      <c r="K1951" s="11"/>
      <c r="L1951" s="11"/>
    </row>
    <row r="1952" spans="1:12" x14ac:dyDescent="0.3">
      <c r="A1952" s="31"/>
      <c r="B1952" s="32">
        <f>IF(A1952="","",DATE(YEAR(A1952),MONTH(A1952),1))</f>
      </c>
      <c r="C1952" s="11"/>
      <c r="D1952" s="11"/>
      <c r="E1952" s="16">
        <f>IF(OR(D1952="",C1952&lt;&gt;"Chi"),"",IFERROR(INDEX('Danh mục'!$B$39:$B$78,MATCH(D1952,'Danh mục'!$A$39:$A$78,0))&amp;"","?"))</f>
      </c>
      <c r="F1952" s="16">
        <f>IF(D1952="","",IF(C1952="Thu",IFERROR(INDEX('Danh mục'!$B$26:$B$35,MATCH(D1952,'Danh mục'!$A$26:$A$35,0))&amp;"","?"),IFERROR(INDEX('Danh mục'!$D$39:$D$78,MATCH(D1952,'Danh mục'!$A$39:$A$78,0))&amp;"","?")))</f>
      </c>
      <c r="G1952" s="16">
        <f>IF(OR(D1952="",C1952&lt;&gt;"Chi"),"",IFERROR(INDEX('Danh mục'!$C$39:$C$78,MATCH(D1952,'Danh mục'!$A$39:$A$78,0))&amp;"",""))</f>
      </c>
      <c r="H1952" s="11"/>
      <c r="I1952" s="20"/>
      <c r="J1952" s="11"/>
      <c r="K1952" s="11"/>
      <c r="L1952" s="11"/>
    </row>
    <row r="1953" spans="1:12" x14ac:dyDescent="0.3">
      <c r="A1953" s="31"/>
      <c r="B1953" s="32">
        <f>IF(A1953="","",DATE(YEAR(A1953),MONTH(A1953),1))</f>
      </c>
      <c r="C1953" s="11"/>
      <c r="D1953" s="11"/>
      <c r="E1953" s="16">
        <f>IF(OR(D1953="",C1953&lt;&gt;"Chi"),"",IFERROR(INDEX('Danh mục'!$B$39:$B$78,MATCH(D1953,'Danh mục'!$A$39:$A$78,0))&amp;"","?"))</f>
      </c>
      <c r="F1953" s="16">
        <f>IF(D1953="","",IF(C1953="Thu",IFERROR(INDEX('Danh mục'!$B$26:$B$35,MATCH(D1953,'Danh mục'!$A$26:$A$35,0))&amp;"","?"),IFERROR(INDEX('Danh mục'!$D$39:$D$78,MATCH(D1953,'Danh mục'!$A$39:$A$78,0))&amp;"","?")))</f>
      </c>
      <c r="G1953" s="16">
        <f>IF(OR(D1953="",C1953&lt;&gt;"Chi"),"",IFERROR(INDEX('Danh mục'!$C$39:$C$78,MATCH(D1953,'Danh mục'!$A$39:$A$78,0))&amp;"",""))</f>
      </c>
      <c r="H1953" s="11"/>
      <c r="I1953" s="20"/>
      <c r="J1953" s="11"/>
      <c r="K1953" s="11"/>
      <c r="L1953" s="11"/>
    </row>
    <row r="1954" spans="1:12" x14ac:dyDescent="0.3">
      <c r="A1954" s="31"/>
      <c r="B1954" s="32">
        <f>IF(A1954="","",DATE(YEAR(A1954),MONTH(A1954),1))</f>
      </c>
      <c r="C1954" s="11"/>
      <c r="D1954" s="11"/>
      <c r="E1954" s="16">
        <f>IF(OR(D1954="",C1954&lt;&gt;"Chi"),"",IFERROR(INDEX('Danh mục'!$B$39:$B$78,MATCH(D1954,'Danh mục'!$A$39:$A$78,0))&amp;"","?"))</f>
      </c>
      <c r="F1954" s="16">
        <f>IF(D1954="","",IF(C1954="Thu",IFERROR(INDEX('Danh mục'!$B$26:$B$35,MATCH(D1954,'Danh mục'!$A$26:$A$35,0))&amp;"","?"),IFERROR(INDEX('Danh mục'!$D$39:$D$78,MATCH(D1954,'Danh mục'!$A$39:$A$78,0))&amp;"","?")))</f>
      </c>
      <c r="G1954" s="16">
        <f>IF(OR(D1954="",C1954&lt;&gt;"Chi"),"",IFERROR(INDEX('Danh mục'!$C$39:$C$78,MATCH(D1954,'Danh mục'!$A$39:$A$78,0))&amp;"",""))</f>
      </c>
      <c r="H1954" s="11"/>
      <c r="I1954" s="20"/>
      <c r="J1954" s="11"/>
      <c r="K1954" s="11"/>
      <c r="L1954" s="11"/>
    </row>
    <row r="1955" spans="1:12" x14ac:dyDescent="0.3">
      <c r="A1955" s="31"/>
      <c r="B1955" s="32">
        <f>IF(A1955="","",DATE(YEAR(A1955),MONTH(A1955),1))</f>
      </c>
      <c r="C1955" s="11"/>
      <c r="D1955" s="11"/>
      <c r="E1955" s="16">
        <f>IF(OR(D1955="",C1955&lt;&gt;"Chi"),"",IFERROR(INDEX('Danh mục'!$B$39:$B$78,MATCH(D1955,'Danh mục'!$A$39:$A$78,0))&amp;"","?"))</f>
      </c>
      <c r="F1955" s="16">
        <f>IF(D1955="","",IF(C1955="Thu",IFERROR(INDEX('Danh mục'!$B$26:$B$35,MATCH(D1955,'Danh mục'!$A$26:$A$35,0))&amp;"","?"),IFERROR(INDEX('Danh mục'!$D$39:$D$78,MATCH(D1955,'Danh mục'!$A$39:$A$78,0))&amp;"","?")))</f>
      </c>
      <c r="G1955" s="16">
        <f>IF(OR(D1955="",C1955&lt;&gt;"Chi"),"",IFERROR(INDEX('Danh mục'!$C$39:$C$78,MATCH(D1955,'Danh mục'!$A$39:$A$78,0))&amp;"",""))</f>
      </c>
      <c r="H1955" s="11"/>
      <c r="I1955" s="20"/>
      <c r="J1955" s="11"/>
      <c r="K1955" s="11"/>
      <c r="L1955" s="11"/>
    </row>
    <row r="1956" spans="1:12" x14ac:dyDescent="0.3">
      <c r="A1956" s="31"/>
      <c r="B1956" s="32">
        <f>IF(A1956="","",DATE(YEAR(A1956),MONTH(A1956),1))</f>
      </c>
      <c r="C1956" s="11"/>
      <c r="D1956" s="11"/>
      <c r="E1956" s="16">
        <f>IF(OR(D1956="",C1956&lt;&gt;"Chi"),"",IFERROR(INDEX('Danh mục'!$B$39:$B$78,MATCH(D1956,'Danh mục'!$A$39:$A$78,0))&amp;"","?"))</f>
      </c>
      <c r="F1956" s="16">
        <f>IF(D1956="","",IF(C1956="Thu",IFERROR(INDEX('Danh mục'!$B$26:$B$35,MATCH(D1956,'Danh mục'!$A$26:$A$35,0))&amp;"","?"),IFERROR(INDEX('Danh mục'!$D$39:$D$78,MATCH(D1956,'Danh mục'!$A$39:$A$78,0))&amp;"","?")))</f>
      </c>
      <c r="G1956" s="16">
        <f>IF(OR(D1956="",C1956&lt;&gt;"Chi"),"",IFERROR(INDEX('Danh mục'!$C$39:$C$78,MATCH(D1956,'Danh mục'!$A$39:$A$78,0))&amp;"",""))</f>
      </c>
      <c r="H1956" s="11"/>
      <c r="I1956" s="20"/>
      <c r="J1956" s="11"/>
      <c r="K1956" s="11"/>
      <c r="L1956" s="11"/>
    </row>
    <row r="1957" spans="1:12" x14ac:dyDescent="0.3">
      <c r="A1957" s="31"/>
      <c r="B1957" s="32">
        <f>IF(A1957="","",DATE(YEAR(A1957),MONTH(A1957),1))</f>
      </c>
      <c r="C1957" s="11"/>
      <c r="D1957" s="11"/>
      <c r="E1957" s="16">
        <f>IF(OR(D1957="",C1957&lt;&gt;"Chi"),"",IFERROR(INDEX('Danh mục'!$B$39:$B$78,MATCH(D1957,'Danh mục'!$A$39:$A$78,0))&amp;"","?"))</f>
      </c>
      <c r="F1957" s="16">
        <f>IF(D1957="","",IF(C1957="Thu",IFERROR(INDEX('Danh mục'!$B$26:$B$35,MATCH(D1957,'Danh mục'!$A$26:$A$35,0))&amp;"","?"),IFERROR(INDEX('Danh mục'!$D$39:$D$78,MATCH(D1957,'Danh mục'!$A$39:$A$78,0))&amp;"","?")))</f>
      </c>
      <c r="G1957" s="16">
        <f>IF(OR(D1957="",C1957&lt;&gt;"Chi"),"",IFERROR(INDEX('Danh mục'!$C$39:$C$78,MATCH(D1957,'Danh mục'!$A$39:$A$78,0))&amp;"",""))</f>
      </c>
      <c r="H1957" s="11"/>
      <c r="I1957" s="20"/>
      <c r="J1957" s="11"/>
      <c r="K1957" s="11"/>
      <c r="L1957" s="11"/>
    </row>
    <row r="1958" spans="1:12" x14ac:dyDescent="0.3">
      <c r="A1958" s="31"/>
      <c r="B1958" s="32">
        <f>IF(A1958="","",DATE(YEAR(A1958),MONTH(A1958),1))</f>
      </c>
      <c r="C1958" s="11"/>
      <c r="D1958" s="11"/>
      <c r="E1958" s="16">
        <f>IF(OR(D1958="",C1958&lt;&gt;"Chi"),"",IFERROR(INDEX('Danh mục'!$B$39:$B$78,MATCH(D1958,'Danh mục'!$A$39:$A$78,0))&amp;"","?"))</f>
      </c>
      <c r="F1958" s="16">
        <f>IF(D1958="","",IF(C1958="Thu",IFERROR(INDEX('Danh mục'!$B$26:$B$35,MATCH(D1958,'Danh mục'!$A$26:$A$35,0))&amp;"","?"),IFERROR(INDEX('Danh mục'!$D$39:$D$78,MATCH(D1958,'Danh mục'!$A$39:$A$78,0))&amp;"","?")))</f>
      </c>
      <c r="G1958" s="16">
        <f>IF(OR(D1958="",C1958&lt;&gt;"Chi"),"",IFERROR(INDEX('Danh mục'!$C$39:$C$78,MATCH(D1958,'Danh mục'!$A$39:$A$78,0))&amp;"",""))</f>
      </c>
      <c r="H1958" s="11"/>
      <c r="I1958" s="20"/>
      <c r="J1958" s="11"/>
      <c r="K1958" s="11"/>
      <c r="L1958" s="11"/>
    </row>
    <row r="1959" spans="1:12" x14ac:dyDescent="0.3">
      <c r="A1959" s="31"/>
      <c r="B1959" s="32">
        <f>IF(A1959="","",DATE(YEAR(A1959),MONTH(A1959),1))</f>
      </c>
      <c r="C1959" s="11"/>
      <c r="D1959" s="11"/>
      <c r="E1959" s="16">
        <f>IF(OR(D1959="",C1959&lt;&gt;"Chi"),"",IFERROR(INDEX('Danh mục'!$B$39:$B$78,MATCH(D1959,'Danh mục'!$A$39:$A$78,0))&amp;"","?"))</f>
      </c>
      <c r="F1959" s="16">
        <f>IF(D1959="","",IF(C1959="Thu",IFERROR(INDEX('Danh mục'!$B$26:$B$35,MATCH(D1959,'Danh mục'!$A$26:$A$35,0))&amp;"","?"),IFERROR(INDEX('Danh mục'!$D$39:$D$78,MATCH(D1959,'Danh mục'!$A$39:$A$78,0))&amp;"","?")))</f>
      </c>
      <c r="G1959" s="16">
        <f>IF(OR(D1959="",C1959&lt;&gt;"Chi"),"",IFERROR(INDEX('Danh mục'!$C$39:$C$78,MATCH(D1959,'Danh mục'!$A$39:$A$78,0))&amp;"",""))</f>
      </c>
      <c r="H1959" s="11"/>
      <c r="I1959" s="20"/>
      <c r="J1959" s="11"/>
      <c r="K1959" s="11"/>
      <c r="L1959" s="11"/>
    </row>
    <row r="1960" spans="1:12" x14ac:dyDescent="0.3">
      <c r="A1960" s="31"/>
      <c r="B1960" s="32">
        <f>IF(A1960="","",DATE(YEAR(A1960),MONTH(A1960),1))</f>
      </c>
      <c r="C1960" s="11"/>
      <c r="D1960" s="11"/>
      <c r="E1960" s="16">
        <f>IF(OR(D1960="",C1960&lt;&gt;"Chi"),"",IFERROR(INDEX('Danh mục'!$B$39:$B$78,MATCH(D1960,'Danh mục'!$A$39:$A$78,0))&amp;"","?"))</f>
      </c>
      <c r="F1960" s="16">
        <f>IF(D1960="","",IF(C1960="Thu",IFERROR(INDEX('Danh mục'!$B$26:$B$35,MATCH(D1960,'Danh mục'!$A$26:$A$35,0))&amp;"","?"),IFERROR(INDEX('Danh mục'!$D$39:$D$78,MATCH(D1960,'Danh mục'!$A$39:$A$78,0))&amp;"","?")))</f>
      </c>
      <c r="G1960" s="16">
        <f>IF(OR(D1960="",C1960&lt;&gt;"Chi"),"",IFERROR(INDEX('Danh mục'!$C$39:$C$78,MATCH(D1960,'Danh mục'!$A$39:$A$78,0))&amp;"",""))</f>
      </c>
      <c r="H1960" s="11"/>
      <c r="I1960" s="20"/>
      <c r="J1960" s="11"/>
      <c r="K1960" s="11"/>
      <c r="L1960" s="11"/>
    </row>
    <row r="1961" spans="1:12" x14ac:dyDescent="0.3">
      <c r="A1961" s="31"/>
      <c r="B1961" s="32">
        <f>IF(A1961="","",DATE(YEAR(A1961),MONTH(A1961),1))</f>
      </c>
      <c r="C1961" s="11"/>
      <c r="D1961" s="11"/>
      <c r="E1961" s="16">
        <f>IF(OR(D1961="",C1961&lt;&gt;"Chi"),"",IFERROR(INDEX('Danh mục'!$B$39:$B$78,MATCH(D1961,'Danh mục'!$A$39:$A$78,0))&amp;"","?"))</f>
      </c>
      <c r="F1961" s="16">
        <f>IF(D1961="","",IF(C1961="Thu",IFERROR(INDEX('Danh mục'!$B$26:$B$35,MATCH(D1961,'Danh mục'!$A$26:$A$35,0))&amp;"","?"),IFERROR(INDEX('Danh mục'!$D$39:$D$78,MATCH(D1961,'Danh mục'!$A$39:$A$78,0))&amp;"","?")))</f>
      </c>
      <c r="G1961" s="16">
        <f>IF(OR(D1961="",C1961&lt;&gt;"Chi"),"",IFERROR(INDEX('Danh mục'!$C$39:$C$78,MATCH(D1961,'Danh mục'!$A$39:$A$78,0))&amp;"",""))</f>
      </c>
      <c r="H1961" s="11"/>
      <c r="I1961" s="20"/>
      <c r="J1961" s="11"/>
      <c r="K1961" s="11"/>
      <c r="L1961" s="11"/>
    </row>
    <row r="1962" spans="1:12" x14ac:dyDescent="0.3">
      <c r="A1962" s="31"/>
      <c r="B1962" s="32">
        <f>IF(A1962="","",DATE(YEAR(A1962),MONTH(A1962),1))</f>
      </c>
      <c r="C1962" s="11"/>
      <c r="D1962" s="11"/>
      <c r="E1962" s="16">
        <f>IF(OR(D1962="",C1962&lt;&gt;"Chi"),"",IFERROR(INDEX('Danh mục'!$B$39:$B$78,MATCH(D1962,'Danh mục'!$A$39:$A$78,0))&amp;"","?"))</f>
      </c>
      <c r="F1962" s="16">
        <f>IF(D1962="","",IF(C1962="Thu",IFERROR(INDEX('Danh mục'!$B$26:$B$35,MATCH(D1962,'Danh mục'!$A$26:$A$35,0))&amp;"","?"),IFERROR(INDEX('Danh mục'!$D$39:$D$78,MATCH(D1962,'Danh mục'!$A$39:$A$78,0))&amp;"","?")))</f>
      </c>
      <c r="G1962" s="16">
        <f>IF(OR(D1962="",C1962&lt;&gt;"Chi"),"",IFERROR(INDEX('Danh mục'!$C$39:$C$78,MATCH(D1962,'Danh mục'!$A$39:$A$78,0))&amp;"",""))</f>
      </c>
      <c r="H1962" s="11"/>
      <c r="I1962" s="20"/>
      <c r="J1962" s="11"/>
      <c r="K1962" s="11"/>
      <c r="L1962" s="11"/>
    </row>
    <row r="1963" spans="1:12" x14ac:dyDescent="0.3">
      <c r="A1963" s="31"/>
      <c r="B1963" s="32">
        <f>IF(A1963="","",DATE(YEAR(A1963),MONTH(A1963),1))</f>
      </c>
      <c r="C1963" s="11"/>
      <c r="D1963" s="11"/>
      <c r="E1963" s="16">
        <f>IF(OR(D1963="",C1963&lt;&gt;"Chi"),"",IFERROR(INDEX('Danh mục'!$B$39:$B$78,MATCH(D1963,'Danh mục'!$A$39:$A$78,0))&amp;"","?"))</f>
      </c>
      <c r="F1963" s="16">
        <f>IF(D1963="","",IF(C1963="Thu",IFERROR(INDEX('Danh mục'!$B$26:$B$35,MATCH(D1963,'Danh mục'!$A$26:$A$35,0))&amp;"","?"),IFERROR(INDEX('Danh mục'!$D$39:$D$78,MATCH(D1963,'Danh mục'!$A$39:$A$78,0))&amp;"","?")))</f>
      </c>
      <c r="G1963" s="16">
        <f>IF(OR(D1963="",C1963&lt;&gt;"Chi"),"",IFERROR(INDEX('Danh mục'!$C$39:$C$78,MATCH(D1963,'Danh mục'!$A$39:$A$78,0))&amp;"",""))</f>
      </c>
      <c r="H1963" s="11"/>
      <c r="I1963" s="20"/>
      <c r="J1963" s="11"/>
      <c r="K1963" s="11"/>
      <c r="L1963" s="11"/>
    </row>
    <row r="1964" spans="1:12" x14ac:dyDescent="0.3">
      <c r="A1964" s="31"/>
      <c r="B1964" s="32">
        <f>IF(A1964="","",DATE(YEAR(A1964),MONTH(A1964),1))</f>
      </c>
      <c r="C1964" s="11"/>
      <c r="D1964" s="11"/>
      <c r="E1964" s="16">
        <f>IF(OR(D1964="",C1964&lt;&gt;"Chi"),"",IFERROR(INDEX('Danh mục'!$B$39:$B$78,MATCH(D1964,'Danh mục'!$A$39:$A$78,0))&amp;"","?"))</f>
      </c>
      <c r="F1964" s="16">
        <f>IF(D1964="","",IF(C1964="Thu",IFERROR(INDEX('Danh mục'!$B$26:$B$35,MATCH(D1964,'Danh mục'!$A$26:$A$35,0))&amp;"","?"),IFERROR(INDEX('Danh mục'!$D$39:$D$78,MATCH(D1964,'Danh mục'!$A$39:$A$78,0))&amp;"","?")))</f>
      </c>
      <c r="G1964" s="16">
        <f>IF(OR(D1964="",C1964&lt;&gt;"Chi"),"",IFERROR(INDEX('Danh mục'!$C$39:$C$78,MATCH(D1964,'Danh mục'!$A$39:$A$78,0))&amp;"",""))</f>
      </c>
      <c r="H1964" s="11"/>
      <c r="I1964" s="20"/>
      <c r="J1964" s="11"/>
      <c r="K1964" s="11"/>
      <c r="L1964" s="11"/>
    </row>
    <row r="1965" spans="1:12" x14ac:dyDescent="0.3">
      <c r="A1965" s="31"/>
      <c r="B1965" s="32">
        <f>IF(A1965="","",DATE(YEAR(A1965),MONTH(A1965),1))</f>
      </c>
      <c r="C1965" s="11"/>
      <c r="D1965" s="11"/>
      <c r="E1965" s="16">
        <f>IF(OR(D1965="",C1965&lt;&gt;"Chi"),"",IFERROR(INDEX('Danh mục'!$B$39:$B$78,MATCH(D1965,'Danh mục'!$A$39:$A$78,0))&amp;"","?"))</f>
      </c>
      <c r="F1965" s="16">
        <f>IF(D1965="","",IF(C1965="Thu",IFERROR(INDEX('Danh mục'!$B$26:$B$35,MATCH(D1965,'Danh mục'!$A$26:$A$35,0))&amp;"","?"),IFERROR(INDEX('Danh mục'!$D$39:$D$78,MATCH(D1965,'Danh mục'!$A$39:$A$78,0))&amp;"","?")))</f>
      </c>
      <c r="G1965" s="16">
        <f>IF(OR(D1965="",C1965&lt;&gt;"Chi"),"",IFERROR(INDEX('Danh mục'!$C$39:$C$78,MATCH(D1965,'Danh mục'!$A$39:$A$78,0))&amp;"",""))</f>
      </c>
      <c r="H1965" s="11"/>
      <c r="I1965" s="20"/>
      <c r="J1965" s="11"/>
      <c r="K1965" s="11"/>
      <c r="L1965" s="11"/>
    </row>
    <row r="1966" spans="1:12" x14ac:dyDescent="0.3">
      <c r="A1966" s="31"/>
      <c r="B1966" s="32">
        <f>IF(A1966="","",DATE(YEAR(A1966),MONTH(A1966),1))</f>
      </c>
      <c r="C1966" s="11"/>
      <c r="D1966" s="11"/>
      <c r="E1966" s="16">
        <f>IF(OR(D1966="",C1966&lt;&gt;"Chi"),"",IFERROR(INDEX('Danh mục'!$B$39:$B$78,MATCH(D1966,'Danh mục'!$A$39:$A$78,0))&amp;"","?"))</f>
      </c>
      <c r="F1966" s="16">
        <f>IF(D1966="","",IF(C1966="Thu",IFERROR(INDEX('Danh mục'!$B$26:$B$35,MATCH(D1966,'Danh mục'!$A$26:$A$35,0))&amp;"","?"),IFERROR(INDEX('Danh mục'!$D$39:$D$78,MATCH(D1966,'Danh mục'!$A$39:$A$78,0))&amp;"","?")))</f>
      </c>
      <c r="G1966" s="16">
        <f>IF(OR(D1966="",C1966&lt;&gt;"Chi"),"",IFERROR(INDEX('Danh mục'!$C$39:$C$78,MATCH(D1966,'Danh mục'!$A$39:$A$78,0))&amp;"",""))</f>
      </c>
      <c r="H1966" s="11"/>
      <c r="I1966" s="20"/>
      <c r="J1966" s="11"/>
      <c r="K1966" s="11"/>
      <c r="L1966" s="11"/>
    </row>
    <row r="1967" spans="1:12" x14ac:dyDescent="0.3">
      <c r="A1967" s="31"/>
      <c r="B1967" s="32">
        <f>IF(A1967="","",DATE(YEAR(A1967),MONTH(A1967),1))</f>
      </c>
      <c r="C1967" s="11"/>
      <c r="D1967" s="11"/>
      <c r="E1967" s="16">
        <f>IF(OR(D1967="",C1967&lt;&gt;"Chi"),"",IFERROR(INDEX('Danh mục'!$B$39:$B$78,MATCH(D1967,'Danh mục'!$A$39:$A$78,0))&amp;"","?"))</f>
      </c>
      <c r="F1967" s="16">
        <f>IF(D1967="","",IF(C1967="Thu",IFERROR(INDEX('Danh mục'!$B$26:$B$35,MATCH(D1967,'Danh mục'!$A$26:$A$35,0))&amp;"","?"),IFERROR(INDEX('Danh mục'!$D$39:$D$78,MATCH(D1967,'Danh mục'!$A$39:$A$78,0))&amp;"","?")))</f>
      </c>
      <c r="G1967" s="16">
        <f>IF(OR(D1967="",C1967&lt;&gt;"Chi"),"",IFERROR(INDEX('Danh mục'!$C$39:$C$78,MATCH(D1967,'Danh mục'!$A$39:$A$78,0))&amp;"",""))</f>
      </c>
      <c r="H1967" s="11"/>
      <c r="I1967" s="20"/>
      <c r="J1967" s="11"/>
      <c r="K1967" s="11"/>
      <c r="L1967" s="11"/>
    </row>
    <row r="1968" spans="1:12" x14ac:dyDescent="0.3">
      <c r="A1968" s="31"/>
      <c r="B1968" s="32">
        <f>IF(A1968="","",DATE(YEAR(A1968),MONTH(A1968),1))</f>
      </c>
      <c r="C1968" s="11"/>
      <c r="D1968" s="11"/>
      <c r="E1968" s="16">
        <f>IF(OR(D1968="",C1968&lt;&gt;"Chi"),"",IFERROR(INDEX('Danh mục'!$B$39:$B$78,MATCH(D1968,'Danh mục'!$A$39:$A$78,0))&amp;"","?"))</f>
      </c>
      <c r="F1968" s="16">
        <f>IF(D1968="","",IF(C1968="Thu",IFERROR(INDEX('Danh mục'!$B$26:$B$35,MATCH(D1968,'Danh mục'!$A$26:$A$35,0))&amp;"","?"),IFERROR(INDEX('Danh mục'!$D$39:$D$78,MATCH(D1968,'Danh mục'!$A$39:$A$78,0))&amp;"","?")))</f>
      </c>
      <c r="G1968" s="16">
        <f>IF(OR(D1968="",C1968&lt;&gt;"Chi"),"",IFERROR(INDEX('Danh mục'!$C$39:$C$78,MATCH(D1968,'Danh mục'!$A$39:$A$78,0))&amp;"",""))</f>
      </c>
      <c r="H1968" s="11"/>
      <c r="I1968" s="20"/>
      <c r="J1968" s="11"/>
      <c r="K1968" s="11"/>
      <c r="L1968" s="11"/>
    </row>
    <row r="1969" spans="1:12" x14ac:dyDescent="0.3">
      <c r="A1969" s="31"/>
      <c r="B1969" s="32">
        <f>IF(A1969="","",DATE(YEAR(A1969),MONTH(A1969),1))</f>
      </c>
      <c r="C1969" s="11"/>
      <c r="D1969" s="11"/>
      <c r="E1969" s="16">
        <f>IF(OR(D1969="",C1969&lt;&gt;"Chi"),"",IFERROR(INDEX('Danh mục'!$B$39:$B$78,MATCH(D1969,'Danh mục'!$A$39:$A$78,0))&amp;"","?"))</f>
      </c>
      <c r="F1969" s="16">
        <f>IF(D1969="","",IF(C1969="Thu",IFERROR(INDEX('Danh mục'!$B$26:$B$35,MATCH(D1969,'Danh mục'!$A$26:$A$35,0))&amp;"","?"),IFERROR(INDEX('Danh mục'!$D$39:$D$78,MATCH(D1969,'Danh mục'!$A$39:$A$78,0))&amp;"","?")))</f>
      </c>
      <c r="G1969" s="16">
        <f>IF(OR(D1969="",C1969&lt;&gt;"Chi"),"",IFERROR(INDEX('Danh mục'!$C$39:$C$78,MATCH(D1969,'Danh mục'!$A$39:$A$78,0))&amp;"",""))</f>
      </c>
      <c r="H1969" s="11"/>
      <c r="I1969" s="20"/>
      <c r="J1969" s="11"/>
      <c r="K1969" s="11"/>
      <c r="L1969" s="11"/>
    </row>
    <row r="1970" spans="1:12" x14ac:dyDescent="0.3">
      <c r="A1970" s="31"/>
      <c r="B1970" s="32">
        <f>IF(A1970="","",DATE(YEAR(A1970),MONTH(A1970),1))</f>
      </c>
      <c r="C1970" s="11"/>
      <c r="D1970" s="11"/>
      <c r="E1970" s="16">
        <f>IF(OR(D1970="",C1970&lt;&gt;"Chi"),"",IFERROR(INDEX('Danh mục'!$B$39:$B$78,MATCH(D1970,'Danh mục'!$A$39:$A$78,0))&amp;"","?"))</f>
      </c>
      <c r="F1970" s="16">
        <f>IF(D1970="","",IF(C1970="Thu",IFERROR(INDEX('Danh mục'!$B$26:$B$35,MATCH(D1970,'Danh mục'!$A$26:$A$35,0))&amp;"","?"),IFERROR(INDEX('Danh mục'!$D$39:$D$78,MATCH(D1970,'Danh mục'!$A$39:$A$78,0))&amp;"","?")))</f>
      </c>
      <c r="G1970" s="16">
        <f>IF(OR(D1970="",C1970&lt;&gt;"Chi"),"",IFERROR(INDEX('Danh mục'!$C$39:$C$78,MATCH(D1970,'Danh mục'!$A$39:$A$78,0))&amp;"",""))</f>
      </c>
      <c r="H1970" s="11"/>
      <c r="I1970" s="20"/>
      <c r="J1970" s="11"/>
      <c r="K1970" s="11"/>
      <c r="L1970" s="11"/>
    </row>
    <row r="1971" spans="1:12" x14ac:dyDescent="0.3">
      <c r="A1971" s="31"/>
      <c r="B1971" s="32">
        <f>IF(A1971="","",DATE(YEAR(A1971),MONTH(A1971),1))</f>
      </c>
      <c r="C1971" s="11"/>
      <c r="D1971" s="11"/>
      <c r="E1971" s="16">
        <f>IF(OR(D1971="",C1971&lt;&gt;"Chi"),"",IFERROR(INDEX('Danh mục'!$B$39:$B$78,MATCH(D1971,'Danh mục'!$A$39:$A$78,0))&amp;"","?"))</f>
      </c>
      <c r="F1971" s="16">
        <f>IF(D1971="","",IF(C1971="Thu",IFERROR(INDEX('Danh mục'!$B$26:$B$35,MATCH(D1971,'Danh mục'!$A$26:$A$35,0))&amp;"","?"),IFERROR(INDEX('Danh mục'!$D$39:$D$78,MATCH(D1971,'Danh mục'!$A$39:$A$78,0))&amp;"","?")))</f>
      </c>
      <c r="G1971" s="16">
        <f>IF(OR(D1971="",C1971&lt;&gt;"Chi"),"",IFERROR(INDEX('Danh mục'!$C$39:$C$78,MATCH(D1971,'Danh mục'!$A$39:$A$78,0))&amp;"",""))</f>
      </c>
      <c r="H1971" s="11"/>
      <c r="I1971" s="20"/>
      <c r="J1971" s="11"/>
      <c r="K1971" s="11"/>
      <c r="L1971" s="11"/>
    </row>
    <row r="1972" spans="1:12" x14ac:dyDescent="0.3">
      <c r="A1972" s="31"/>
      <c r="B1972" s="32">
        <f>IF(A1972="","",DATE(YEAR(A1972),MONTH(A1972),1))</f>
      </c>
      <c r="C1972" s="11"/>
      <c r="D1972" s="11"/>
      <c r="E1972" s="16">
        <f>IF(OR(D1972="",C1972&lt;&gt;"Chi"),"",IFERROR(INDEX('Danh mục'!$B$39:$B$78,MATCH(D1972,'Danh mục'!$A$39:$A$78,0))&amp;"","?"))</f>
      </c>
      <c r="F1972" s="16">
        <f>IF(D1972="","",IF(C1972="Thu",IFERROR(INDEX('Danh mục'!$B$26:$B$35,MATCH(D1972,'Danh mục'!$A$26:$A$35,0))&amp;"","?"),IFERROR(INDEX('Danh mục'!$D$39:$D$78,MATCH(D1972,'Danh mục'!$A$39:$A$78,0))&amp;"","?")))</f>
      </c>
      <c r="G1972" s="16">
        <f>IF(OR(D1972="",C1972&lt;&gt;"Chi"),"",IFERROR(INDEX('Danh mục'!$C$39:$C$78,MATCH(D1972,'Danh mục'!$A$39:$A$78,0))&amp;"",""))</f>
      </c>
      <c r="H1972" s="11"/>
      <c r="I1972" s="20"/>
      <c r="J1972" s="11"/>
      <c r="K1972" s="11"/>
      <c r="L1972" s="11"/>
    </row>
    <row r="1973" spans="1:12" x14ac:dyDescent="0.3">
      <c r="A1973" s="31"/>
      <c r="B1973" s="32">
        <f>IF(A1973="","",DATE(YEAR(A1973),MONTH(A1973),1))</f>
      </c>
      <c r="C1973" s="11"/>
      <c r="D1973" s="11"/>
      <c r="E1973" s="16">
        <f>IF(OR(D1973="",C1973&lt;&gt;"Chi"),"",IFERROR(INDEX('Danh mục'!$B$39:$B$78,MATCH(D1973,'Danh mục'!$A$39:$A$78,0))&amp;"","?"))</f>
      </c>
      <c r="F1973" s="16">
        <f>IF(D1973="","",IF(C1973="Thu",IFERROR(INDEX('Danh mục'!$B$26:$B$35,MATCH(D1973,'Danh mục'!$A$26:$A$35,0))&amp;"","?"),IFERROR(INDEX('Danh mục'!$D$39:$D$78,MATCH(D1973,'Danh mục'!$A$39:$A$78,0))&amp;"","?")))</f>
      </c>
      <c r="G1973" s="16">
        <f>IF(OR(D1973="",C1973&lt;&gt;"Chi"),"",IFERROR(INDEX('Danh mục'!$C$39:$C$78,MATCH(D1973,'Danh mục'!$A$39:$A$78,0))&amp;"",""))</f>
      </c>
      <c r="H1973" s="11"/>
      <c r="I1973" s="20"/>
      <c r="J1973" s="11"/>
      <c r="K1973" s="11"/>
      <c r="L1973" s="11"/>
    </row>
    <row r="1974" spans="1:12" x14ac:dyDescent="0.3">
      <c r="A1974" s="31"/>
      <c r="B1974" s="32">
        <f>IF(A1974="","",DATE(YEAR(A1974),MONTH(A1974),1))</f>
      </c>
      <c r="C1974" s="11"/>
      <c r="D1974" s="11"/>
      <c r="E1974" s="16">
        <f>IF(OR(D1974="",C1974&lt;&gt;"Chi"),"",IFERROR(INDEX('Danh mục'!$B$39:$B$78,MATCH(D1974,'Danh mục'!$A$39:$A$78,0))&amp;"","?"))</f>
      </c>
      <c r="F1974" s="16">
        <f>IF(D1974="","",IF(C1974="Thu",IFERROR(INDEX('Danh mục'!$B$26:$B$35,MATCH(D1974,'Danh mục'!$A$26:$A$35,0))&amp;"","?"),IFERROR(INDEX('Danh mục'!$D$39:$D$78,MATCH(D1974,'Danh mục'!$A$39:$A$78,0))&amp;"","?")))</f>
      </c>
      <c r="G1974" s="16">
        <f>IF(OR(D1974="",C1974&lt;&gt;"Chi"),"",IFERROR(INDEX('Danh mục'!$C$39:$C$78,MATCH(D1974,'Danh mục'!$A$39:$A$78,0))&amp;"",""))</f>
      </c>
      <c r="H1974" s="11"/>
      <c r="I1974" s="20"/>
      <c r="J1974" s="11"/>
      <c r="K1974" s="11"/>
      <c r="L1974" s="11"/>
    </row>
    <row r="1975" spans="1:12" x14ac:dyDescent="0.3">
      <c r="A1975" s="31"/>
      <c r="B1975" s="32">
        <f>IF(A1975="","",DATE(YEAR(A1975),MONTH(A1975),1))</f>
      </c>
      <c r="C1975" s="11"/>
      <c r="D1975" s="11"/>
      <c r="E1975" s="16">
        <f>IF(OR(D1975="",C1975&lt;&gt;"Chi"),"",IFERROR(INDEX('Danh mục'!$B$39:$B$78,MATCH(D1975,'Danh mục'!$A$39:$A$78,0))&amp;"","?"))</f>
      </c>
      <c r="F1975" s="16">
        <f>IF(D1975="","",IF(C1975="Thu",IFERROR(INDEX('Danh mục'!$B$26:$B$35,MATCH(D1975,'Danh mục'!$A$26:$A$35,0))&amp;"","?"),IFERROR(INDEX('Danh mục'!$D$39:$D$78,MATCH(D1975,'Danh mục'!$A$39:$A$78,0))&amp;"","?")))</f>
      </c>
      <c r="G1975" s="16">
        <f>IF(OR(D1975="",C1975&lt;&gt;"Chi"),"",IFERROR(INDEX('Danh mục'!$C$39:$C$78,MATCH(D1975,'Danh mục'!$A$39:$A$78,0))&amp;"",""))</f>
      </c>
      <c r="H1975" s="11"/>
      <c r="I1975" s="20"/>
      <c r="J1975" s="11"/>
      <c r="K1975" s="11"/>
      <c r="L1975" s="11"/>
    </row>
    <row r="1976" spans="1:12" x14ac:dyDescent="0.3">
      <c r="A1976" s="31"/>
      <c r="B1976" s="32">
        <f>IF(A1976="","",DATE(YEAR(A1976),MONTH(A1976),1))</f>
      </c>
      <c r="C1976" s="11"/>
      <c r="D1976" s="11"/>
      <c r="E1976" s="16">
        <f>IF(OR(D1976="",C1976&lt;&gt;"Chi"),"",IFERROR(INDEX('Danh mục'!$B$39:$B$78,MATCH(D1976,'Danh mục'!$A$39:$A$78,0))&amp;"","?"))</f>
      </c>
      <c r="F1976" s="16">
        <f>IF(D1976="","",IF(C1976="Thu",IFERROR(INDEX('Danh mục'!$B$26:$B$35,MATCH(D1976,'Danh mục'!$A$26:$A$35,0))&amp;"","?"),IFERROR(INDEX('Danh mục'!$D$39:$D$78,MATCH(D1976,'Danh mục'!$A$39:$A$78,0))&amp;"","?")))</f>
      </c>
      <c r="G1976" s="16">
        <f>IF(OR(D1976="",C1976&lt;&gt;"Chi"),"",IFERROR(INDEX('Danh mục'!$C$39:$C$78,MATCH(D1976,'Danh mục'!$A$39:$A$78,0))&amp;"",""))</f>
      </c>
      <c r="H1976" s="11"/>
      <c r="I1976" s="20"/>
      <c r="J1976" s="11"/>
      <c r="K1976" s="11"/>
      <c r="L1976" s="11"/>
    </row>
    <row r="1977" spans="1:12" x14ac:dyDescent="0.3">
      <c r="A1977" s="31"/>
      <c r="B1977" s="32">
        <f>IF(A1977="","",DATE(YEAR(A1977),MONTH(A1977),1))</f>
      </c>
      <c r="C1977" s="11"/>
      <c r="D1977" s="11"/>
      <c r="E1977" s="16">
        <f>IF(OR(D1977="",C1977&lt;&gt;"Chi"),"",IFERROR(INDEX('Danh mục'!$B$39:$B$78,MATCH(D1977,'Danh mục'!$A$39:$A$78,0))&amp;"","?"))</f>
      </c>
      <c r="F1977" s="16">
        <f>IF(D1977="","",IF(C1977="Thu",IFERROR(INDEX('Danh mục'!$B$26:$B$35,MATCH(D1977,'Danh mục'!$A$26:$A$35,0))&amp;"","?"),IFERROR(INDEX('Danh mục'!$D$39:$D$78,MATCH(D1977,'Danh mục'!$A$39:$A$78,0))&amp;"","?")))</f>
      </c>
      <c r="G1977" s="16">
        <f>IF(OR(D1977="",C1977&lt;&gt;"Chi"),"",IFERROR(INDEX('Danh mục'!$C$39:$C$78,MATCH(D1977,'Danh mục'!$A$39:$A$78,0))&amp;"",""))</f>
      </c>
      <c r="H1977" s="11"/>
      <c r="I1977" s="20"/>
      <c r="J1977" s="11"/>
      <c r="K1977" s="11"/>
      <c r="L1977" s="11"/>
    </row>
    <row r="1978" spans="1:12" x14ac:dyDescent="0.3">
      <c r="A1978" s="31"/>
      <c r="B1978" s="32">
        <f>IF(A1978="","",DATE(YEAR(A1978),MONTH(A1978),1))</f>
      </c>
      <c r="C1978" s="11"/>
      <c r="D1978" s="11"/>
      <c r="E1978" s="16">
        <f>IF(OR(D1978="",C1978&lt;&gt;"Chi"),"",IFERROR(INDEX('Danh mục'!$B$39:$B$78,MATCH(D1978,'Danh mục'!$A$39:$A$78,0))&amp;"","?"))</f>
      </c>
      <c r="F1978" s="16">
        <f>IF(D1978="","",IF(C1978="Thu",IFERROR(INDEX('Danh mục'!$B$26:$B$35,MATCH(D1978,'Danh mục'!$A$26:$A$35,0))&amp;"","?"),IFERROR(INDEX('Danh mục'!$D$39:$D$78,MATCH(D1978,'Danh mục'!$A$39:$A$78,0))&amp;"","?")))</f>
      </c>
      <c r="G1978" s="16">
        <f>IF(OR(D1978="",C1978&lt;&gt;"Chi"),"",IFERROR(INDEX('Danh mục'!$C$39:$C$78,MATCH(D1978,'Danh mục'!$A$39:$A$78,0))&amp;"",""))</f>
      </c>
      <c r="H1978" s="11"/>
      <c r="I1978" s="20"/>
      <c r="J1978" s="11"/>
      <c r="K1978" s="11"/>
      <c r="L1978" s="11"/>
    </row>
    <row r="1979" spans="1:12" x14ac:dyDescent="0.3">
      <c r="A1979" s="31"/>
      <c r="B1979" s="32">
        <f>IF(A1979="","",DATE(YEAR(A1979),MONTH(A1979),1))</f>
      </c>
      <c r="C1979" s="11"/>
      <c r="D1979" s="11"/>
      <c r="E1979" s="16">
        <f>IF(OR(D1979="",C1979&lt;&gt;"Chi"),"",IFERROR(INDEX('Danh mục'!$B$39:$B$78,MATCH(D1979,'Danh mục'!$A$39:$A$78,0))&amp;"","?"))</f>
      </c>
      <c r="F1979" s="16">
        <f>IF(D1979="","",IF(C1979="Thu",IFERROR(INDEX('Danh mục'!$B$26:$B$35,MATCH(D1979,'Danh mục'!$A$26:$A$35,0))&amp;"","?"),IFERROR(INDEX('Danh mục'!$D$39:$D$78,MATCH(D1979,'Danh mục'!$A$39:$A$78,0))&amp;"","?")))</f>
      </c>
      <c r="G1979" s="16">
        <f>IF(OR(D1979="",C1979&lt;&gt;"Chi"),"",IFERROR(INDEX('Danh mục'!$C$39:$C$78,MATCH(D1979,'Danh mục'!$A$39:$A$78,0))&amp;"",""))</f>
      </c>
      <c r="H1979" s="11"/>
      <c r="I1979" s="20"/>
      <c r="J1979" s="11"/>
      <c r="K1979" s="11"/>
      <c r="L1979" s="11"/>
    </row>
  </sheetData>
  <autoFilter ref="A4:L1979" xr:uid="{00000000-0009-0000-0000-000001000000}"/>
  <conditionalFormatting sqref="A5:L1979">
    <cfRule type="expression" dxfId="11" priority="2">
      <formula>$C5="Thu"</formula>
    </cfRule>
  </conditionalFormatting>
  <conditionalFormatting sqref="E5:F1979">
    <cfRule type="expression" dxfId="10" priority="3">
      <formula>E5="?"</formula>
    </cfRule>
  </conditionalFormatting>
  <dataValidations count="3">
    <dataValidation type="date" showErrorMessage="1" error="Nhập ngày dd/mm/yyyy" sqref="A5:A1979" xr:uid="{00000000-0002-0000-0100-000000000000}">
      <formula1>DATE(2000,1,1)</formula1>
      <formula2>DATE(2100,12,31)</formula2>
    </dataValidation>
    <dataValidation type="list" showErrorMessage="1" sqref="C5:C1979" xr:uid="{00000000-0002-0000-0100-000001000000}">
      <formula1>"Thu,Chi"</formula1>
    </dataValidation>
    <dataValidation type="decimal" operator="notEqual" showErrorMessage="1" error="Số tiền khác 0 (số âm = hoàn tiền / điều chỉnh)" sqref="I5:I1979" xr:uid="{00000000-0002-0000-0100-000003000000}">
      <formula1>0</formula1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="Chọn trong danh sách (thêm danh mục mới ở sheet Danh mục)" xr:uid="{00000000-0002-0000-0100-000002000000}">
          <x14:formula1>
            <xm:f>'Danh mục'!$G$26:$G$75</xm:f>
          </x14:formula1>
          <xm:sqref>D5:D1979</xm:sqref>
        </x14:dataValidation>
        <x14:dataValidation type="list" xr:uid="{00000000-0002-0000-0100-000004000000}">
          <x14:formula1>
            <xm:f>'Danh mục'!$A$17:$A$22</xm:f>
          </x14:formula1>
          <xm:sqref>J5:J1979</xm:sqref>
        </x14:dataValidation>
        <x14:dataValidation type="list" xr:uid="{00000000-0002-0000-0100-000005000000}">
          <x14:formula1>
            <xm:f>'Danh mục'!$D$17:$D$22</xm:f>
          </x14:formula1>
          <xm:sqref>K5:K1979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2E75B6"/>
    <pageSetUpPr fitToPage="1"/>
  </sheetPr>
  <dimension ref="A1:R91"/>
  <sheetViews>
    <sheetView zoomScale="90" zoomScaleNormal="90" workbookViewId="0">
      <pane xSplit="3" ySplit="4" topLeftCell="D92" activePane="bottomRight" state="frozen"/>
      <selection pane="topRight"/>
      <selection pane="bottomLeft"/>
      <selection pane="bottomRight" activeCell="A73" sqref="A73:XFD73"/>
    </sheetView>
  </sheetViews>
  <sheetFormatPr defaultColWidth="8.6640625" defaultRowHeight="14.4" x14ac:dyDescent="0.3"/>
  <cols>
    <col min="1" max="1" width="5" customWidth="1"/>
    <col min="2" max="2" width="34" customWidth="1"/>
    <col min="3" max="3" width="15" customWidth="1"/>
    <col min="4" max="15" width="12" customWidth="1"/>
    <col min="16" max="16" width="15" customWidth="1"/>
    <col min="17" max="18" width="14" customWidth="1"/>
  </cols>
  <sheetData>
    <row r="1" spans="1:18" ht="21" x14ac:dyDescent="0.4">
      <c r="A1" s="1">
        <f>"BÁO CÁO THU CHI GIA ĐÌNH NĂM "&amp;NAM</f>
      </c>
    </row>
    <row r="2" spans="1:18" x14ac:dyDescent="0.3">
      <c r="A2" s="2" t="inlineStr">
        <is>
          <t xml:space="preserve">Tự tính từ Sổ thu chi – không cần nhập. Ô đỏ = vượt ngân sách hũ / vượt hạn mức / dòng tiền âm; ô vàng = tỷ lệ tích lũy &lt; 20%.</t>
        </is>
      </c>
    </row>
    <row r="3" spans="1:18" x14ac:dyDescent="0.3">
      <c r="D3" s="18">
        <v>1</v>
      </c>
      <c r="E3" s="18">
        <v>2</v>
      </c>
      <c r="F3" s="18">
        <v>3</v>
      </c>
      <c r="G3" s="18">
        <v>4</v>
      </c>
      <c r="H3" s="18">
        <v>5</v>
      </c>
      <c r="I3" s="18">
        <v>6</v>
      </c>
      <c r="J3" s="18">
        <v>7</v>
      </c>
      <c r="K3" s="18">
        <v>8</v>
      </c>
      <c r="L3" s="18">
        <v>9</v>
      </c>
      <c r="M3" s="18">
        <v>10</v>
      </c>
      <c r="N3" s="18">
        <v>11</v>
      </c>
      <c r="O3" s="18">
        <v>12</v>
      </c>
    </row>
    <row r="4" spans="1:18" ht="26.4" x14ac:dyDescent="0.3">
      <c r="A4" s="7" t="inlineStr">
        <is>
          <t xml:space="preserve">STT</t>
        </is>
      </c>
      <c r="B4" s="7" t="inlineStr">
        <is>
          <t xml:space="preserve">Khoản mục</t>
        </is>
      </c>
      <c r="C4" s="7" t="inlineStr">
        <is>
          <t xml:space="preserve">Hũ / Tính chất</t>
        </is>
      </c>
      <c r="D4" s="7">
        <f t="shared" ref="D4:O4" si="0">"T"&amp;D$3&amp;"/"&amp;NAM</f>
      </c>
      <c r="E4" s="7">
        <f t="shared" si="0"/>
      </c>
      <c r="F4" s="7">
        <f t="shared" si="0"/>
      </c>
      <c r="G4" s="7">
        <f t="shared" si="0"/>
      </c>
      <c r="H4" s="7">
        <f t="shared" si="0"/>
      </c>
      <c r="I4" s="7">
        <f t="shared" si="0"/>
      </c>
      <c r="J4" s="7">
        <f t="shared" si="0"/>
      </c>
      <c r="K4" s="7">
        <f t="shared" si="0"/>
      </c>
      <c r="L4" s="7">
        <f t="shared" si="0"/>
      </c>
      <c r="M4" s="7">
        <f t="shared" si="0"/>
      </c>
      <c r="N4" s="7">
        <f t="shared" si="0"/>
      </c>
      <c r="O4" s="7">
        <f t="shared" si="0"/>
      </c>
      <c r="P4" s="7" t="inlineStr">
        <is>
          <t xml:space="preserve">Cả năm</t>
        </is>
      </c>
      <c r="Q4" s="7" t="inlineStr">
        <is>
          <t xml:space="preserve">TB/tháng</t>
        </is>
      </c>
      <c r="R4" s="7" t="inlineStr">
        <is>
          <t xml:space="preserve">Hạn mức/tháng</t>
        </is>
      </c>
    </row>
    <row r="5" spans="1:18" x14ac:dyDescent="0.3">
      <c r="A5" s="5" t="inlineStr">
        <is>
          <t xml:space="preserve">I. THU NHẬP</t>
        </is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3">
      <c r="A6" s="19">
        <v>1</v>
      </c>
      <c r="B6" s="11">
        <f>IF('Danh mục'!A26="","",'Danh mục'!A26)</f>
      </c>
      <c r="C6" s="11">
        <f>'Danh mục'!B26&amp;""</f>
      </c>
      <c r="D6" s="20">
        <f>IF($B6="",0,SUMIFS('Sổ thu chi'!$I$5:$I$1979,'Sổ thu chi'!$B$5:$B$1979,DATE(NAM,D$3,1),'Sổ thu chi'!$C$5:$C$1979,"Thu",'Sổ thu chi'!$D$5:$D$1979,$B6))</f>
      </c>
      <c r="E6" s="20">
        <f>IF($B6="",0,SUMIFS('Sổ thu chi'!$I$5:$I$1979,'Sổ thu chi'!$B$5:$B$1979,DATE(NAM,E$3,1),'Sổ thu chi'!$C$5:$C$1979,"Thu",'Sổ thu chi'!$D$5:$D$1979,$B6))</f>
      </c>
      <c r="F6" s="20">
        <f>IF($B6="",0,SUMIFS('Sổ thu chi'!$I$5:$I$1979,'Sổ thu chi'!$B$5:$B$1979,DATE(NAM,F$3,1),'Sổ thu chi'!$C$5:$C$1979,"Thu",'Sổ thu chi'!$D$5:$D$1979,$B6))</f>
      </c>
      <c r="G6" s="20">
        <f>IF($B6="",0,SUMIFS('Sổ thu chi'!$I$5:$I$1979,'Sổ thu chi'!$B$5:$B$1979,DATE(NAM,G$3,1),'Sổ thu chi'!$C$5:$C$1979,"Thu",'Sổ thu chi'!$D$5:$D$1979,$B6))</f>
      </c>
      <c r="H6" s="20">
        <f>IF($B6="",0,SUMIFS('Sổ thu chi'!$I$5:$I$1979,'Sổ thu chi'!$B$5:$B$1979,DATE(NAM,H$3,1),'Sổ thu chi'!$C$5:$C$1979,"Thu",'Sổ thu chi'!$D$5:$D$1979,$B6))</f>
      </c>
      <c r="I6" s="20">
        <f>IF($B6="",0,SUMIFS('Sổ thu chi'!$I$5:$I$1979,'Sổ thu chi'!$B$5:$B$1979,DATE(NAM,I$3,1),'Sổ thu chi'!$C$5:$C$1979,"Thu",'Sổ thu chi'!$D$5:$D$1979,$B6))</f>
      </c>
      <c r="J6" s="20">
        <f>IF($B6="",0,SUMIFS('Sổ thu chi'!$I$5:$I$1979,'Sổ thu chi'!$B$5:$B$1979,DATE(NAM,J$3,1),'Sổ thu chi'!$C$5:$C$1979,"Thu",'Sổ thu chi'!$D$5:$D$1979,$B6))</f>
      </c>
      <c r="K6" s="20">
        <f>IF($B6="",0,SUMIFS('Sổ thu chi'!$I$5:$I$1979,'Sổ thu chi'!$B$5:$B$1979,DATE(NAM,K$3,1),'Sổ thu chi'!$C$5:$C$1979,"Thu",'Sổ thu chi'!$D$5:$D$1979,$B6))</f>
      </c>
      <c r="L6" s="20">
        <f>IF($B6="",0,SUMIFS('Sổ thu chi'!$I$5:$I$1979,'Sổ thu chi'!$B$5:$B$1979,DATE(NAM,L$3,1),'Sổ thu chi'!$C$5:$C$1979,"Thu",'Sổ thu chi'!$D$5:$D$1979,$B6))</f>
      </c>
      <c r="M6" s="20">
        <f>IF($B6="",0,SUMIFS('Sổ thu chi'!$I$5:$I$1979,'Sổ thu chi'!$B$5:$B$1979,DATE(NAM,M$3,1),'Sổ thu chi'!$C$5:$C$1979,"Thu",'Sổ thu chi'!$D$5:$D$1979,$B6))</f>
      </c>
      <c r="N6" s="20">
        <f>IF($B6="",0,SUMIFS('Sổ thu chi'!$I$5:$I$1979,'Sổ thu chi'!$B$5:$B$1979,DATE(NAM,N$3,1),'Sổ thu chi'!$C$5:$C$1979,"Thu",'Sổ thu chi'!$D$5:$D$1979,$B6))</f>
      </c>
      <c r="O6" s="20">
        <f>IF($B6="",0,SUMIFS('Sổ thu chi'!$I$5:$I$1979,'Sổ thu chi'!$B$5:$B$1979,DATE(NAM,O$3,1),'Sổ thu chi'!$C$5:$C$1979,"Thu",'Sổ thu chi'!$D$5:$D$1979,$B6))</f>
      </c>
      <c r="P6" s="21">
        <f t="shared" ref="P6:P18" si="1">SUM(D6:O6)</f>
      </c>
      <c r="Q6" s="22">
        <f t="shared" ref="Q6:Q18" si="2">IFERROR(AVERAGEIF(D6:O6,"&lt;&gt;0"),0)</f>
      </c>
    </row>
    <row r="7" spans="1:18" x14ac:dyDescent="0.3">
      <c r="A7" s="19">
        <v>2</v>
      </c>
      <c r="B7" s="11">
        <f>IF('Danh mục'!A27="","",'Danh mục'!A27)</f>
      </c>
      <c r="C7" s="11">
        <f>'Danh mục'!B27&amp;""</f>
      </c>
      <c r="D7" s="20">
        <f>IF($B7="",0,SUMIFS('Sổ thu chi'!$I$5:$I$1979,'Sổ thu chi'!$B$5:$B$1979,DATE(NAM,D$3,1),'Sổ thu chi'!$C$5:$C$1979,"Thu",'Sổ thu chi'!$D$5:$D$1979,$B7))</f>
      </c>
      <c r="E7" s="20">
        <f>IF($B7="",0,SUMIFS('Sổ thu chi'!$I$5:$I$1979,'Sổ thu chi'!$B$5:$B$1979,DATE(NAM,E$3,1),'Sổ thu chi'!$C$5:$C$1979,"Thu",'Sổ thu chi'!$D$5:$D$1979,$B7))</f>
      </c>
      <c r="F7" s="20">
        <f>IF($B7="",0,SUMIFS('Sổ thu chi'!$I$5:$I$1979,'Sổ thu chi'!$B$5:$B$1979,DATE(NAM,F$3,1),'Sổ thu chi'!$C$5:$C$1979,"Thu",'Sổ thu chi'!$D$5:$D$1979,$B7))</f>
      </c>
      <c r="G7" s="20">
        <f>IF($B7="",0,SUMIFS('Sổ thu chi'!$I$5:$I$1979,'Sổ thu chi'!$B$5:$B$1979,DATE(NAM,G$3,1),'Sổ thu chi'!$C$5:$C$1979,"Thu",'Sổ thu chi'!$D$5:$D$1979,$B7))</f>
      </c>
      <c r="H7" s="20">
        <f>IF($B7="",0,SUMIFS('Sổ thu chi'!$I$5:$I$1979,'Sổ thu chi'!$B$5:$B$1979,DATE(NAM,H$3,1),'Sổ thu chi'!$C$5:$C$1979,"Thu",'Sổ thu chi'!$D$5:$D$1979,$B7))</f>
      </c>
      <c r="I7" s="20">
        <f>IF($B7="",0,SUMIFS('Sổ thu chi'!$I$5:$I$1979,'Sổ thu chi'!$B$5:$B$1979,DATE(NAM,I$3,1),'Sổ thu chi'!$C$5:$C$1979,"Thu",'Sổ thu chi'!$D$5:$D$1979,$B7))</f>
      </c>
      <c r="J7" s="20">
        <f>IF($B7="",0,SUMIFS('Sổ thu chi'!$I$5:$I$1979,'Sổ thu chi'!$B$5:$B$1979,DATE(NAM,J$3,1),'Sổ thu chi'!$C$5:$C$1979,"Thu",'Sổ thu chi'!$D$5:$D$1979,$B7))</f>
      </c>
      <c r="K7" s="20">
        <f>IF($B7="",0,SUMIFS('Sổ thu chi'!$I$5:$I$1979,'Sổ thu chi'!$B$5:$B$1979,DATE(NAM,K$3,1),'Sổ thu chi'!$C$5:$C$1979,"Thu",'Sổ thu chi'!$D$5:$D$1979,$B7))</f>
      </c>
      <c r="L7" s="20">
        <f>IF($B7="",0,SUMIFS('Sổ thu chi'!$I$5:$I$1979,'Sổ thu chi'!$B$5:$B$1979,DATE(NAM,L$3,1),'Sổ thu chi'!$C$5:$C$1979,"Thu",'Sổ thu chi'!$D$5:$D$1979,$B7))</f>
      </c>
      <c r="M7" s="20">
        <f>IF($B7="",0,SUMIFS('Sổ thu chi'!$I$5:$I$1979,'Sổ thu chi'!$B$5:$B$1979,DATE(NAM,M$3,1),'Sổ thu chi'!$C$5:$C$1979,"Thu",'Sổ thu chi'!$D$5:$D$1979,$B7))</f>
      </c>
      <c r="N7" s="20">
        <f>IF($B7="",0,SUMIFS('Sổ thu chi'!$I$5:$I$1979,'Sổ thu chi'!$B$5:$B$1979,DATE(NAM,N$3,1),'Sổ thu chi'!$C$5:$C$1979,"Thu",'Sổ thu chi'!$D$5:$D$1979,$B7))</f>
      </c>
      <c r="O7" s="20">
        <f>IF($B7="",0,SUMIFS('Sổ thu chi'!$I$5:$I$1979,'Sổ thu chi'!$B$5:$B$1979,DATE(NAM,O$3,1),'Sổ thu chi'!$C$5:$C$1979,"Thu",'Sổ thu chi'!$D$5:$D$1979,$B7))</f>
      </c>
      <c r="P7" s="21">
        <f t="shared" si="1"/>
      </c>
      <c r="Q7" s="22">
        <f t="shared" si="2"/>
      </c>
    </row>
    <row r="8" spans="1:18" x14ac:dyDescent="0.3">
      <c r="A8" s="19">
        <v>3</v>
      </c>
      <c r="B8" s="11">
        <f>IF('Danh mục'!A28="","",'Danh mục'!A28)</f>
      </c>
      <c r="C8" s="11">
        <f>'Danh mục'!B28&amp;""</f>
      </c>
      <c r="D8" s="20">
        <f>IF($B8="",0,SUMIFS('Sổ thu chi'!$I$5:$I$1979,'Sổ thu chi'!$B$5:$B$1979,DATE(NAM,D$3,1),'Sổ thu chi'!$C$5:$C$1979,"Thu",'Sổ thu chi'!$D$5:$D$1979,$B8))</f>
      </c>
      <c r="E8" s="20">
        <f>IF($B8="",0,SUMIFS('Sổ thu chi'!$I$5:$I$1979,'Sổ thu chi'!$B$5:$B$1979,DATE(NAM,E$3,1),'Sổ thu chi'!$C$5:$C$1979,"Thu",'Sổ thu chi'!$D$5:$D$1979,$B8))</f>
      </c>
      <c r="F8" s="20">
        <f>IF($B8="",0,SUMIFS('Sổ thu chi'!$I$5:$I$1979,'Sổ thu chi'!$B$5:$B$1979,DATE(NAM,F$3,1),'Sổ thu chi'!$C$5:$C$1979,"Thu",'Sổ thu chi'!$D$5:$D$1979,$B8))</f>
      </c>
      <c r="G8" s="20">
        <f>IF($B8="",0,SUMIFS('Sổ thu chi'!$I$5:$I$1979,'Sổ thu chi'!$B$5:$B$1979,DATE(NAM,G$3,1),'Sổ thu chi'!$C$5:$C$1979,"Thu",'Sổ thu chi'!$D$5:$D$1979,$B8))</f>
      </c>
      <c r="H8" s="20">
        <f>IF($B8="",0,SUMIFS('Sổ thu chi'!$I$5:$I$1979,'Sổ thu chi'!$B$5:$B$1979,DATE(NAM,H$3,1),'Sổ thu chi'!$C$5:$C$1979,"Thu",'Sổ thu chi'!$D$5:$D$1979,$B8))</f>
      </c>
      <c r="I8" s="20">
        <f>IF($B8="",0,SUMIFS('Sổ thu chi'!$I$5:$I$1979,'Sổ thu chi'!$B$5:$B$1979,DATE(NAM,I$3,1),'Sổ thu chi'!$C$5:$C$1979,"Thu",'Sổ thu chi'!$D$5:$D$1979,$B8))</f>
      </c>
      <c r="J8" s="20">
        <f>IF($B8="",0,SUMIFS('Sổ thu chi'!$I$5:$I$1979,'Sổ thu chi'!$B$5:$B$1979,DATE(NAM,J$3,1),'Sổ thu chi'!$C$5:$C$1979,"Thu",'Sổ thu chi'!$D$5:$D$1979,$B8))</f>
      </c>
      <c r="K8" s="20">
        <f>IF($B8="",0,SUMIFS('Sổ thu chi'!$I$5:$I$1979,'Sổ thu chi'!$B$5:$B$1979,DATE(NAM,K$3,1),'Sổ thu chi'!$C$5:$C$1979,"Thu",'Sổ thu chi'!$D$5:$D$1979,$B8))</f>
      </c>
      <c r="L8" s="20">
        <f>IF($B8="",0,SUMIFS('Sổ thu chi'!$I$5:$I$1979,'Sổ thu chi'!$B$5:$B$1979,DATE(NAM,L$3,1),'Sổ thu chi'!$C$5:$C$1979,"Thu",'Sổ thu chi'!$D$5:$D$1979,$B8))</f>
      </c>
      <c r="M8" s="20">
        <f>IF($B8="",0,SUMIFS('Sổ thu chi'!$I$5:$I$1979,'Sổ thu chi'!$B$5:$B$1979,DATE(NAM,M$3,1),'Sổ thu chi'!$C$5:$C$1979,"Thu",'Sổ thu chi'!$D$5:$D$1979,$B8))</f>
      </c>
      <c r="N8" s="20">
        <f>IF($B8="",0,SUMIFS('Sổ thu chi'!$I$5:$I$1979,'Sổ thu chi'!$B$5:$B$1979,DATE(NAM,N$3,1),'Sổ thu chi'!$C$5:$C$1979,"Thu",'Sổ thu chi'!$D$5:$D$1979,$B8))</f>
      </c>
      <c r="O8" s="20">
        <f>IF($B8="",0,SUMIFS('Sổ thu chi'!$I$5:$I$1979,'Sổ thu chi'!$B$5:$B$1979,DATE(NAM,O$3,1),'Sổ thu chi'!$C$5:$C$1979,"Thu",'Sổ thu chi'!$D$5:$D$1979,$B8))</f>
      </c>
      <c r="P8" s="21">
        <f t="shared" si="1"/>
      </c>
      <c r="Q8" s="22">
        <f t="shared" si="2"/>
      </c>
    </row>
    <row r="9" spans="1:18" x14ac:dyDescent="0.3">
      <c r="A9" s="19">
        <v>4</v>
      </c>
      <c r="B9" s="11">
        <f>IF('Danh mục'!A29="","",'Danh mục'!A29)</f>
      </c>
      <c r="C9" s="11">
        <f>'Danh mục'!B29&amp;""</f>
      </c>
      <c r="D9" s="20">
        <f>IF($B9="",0,SUMIFS('Sổ thu chi'!$I$5:$I$1979,'Sổ thu chi'!$B$5:$B$1979,DATE(NAM,D$3,1),'Sổ thu chi'!$C$5:$C$1979,"Thu",'Sổ thu chi'!$D$5:$D$1979,$B9))</f>
      </c>
      <c r="E9" s="20">
        <f>IF($B9="",0,SUMIFS('Sổ thu chi'!$I$5:$I$1979,'Sổ thu chi'!$B$5:$B$1979,DATE(NAM,E$3,1),'Sổ thu chi'!$C$5:$C$1979,"Thu",'Sổ thu chi'!$D$5:$D$1979,$B9))</f>
      </c>
      <c r="F9" s="20">
        <f>IF($B9="",0,SUMIFS('Sổ thu chi'!$I$5:$I$1979,'Sổ thu chi'!$B$5:$B$1979,DATE(NAM,F$3,1),'Sổ thu chi'!$C$5:$C$1979,"Thu",'Sổ thu chi'!$D$5:$D$1979,$B9))</f>
      </c>
      <c r="G9" s="20">
        <f>IF($B9="",0,SUMIFS('Sổ thu chi'!$I$5:$I$1979,'Sổ thu chi'!$B$5:$B$1979,DATE(NAM,G$3,1),'Sổ thu chi'!$C$5:$C$1979,"Thu",'Sổ thu chi'!$D$5:$D$1979,$B9))</f>
      </c>
      <c r="H9" s="20">
        <f>IF($B9="",0,SUMIFS('Sổ thu chi'!$I$5:$I$1979,'Sổ thu chi'!$B$5:$B$1979,DATE(NAM,H$3,1),'Sổ thu chi'!$C$5:$C$1979,"Thu",'Sổ thu chi'!$D$5:$D$1979,$B9))</f>
      </c>
      <c r="I9" s="20">
        <f>IF($B9="",0,SUMIFS('Sổ thu chi'!$I$5:$I$1979,'Sổ thu chi'!$B$5:$B$1979,DATE(NAM,I$3,1),'Sổ thu chi'!$C$5:$C$1979,"Thu",'Sổ thu chi'!$D$5:$D$1979,$B9))</f>
      </c>
      <c r="J9" s="20">
        <f>IF($B9="",0,SUMIFS('Sổ thu chi'!$I$5:$I$1979,'Sổ thu chi'!$B$5:$B$1979,DATE(NAM,J$3,1),'Sổ thu chi'!$C$5:$C$1979,"Thu",'Sổ thu chi'!$D$5:$D$1979,$B9))</f>
      </c>
      <c r="K9" s="20">
        <f>IF($B9="",0,SUMIFS('Sổ thu chi'!$I$5:$I$1979,'Sổ thu chi'!$B$5:$B$1979,DATE(NAM,K$3,1),'Sổ thu chi'!$C$5:$C$1979,"Thu",'Sổ thu chi'!$D$5:$D$1979,$B9))</f>
      </c>
      <c r="L9" s="20">
        <f>IF($B9="",0,SUMIFS('Sổ thu chi'!$I$5:$I$1979,'Sổ thu chi'!$B$5:$B$1979,DATE(NAM,L$3,1),'Sổ thu chi'!$C$5:$C$1979,"Thu",'Sổ thu chi'!$D$5:$D$1979,$B9))</f>
      </c>
      <c r="M9" s="20">
        <f>IF($B9="",0,SUMIFS('Sổ thu chi'!$I$5:$I$1979,'Sổ thu chi'!$B$5:$B$1979,DATE(NAM,M$3,1),'Sổ thu chi'!$C$5:$C$1979,"Thu",'Sổ thu chi'!$D$5:$D$1979,$B9))</f>
      </c>
      <c r="N9" s="20">
        <f>IF($B9="",0,SUMIFS('Sổ thu chi'!$I$5:$I$1979,'Sổ thu chi'!$B$5:$B$1979,DATE(NAM,N$3,1),'Sổ thu chi'!$C$5:$C$1979,"Thu",'Sổ thu chi'!$D$5:$D$1979,$B9))</f>
      </c>
      <c r="O9" s="20">
        <f>IF($B9="",0,SUMIFS('Sổ thu chi'!$I$5:$I$1979,'Sổ thu chi'!$B$5:$B$1979,DATE(NAM,O$3,1),'Sổ thu chi'!$C$5:$C$1979,"Thu",'Sổ thu chi'!$D$5:$D$1979,$B9))</f>
      </c>
      <c r="P9" s="21">
        <f t="shared" si="1"/>
      </c>
      <c r="Q9" s="22">
        <f t="shared" si="2"/>
      </c>
    </row>
    <row r="10" spans="1:18" x14ac:dyDescent="0.3">
      <c r="A10" s="19">
        <v>5</v>
      </c>
      <c r="B10" s="11">
        <f>IF('Danh mục'!A30="","",'Danh mục'!A30)</f>
      </c>
      <c r="C10" s="11">
        <f>'Danh mục'!B30&amp;""</f>
      </c>
      <c r="D10" s="20">
        <f>IF($B10="",0,SUMIFS('Sổ thu chi'!$I$5:$I$1979,'Sổ thu chi'!$B$5:$B$1979,DATE(NAM,D$3,1),'Sổ thu chi'!$C$5:$C$1979,"Thu",'Sổ thu chi'!$D$5:$D$1979,$B10))</f>
      </c>
      <c r="E10" s="20">
        <f>IF($B10="",0,SUMIFS('Sổ thu chi'!$I$5:$I$1979,'Sổ thu chi'!$B$5:$B$1979,DATE(NAM,E$3,1),'Sổ thu chi'!$C$5:$C$1979,"Thu",'Sổ thu chi'!$D$5:$D$1979,$B10))</f>
      </c>
      <c r="F10" s="20">
        <f>IF($B10="",0,SUMIFS('Sổ thu chi'!$I$5:$I$1979,'Sổ thu chi'!$B$5:$B$1979,DATE(NAM,F$3,1),'Sổ thu chi'!$C$5:$C$1979,"Thu",'Sổ thu chi'!$D$5:$D$1979,$B10))</f>
      </c>
      <c r="G10" s="20">
        <f>IF($B10="",0,SUMIFS('Sổ thu chi'!$I$5:$I$1979,'Sổ thu chi'!$B$5:$B$1979,DATE(NAM,G$3,1),'Sổ thu chi'!$C$5:$C$1979,"Thu",'Sổ thu chi'!$D$5:$D$1979,$B10))</f>
      </c>
      <c r="H10" s="20">
        <f>IF($B10="",0,SUMIFS('Sổ thu chi'!$I$5:$I$1979,'Sổ thu chi'!$B$5:$B$1979,DATE(NAM,H$3,1),'Sổ thu chi'!$C$5:$C$1979,"Thu",'Sổ thu chi'!$D$5:$D$1979,$B10))</f>
      </c>
      <c r="I10" s="20">
        <f>IF($B10="",0,SUMIFS('Sổ thu chi'!$I$5:$I$1979,'Sổ thu chi'!$B$5:$B$1979,DATE(NAM,I$3,1),'Sổ thu chi'!$C$5:$C$1979,"Thu",'Sổ thu chi'!$D$5:$D$1979,$B10))</f>
      </c>
      <c r="J10" s="20">
        <f>IF($B10="",0,SUMIFS('Sổ thu chi'!$I$5:$I$1979,'Sổ thu chi'!$B$5:$B$1979,DATE(NAM,J$3,1),'Sổ thu chi'!$C$5:$C$1979,"Thu",'Sổ thu chi'!$D$5:$D$1979,$B10))</f>
      </c>
      <c r="K10" s="20">
        <f>IF($B10="",0,SUMIFS('Sổ thu chi'!$I$5:$I$1979,'Sổ thu chi'!$B$5:$B$1979,DATE(NAM,K$3,1),'Sổ thu chi'!$C$5:$C$1979,"Thu",'Sổ thu chi'!$D$5:$D$1979,$B10))</f>
      </c>
      <c r="L10" s="20">
        <f>IF($B10="",0,SUMIFS('Sổ thu chi'!$I$5:$I$1979,'Sổ thu chi'!$B$5:$B$1979,DATE(NAM,L$3,1),'Sổ thu chi'!$C$5:$C$1979,"Thu",'Sổ thu chi'!$D$5:$D$1979,$B10))</f>
      </c>
      <c r="M10" s="20">
        <f>IF($B10="",0,SUMIFS('Sổ thu chi'!$I$5:$I$1979,'Sổ thu chi'!$B$5:$B$1979,DATE(NAM,M$3,1),'Sổ thu chi'!$C$5:$C$1979,"Thu",'Sổ thu chi'!$D$5:$D$1979,$B10))</f>
      </c>
      <c r="N10" s="20">
        <f>IF($B10="",0,SUMIFS('Sổ thu chi'!$I$5:$I$1979,'Sổ thu chi'!$B$5:$B$1979,DATE(NAM,N$3,1),'Sổ thu chi'!$C$5:$C$1979,"Thu",'Sổ thu chi'!$D$5:$D$1979,$B10))</f>
      </c>
      <c r="O10" s="20">
        <f>IF($B10="",0,SUMIFS('Sổ thu chi'!$I$5:$I$1979,'Sổ thu chi'!$B$5:$B$1979,DATE(NAM,O$3,1),'Sổ thu chi'!$C$5:$C$1979,"Thu",'Sổ thu chi'!$D$5:$D$1979,$B10))</f>
      </c>
      <c r="P10" s="21">
        <f t="shared" si="1"/>
      </c>
      <c r="Q10" s="22">
        <f t="shared" si="2"/>
      </c>
    </row>
    <row r="11" spans="1:18" x14ac:dyDescent="0.3">
      <c r="A11" s="19">
        <v>6</v>
      </c>
      <c r="B11" s="11">
        <f>IF('Danh mục'!A31="","",'Danh mục'!A31)</f>
      </c>
      <c r="C11" s="11">
        <f>'Danh mục'!B31&amp;""</f>
      </c>
      <c r="D11" s="20">
        <f>IF($B11="",0,SUMIFS('Sổ thu chi'!$I$5:$I$1979,'Sổ thu chi'!$B$5:$B$1979,DATE(NAM,D$3,1),'Sổ thu chi'!$C$5:$C$1979,"Thu",'Sổ thu chi'!$D$5:$D$1979,$B11))</f>
      </c>
      <c r="E11" s="20">
        <f>IF($B11="",0,SUMIFS('Sổ thu chi'!$I$5:$I$1979,'Sổ thu chi'!$B$5:$B$1979,DATE(NAM,E$3,1),'Sổ thu chi'!$C$5:$C$1979,"Thu",'Sổ thu chi'!$D$5:$D$1979,$B11))</f>
      </c>
      <c r="F11" s="20">
        <f>IF($B11="",0,SUMIFS('Sổ thu chi'!$I$5:$I$1979,'Sổ thu chi'!$B$5:$B$1979,DATE(NAM,F$3,1),'Sổ thu chi'!$C$5:$C$1979,"Thu",'Sổ thu chi'!$D$5:$D$1979,$B11))</f>
      </c>
      <c r="G11" s="20">
        <f>IF($B11="",0,SUMIFS('Sổ thu chi'!$I$5:$I$1979,'Sổ thu chi'!$B$5:$B$1979,DATE(NAM,G$3,1),'Sổ thu chi'!$C$5:$C$1979,"Thu",'Sổ thu chi'!$D$5:$D$1979,$B11))</f>
      </c>
      <c r="H11" s="20">
        <f>IF($B11="",0,SUMIFS('Sổ thu chi'!$I$5:$I$1979,'Sổ thu chi'!$B$5:$B$1979,DATE(NAM,H$3,1),'Sổ thu chi'!$C$5:$C$1979,"Thu",'Sổ thu chi'!$D$5:$D$1979,$B11))</f>
      </c>
      <c r="I11" s="20">
        <f>IF($B11="",0,SUMIFS('Sổ thu chi'!$I$5:$I$1979,'Sổ thu chi'!$B$5:$B$1979,DATE(NAM,I$3,1),'Sổ thu chi'!$C$5:$C$1979,"Thu",'Sổ thu chi'!$D$5:$D$1979,$B11))</f>
      </c>
      <c r="J11" s="20">
        <f>IF($B11="",0,SUMIFS('Sổ thu chi'!$I$5:$I$1979,'Sổ thu chi'!$B$5:$B$1979,DATE(NAM,J$3,1),'Sổ thu chi'!$C$5:$C$1979,"Thu",'Sổ thu chi'!$D$5:$D$1979,$B11))</f>
      </c>
      <c r="K11" s="20">
        <f>IF($B11="",0,SUMIFS('Sổ thu chi'!$I$5:$I$1979,'Sổ thu chi'!$B$5:$B$1979,DATE(NAM,K$3,1),'Sổ thu chi'!$C$5:$C$1979,"Thu",'Sổ thu chi'!$D$5:$D$1979,$B11))</f>
      </c>
      <c r="L11" s="20">
        <f>IF($B11="",0,SUMIFS('Sổ thu chi'!$I$5:$I$1979,'Sổ thu chi'!$B$5:$B$1979,DATE(NAM,L$3,1),'Sổ thu chi'!$C$5:$C$1979,"Thu",'Sổ thu chi'!$D$5:$D$1979,$B11))</f>
      </c>
      <c r="M11" s="20">
        <f>IF($B11="",0,SUMIFS('Sổ thu chi'!$I$5:$I$1979,'Sổ thu chi'!$B$5:$B$1979,DATE(NAM,M$3,1),'Sổ thu chi'!$C$5:$C$1979,"Thu",'Sổ thu chi'!$D$5:$D$1979,$B11))</f>
      </c>
      <c r="N11" s="20">
        <f>IF($B11="",0,SUMIFS('Sổ thu chi'!$I$5:$I$1979,'Sổ thu chi'!$B$5:$B$1979,DATE(NAM,N$3,1),'Sổ thu chi'!$C$5:$C$1979,"Thu",'Sổ thu chi'!$D$5:$D$1979,$B11))</f>
      </c>
      <c r="O11" s="20">
        <f>IF($B11="",0,SUMIFS('Sổ thu chi'!$I$5:$I$1979,'Sổ thu chi'!$B$5:$B$1979,DATE(NAM,O$3,1),'Sổ thu chi'!$C$5:$C$1979,"Thu",'Sổ thu chi'!$D$5:$D$1979,$B11))</f>
      </c>
      <c r="P11" s="21">
        <f t="shared" si="1"/>
      </c>
      <c r="Q11" s="22">
        <f t="shared" si="2"/>
      </c>
    </row>
    <row r="12" spans="1:18" x14ac:dyDescent="0.3">
      <c r="A12" s="19">
        <v>7</v>
      </c>
      <c r="B12" s="11">
        <f>IF('Danh mục'!A32="","",'Danh mục'!A32)</f>
      </c>
      <c r="C12" s="11">
        <f>'Danh mục'!B32&amp;""</f>
      </c>
      <c r="D12" s="20">
        <f>IF($B12="",0,SUMIFS('Sổ thu chi'!$I$5:$I$1979,'Sổ thu chi'!$B$5:$B$1979,DATE(NAM,D$3,1),'Sổ thu chi'!$C$5:$C$1979,"Thu",'Sổ thu chi'!$D$5:$D$1979,$B12))</f>
      </c>
      <c r="E12" s="20">
        <f>IF($B12="",0,SUMIFS('Sổ thu chi'!$I$5:$I$1979,'Sổ thu chi'!$B$5:$B$1979,DATE(NAM,E$3,1),'Sổ thu chi'!$C$5:$C$1979,"Thu",'Sổ thu chi'!$D$5:$D$1979,$B12))</f>
      </c>
      <c r="F12" s="20">
        <f>IF($B12="",0,SUMIFS('Sổ thu chi'!$I$5:$I$1979,'Sổ thu chi'!$B$5:$B$1979,DATE(NAM,F$3,1),'Sổ thu chi'!$C$5:$C$1979,"Thu",'Sổ thu chi'!$D$5:$D$1979,$B12))</f>
      </c>
      <c r="G12" s="20">
        <f>IF($B12="",0,SUMIFS('Sổ thu chi'!$I$5:$I$1979,'Sổ thu chi'!$B$5:$B$1979,DATE(NAM,G$3,1),'Sổ thu chi'!$C$5:$C$1979,"Thu",'Sổ thu chi'!$D$5:$D$1979,$B12))</f>
      </c>
      <c r="H12" s="20">
        <f>IF($B12="",0,SUMIFS('Sổ thu chi'!$I$5:$I$1979,'Sổ thu chi'!$B$5:$B$1979,DATE(NAM,H$3,1),'Sổ thu chi'!$C$5:$C$1979,"Thu",'Sổ thu chi'!$D$5:$D$1979,$B12))</f>
      </c>
      <c r="I12" s="20">
        <f>IF($B12="",0,SUMIFS('Sổ thu chi'!$I$5:$I$1979,'Sổ thu chi'!$B$5:$B$1979,DATE(NAM,I$3,1),'Sổ thu chi'!$C$5:$C$1979,"Thu",'Sổ thu chi'!$D$5:$D$1979,$B12))</f>
      </c>
      <c r="J12" s="20">
        <f>IF($B12="",0,SUMIFS('Sổ thu chi'!$I$5:$I$1979,'Sổ thu chi'!$B$5:$B$1979,DATE(NAM,J$3,1),'Sổ thu chi'!$C$5:$C$1979,"Thu",'Sổ thu chi'!$D$5:$D$1979,$B12))</f>
      </c>
      <c r="K12" s="20">
        <f>IF($B12="",0,SUMIFS('Sổ thu chi'!$I$5:$I$1979,'Sổ thu chi'!$B$5:$B$1979,DATE(NAM,K$3,1),'Sổ thu chi'!$C$5:$C$1979,"Thu",'Sổ thu chi'!$D$5:$D$1979,$B12))</f>
      </c>
      <c r="L12" s="20">
        <f>IF($B12="",0,SUMIFS('Sổ thu chi'!$I$5:$I$1979,'Sổ thu chi'!$B$5:$B$1979,DATE(NAM,L$3,1),'Sổ thu chi'!$C$5:$C$1979,"Thu",'Sổ thu chi'!$D$5:$D$1979,$B12))</f>
      </c>
      <c r="M12" s="20">
        <f>IF($B12="",0,SUMIFS('Sổ thu chi'!$I$5:$I$1979,'Sổ thu chi'!$B$5:$B$1979,DATE(NAM,M$3,1),'Sổ thu chi'!$C$5:$C$1979,"Thu",'Sổ thu chi'!$D$5:$D$1979,$B12))</f>
      </c>
      <c r="N12" s="20">
        <f>IF($B12="",0,SUMIFS('Sổ thu chi'!$I$5:$I$1979,'Sổ thu chi'!$B$5:$B$1979,DATE(NAM,N$3,1),'Sổ thu chi'!$C$5:$C$1979,"Thu",'Sổ thu chi'!$D$5:$D$1979,$B12))</f>
      </c>
      <c r="O12" s="20">
        <f>IF($B12="",0,SUMIFS('Sổ thu chi'!$I$5:$I$1979,'Sổ thu chi'!$B$5:$B$1979,DATE(NAM,O$3,1),'Sổ thu chi'!$C$5:$C$1979,"Thu",'Sổ thu chi'!$D$5:$D$1979,$B12))</f>
      </c>
      <c r="P12" s="21">
        <f t="shared" si="1"/>
      </c>
      <c r="Q12" s="22">
        <f t="shared" si="2"/>
      </c>
    </row>
    <row r="13" spans="1:18" x14ac:dyDescent="0.3">
      <c r="A13" s="19">
        <v>8</v>
      </c>
      <c r="B13" s="11">
        <f>IF('Danh mục'!A33="","",'Danh mục'!A33)</f>
      </c>
      <c r="C13" s="11">
        <f>'Danh mục'!B33&amp;""</f>
      </c>
      <c r="D13" s="20">
        <f>IF($B13="",0,SUMIFS('Sổ thu chi'!$I$5:$I$1979,'Sổ thu chi'!$B$5:$B$1979,DATE(NAM,D$3,1),'Sổ thu chi'!$C$5:$C$1979,"Thu",'Sổ thu chi'!$D$5:$D$1979,$B13))</f>
      </c>
      <c r="E13" s="20">
        <f>IF($B13="",0,SUMIFS('Sổ thu chi'!$I$5:$I$1979,'Sổ thu chi'!$B$5:$B$1979,DATE(NAM,E$3,1),'Sổ thu chi'!$C$5:$C$1979,"Thu",'Sổ thu chi'!$D$5:$D$1979,$B13))</f>
      </c>
      <c r="F13" s="20">
        <f>IF($B13="",0,SUMIFS('Sổ thu chi'!$I$5:$I$1979,'Sổ thu chi'!$B$5:$B$1979,DATE(NAM,F$3,1),'Sổ thu chi'!$C$5:$C$1979,"Thu",'Sổ thu chi'!$D$5:$D$1979,$B13))</f>
      </c>
      <c r="G13" s="20">
        <f>IF($B13="",0,SUMIFS('Sổ thu chi'!$I$5:$I$1979,'Sổ thu chi'!$B$5:$B$1979,DATE(NAM,G$3,1),'Sổ thu chi'!$C$5:$C$1979,"Thu",'Sổ thu chi'!$D$5:$D$1979,$B13))</f>
      </c>
      <c r="H13" s="20">
        <f>IF($B13="",0,SUMIFS('Sổ thu chi'!$I$5:$I$1979,'Sổ thu chi'!$B$5:$B$1979,DATE(NAM,H$3,1),'Sổ thu chi'!$C$5:$C$1979,"Thu",'Sổ thu chi'!$D$5:$D$1979,$B13))</f>
      </c>
      <c r="I13" s="20">
        <f>IF($B13="",0,SUMIFS('Sổ thu chi'!$I$5:$I$1979,'Sổ thu chi'!$B$5:$B$1979,DATE(NAM,I$3,1),'Sổ thu chi'!$C$5:$C$1979,"Thu",'Sổ thu chi'!$D$5:$D$1979,$B13))</f>
      </c>
      <c r="J13" s="20">
        <f>IF($B13="",0,SUMIFS('Sổ thu chi'!$I$5:$I$1979,'Sổ thu chi'!$B$5:$B$1979,DATE(NAM,J$3,1),'Sổ thu chi'!$C$5:$C$1979,"Thu",'Sổ thu chi'!$D$5:$D$1979,$B13))</f>
      </c>
      <c r="K13" s="20">
        <f>IF($B13="",0,SUMIFS('Sổ thu chi'!$I$5:$I$1979,'Sổ thu chi'!$B$5:$B$1979,DATE(NAM,K$3,1),'Sổ thu chi'!$C$5:$C$1979,"Thu",'Sổ thu chi'!$D$5:$D$1979,$B13))</f>
      </c>
      <c r="L13" s="20">
        <f>IF($B13="",0,SUMIFS('Sổ thu chi'!$I$5:$I$1979,'Sổ thu chi'!$B$5:$B$1979,DATE(NAM,L$3,1),'Sổ thu chi'!$C$5:$C$1979,"Thu",'Sổ thu chi'!$D$5:$D$1979,$B13))</f>
      </c>
      <c r="M13" s="20">
        <f>IF($B13="",0,SUMIFS('Sổ thu chi'!$I$5:$I$1979,'Sổ thu chi'!$B$5:$B$1979,DATE(NAM,M$3,1),'Sổ thu chi'!$C$5:$C$1979,"Thu",'Sổ thu chi'!$D$5:$D$1979,$B13))</f>
      </c>
      <c r="N13" s="20">
        <f>IF($B13="",0,SUMIFS('Sổ thu chi'!$I$5:$I$1979,'Sổ thu chi'!$B$5:$B$1979,DATE(NAM,N$3,1),'Sổ thu chi'!$C$5:$C$1979,"Thu",'Sổ thu chi'!$D$5:$D$1979,$B13))</f>
      </c>
      <c r="O13" s="20">
        <f>IF($B13="",0,SUMIFS('Sổ thu chi'!$I$5:$I$1979,'Sổ thu chi'!$B$5:$B$1979,DATE(NAM,O$3,1),'Sổ thu chi'!$C$5:$C$1979,"Thu",'Sổ thu chi'!$D$5:$D$1979,$B13))</f>
      </c>
      <c r="P13" s="21">
        <f t="shared" si="1"/>
      </c>
      <c r="Q13" s="22">
        <f t="shared" si="2"/>
      </c>
    </row>
    <row r="14" spans="1:18" x14ac:dyDescent="0.3">
      <c r="A14" s="19">
        <v>9</v>
      </c>
      <c r="B14" s="11">
        <f>IF('Danh mục'!A34="","",'Danh mục'!A34)</f>
      </c>
      <c r="C14" s="11">
        <f>'Danh mục'!B34&amp;""</f>
      </c>
      <c r="D14" s="20">
        <f>IF($B14="",0,SUMIFS('Sổ thu chi'!$I$5:$I$1979,'Sổ thu chi'!$B$5:$B$1979,DATE(NAM,D$3,1),'Sổ thu chi'!$C$5:$C$1979,"Thu",'Sổ thu chi'!$D$5:$D$1979,$B14))</f>
      </c>
      <c r="E14" s="20">
        <f>IF($B14="",0,SUMIFS('Sổ thu chi'!$I$5:$I$1979,'Sổ thu chi'!$B$5:$B$1979,DATE(NAM,E$3,1),'Sổ thu chi'!$C$5:$C$1979,"Thu",'Sổ thu chi'!$D$5:$D$1979,$B14))</f>
      </c>
      <c r="F14" s="20">
        <f>IF($B14="",0,SUMIFS('Sổ thu chi'!$I$5:$I$1979,'Sổ thu chi'!$B$5:$B$1979,DATE(NAM,F$3,1),'Sổ thu chi'!$C$5:$C$1979,"Thu",'Sổ thu chi'!$D$5:$D$1979,$B14))</f>
      </c>
      <c r="G14" s="20">
        <f>IF($B14="",0,SUMIFS('Sổ thu chi'!$I$5:$I$1979,'Sổ thu chi'!$B$5:$B$1979,DATE(NAM,G$3,1),'Sổ thu chi'!$C$5:$C$1979,"Thu",'Sổ thu chi'!$D$5:$D$1979,$B14))</f>
      </c>
      <c r="H14" s="20">
        <f>IF($B14="",0,SUMIFS('Sổ thu chi'!$I$5:$I$1979,'Sổ thu chi'!$B$5:$B$1979,DATE(NAM,H$3,1),'Sổ thu chi'!$C$5:$C$1979,"Thu",'Sổ thu chi'!$D$5:$D$1979,$B14))</f>
      </c>
      <c r="I14" s="20">
        <f>IF($B14="",0,SUMIFS('Sổ thu chi'!$I$5:$I$1979,'Sổ thu chi'!$B$5:$B$1979,DATE(NAM,I$3,1),'Sổ thu chi'!$C$5:$C$1979,"Thu",'Sổ thu chi'!$D$5:$D$1979,$B14))</f>
      </c>
      <c r="J14" s="20">
        <f>IF($B14="",0,SUMIFS('Sổ thu chi'!$I$5:$I$1979,'Sổ thu chi'!$B$5:$B$1979,DATE(NAM,J$3,1),'Sổ thu chi'!$C$5:$C$1979,"Thu",'Sổ thu chi'!$D$5:$D$1979,$B14))</f>
      </c>
      <c r="K14" s="20">
        <f>IF($B14="",0,SUMIFS('Sổ thu chi'!$I$5:$I$1979,'Sổ thu chi'!$B$5:$B$1979,DATE(NAM,K$3,1),'Sổ thu chi'!$C$5:$C$1979,"Thu",'Sổ thu chi'!$D$5:$D$1979,$B14))</f>
      </c>
      <c r="L14" s="20">
        <f>IF($B14="",0,SUMIFS('Sổ thu chi'!$I$5:$I$1979,'Sổ thu chi'!$B$5:$B$1979,DATE(NAM,L$3,1),'Sổ thu chi'!$C$5:$C$1979,"Thu",'Sổ thu chi'!$D$5:$D$1979,$B14))</f>
      </c>
      <c r="M14" s="20">
        <f>IF($B14="",0,SUMIFS('Sổ thu chi'!$I$5:$I$1979,'Sổ thu chi'!$B$5:$B$1979,DATE(NAM,M$3,1),'Sổ thu chi'!$C$5:$C$1979,"Thu",'Sổ thu chi'!$D$5:$D$1979,$B14))</f>
      </c>
      <c r="N14" s="20">
        <f>IF($B14="",0,SUMIFS('Sổ thu chi'!$I$5:$I$1979,'Sổ thu chi'!$B$5:$B$1979,DATE(NAM,N$3,1),'Sổ thu chi'!$C$5:$C$1979,"Thu",'Sổ thu chi'!$D$5:$D$1979,$B14))</f>
      </c>
      <c r="O14" s="20">
        <f>IF($B14="",0,SUMIFS('Sổ thu chi'!$I$5:$I$1979,'Sổ thu chi'!$B$5:$B$1979,DATE(NAM,O$3,1),'Sổ thu chi'!$C$5:$C$1979,"Thu",'Sổ thu chi'!$D$5:$D$1979,$B14))</f>
      </c>
      <c r="P14" s="21">
        <f t="shared" si="1"/>
      </c>
      <c r="Q14" s="22">
        <f t="shared" si="2"/>
      </c>
    </row>
    <row r="15" spans="1:18" x14ac:dyDescent="0.3">
      <c r="A15" s="19">
        <v>10</v>
      </c>
      <c r="B15" s="11">
        <f>IF('Danh mục'!A35="","",'Danh mục'!A35)</f>
      </c>
      <c r="C15" s="11">
        <f>'Danh mục'!B35&amp;""</f>
      </c>
      <c r="D15" s="20">
        <f>IF($B15="",0,SUMIFS('Sổ thu chi'!$I$5:$I$1979,'Sổ thu chi'!$B$5:$B$1979,DATE(NAM,D$3,1),'Sổ thu chi'!$C$5:$C$1979,"Thu",'Sổ thu chi'!$D$5:$D$1979,$B15))</f>
      </c>
      <c r="E15" s="20">
        <f>IF($B15="",0,SUMIFS('Sổ thu chi'!$I$5:$I$1979,'Sổ thu chi'!$B$5:$B$1979,DATE(NAM,E$3,1),'Sổ thu chi'!$C$5:$C$1979,"Thu",'Sổ thu chi'!$D$5:$D$1979,$B15))</f>
      </c>
      <c r="F15" s="20">
        <f>IF($B15="",0,SUMIFS('Sổ thu chi'!$I$5:$I$1979,'Sổ thu chi'!$B$5:$B$1979,DATE(NAM,F$3,1),'Sổ thu chi'!$C$5:$C$1979,"Thu",'Sổ thu chi'!$D$5:$D$1979,$B15))</f>
      </c>
      <c r="G15" s="20">
        <f>IF($B15="",0,SUMIFS('Sổ thu chi'!$I$5:$I$1979,'Sổ thu chi'!$B$5:$B$1979,DATE(NAM,G$3,1),'Sổ thu chi'!$C$5:$C$1979,"Thu",'Sổ thu chi'!$D$5:$D$1979,$B15))</f>
      </c>
      <c r="H15" s="20">
        <f>IF($B15="",0,SUMIFS('Sổ thu chi'!$I$5:$I$1979,'Sổ thu chi'!$B$5:$B$1979,DATE(NAM,H$3,1),'Sổ thu chi'!$C$5:$C$1979,"Thu",'Sổ thu chi'!$D$5:$D$1979,$B15))</f>
      </c>
      <c r="I15" s="20">
        <f>IF($B15="",0,SUMIFS('Sổ thu chi'!$I$5:$I$1979,'Sổ thu chi'!$B$5:$B$1979,DATE(NAM,I$3,1),'Sổ thu chi'!$C$5:$C$1979,"Thu",'Sổ thu chi'!$D$5:$D$1979,$B15))</f>
      </c>
      <c r="J15" s="20">
        <f>IF($B15="",0,SUMIFS('Sổ thu chi'!$I$5:$I$1979,'Sổ thu chi'!$B$5:$B$1979,DATE(NAM,J$3,1),'Sổ thu chi'!$C$5:$C$1979,"Thu",'Sổ thu chi'!$D$5:$D$1979,$B15))</f>
      </c>
      <c r="K15" s="20">
        <f>IF($B15="",0,SUMIFS('Sổ thu chi'!$I$5:$I$1979,'Sổ thu chi'!$B$5:$B$1979,DATE(NAM,K$3,1),'Sổ thu chi'!$C$5:$C$1979,"Thu",'Sổ thu chi'!$D$5:$D$1979,$B15))</f>
      </c>
      <c r="L15" s="20">
        <f>IF($B15="",0,SUMIFS('Sổ thu chi'!$I$5:$I$1979,'Sổ thu chi'!$B$5:$B$1979,DATE(NAM,L$3,1),'Sổ thu chi'!$C$5:$C$1979,"Thu",'Sổ thu chi'!$D$5:$D$1979,$B15))</f>
      </c>
      <c r="M15" s="20">
        <f>IF($B15="",0,SUMIFS('Sổ thu chi'!$I$5:$I$1979,'Sổ thu chi'!$B$5:$B$1979,DATE(NAM,M$3,1),'Sổ thu chi'!$C$5:$C$1979,"Thu",'Sổ thu chi'!$D$5:$D$1979,$B15))</f>
      </c>
      <c r="N15" s="20">
        <f>IF($B15="",0,SUMIFS('Sổ thu chi'!$I$5:$I$1979,'Sổ thu chi'!$B$5:$B$1979,DATE(NAM,N$3,1),'Sổ thu chi'!$C$5:$C$1979,"Thu",'Sổ thu chi'!$D$5:$D$1979,$B15))</f>
      </c>
      <c r="O15" s="20">
        <f>IF($B15="",0,SUMIFS('Sổ thu chi'!$I$5:$I$1979,'Sổ thu chi'!$B$5:$B$1979,DATE(NAM,O$3,1),'Sổ thu chi'!$C$5:$C$1979,"Thu",'Sổ thu chi'!$D$5:$D$1979,$B15))</f>
      </c>
      <c r="P15" s="21">
        <f t="shared" si="1"/>
      </c>
      <c r="Q15" s="22">
        <f t="shared" si="2"/>
      </c>
    </row>
    <row r="16" spans="1:18" x14ac:dyDescent="0.3">
      <c r="A16" s="23"/>
      <c r="B16" s="23" t="inlineStr">
        <is>
          <t xml:space="preserve">Tổng thu nhập (dùng chia 6 hũ)</t>
        </is>
      </c>
      <c r="C16" s="23"/>
      <c r="D16" s="21">
        <f>SUMIFS('Sổ thu chi'!$I$5:$I$1979,'Sổ thu chi'!$B$5:$B$1979,DATE(NAM,D$3,1),'Sổ thu chi'!$C$5:$C$1979,"Thu",'Sổ thu chi'!$F$5:$F$1979,"Thu nhập")</f>
      </c>
      <c r="E16" s="21">
        <f>SUMIFS('Sổ thu chi'!$I$5:$I$1979,'Sổ thu chi'!$B$5:$B$1979,DATE(NAM,E$3,1),'Sổ thu chi'!$C$5:$C$1979,"Thu",'Sổ thu chi'!$F$5:$F$1979,"Thu nhập")</f>
      </c>
      <c r="F16" s="21">
        <f>SUMIFS('Sổ thu chi'!$I$5:$I$1979,'Sổ thu chi'!$B$5:$B$1979,DATE(NAM,F$3,1),'Sổ thu chi'!$C$5:$C$1979,"Thu",'Sổ thu chi'!$F$5:$F$1979,"Thu nhập")</f>
      </c>
      <c r="G16" s="21">
        <f>SUMIFS('Sổ thu chi'!$I$5:$I$1979,'Sổ thu chi'!$B$5:$B$1979,DATE(NAM,G$3,1),'Sổ thu chi'!$C$5:$C$1979,"Thu",'Sổ thu chi'!$F$5:$F$1979,"Thu nhập")</f>
      </c>
      <c r="H16" s="21">
        <f>SUMIFS('Sổ thu chi'!$I$5:$I$1979,'Sổ thu chi'!$B$5:$B$1979,DATE(NAM,H$3,1),'Sổ thu chi'!$C$5:$C$1979,"Thu",'Sổ thu chi'!$F$5:$F$1979,"Thu nhập")</f>
      </c>
      <c r="I16" s="21">
        <f>SUMIFS('Sổ thu chi'!$I$5:$I$1979,'Sổ thu chi'!$B$5:$B$1979,DATE(NAM,I$3,1),'Sổ thu chi'!$C$5:$C$1979,"Thu",'Sổ thu chi'!$F$5:$F$1979,"Thu nhập")</f>
      </c>
      <c r="J16" s="21">
        <f>SUMIFS('Sổ thu chi'!$I$5:$I$1979,'Sổ thu chi'!$B$5:$B$1979,DATE(NAM,J$3,1),'Sổ thu chi'!$C$5:$C$1979,"Thu",'Sổ thu chi'!$F$5:$F$1979,"Thu nhập")</f>
      </c>
      <c r="K16" s="21">
        <f>SUMIFS('Sổ thu chi'!$I$5:$I$1979,'Sổ thu chi'!$B$5:$B$1979,DATE(NAM,K$3,1),'Sổ thu chi'!$C$5:$C$1979,"Thu",'Sổ thu chi'!$F$5:$F$1979,"Thu nhập")</f>
      </c>
      <c r="L16" s="21">
        <f>SUMIFS('Sổ thu chi'!$I$5:$I$1979,'Sổ thu chi'!$B$5:$B$1979,DATE(NAM,L$3,1),'Sổ thu chi'!$C$5:$C$1979,"Thu",'Sổ thu chi'!$F$5:$F$1979,"Thu nhập")</f>
      </c>
      <c r="M16" s="21">
        <f>SUMIFS('Sổ thu chi'!$I$5:$I$1979,'Sổ thu chi'!$B$5:$B$1979,DATE(NAM,M$3,1),'Sổ thu chi'!$C$5:$C$1979,"Thu",'Sổ thu chi'!$F$5:$F$1979,"Thu nhập")</f>
      </c>
      <c r="N16" s="21">
        <f>SUMIFS('Sổ thu chi'!$I$5:$I$1979,'Sổ thu chi'!$B$5:$B$1979,DATE(NAM,N$3,1),'Sổ thu chi'!$C$5:$C$1979,"Thu",'Sổ thu chi'!$F$5:$F$1979,"Thu nhập")</f>
      </c>
      <c r="O16" s="21">
        <f>SUMIFS('Sổ thu chi'!$I$5:$I$1979,'Sổ thu chi'!$B$5:$B$1979,DATE(NAM,O$3,1),'Sổ thu chi'!$C$5:$C$1979,"Thu",'Sổ thu chi'!$F$5:$F$1979,"Thu nhập")</f>
      </c>
      <c r="P16" s="21">
        <f t="shared" si="1"/>
      </c>
      <c r="Q16" s="21">
        <f t="shared" si="2"/>
      </c>
    </row>
    <row r="17" spans="1:18" x14ac:dyDescent="0.3">
      <c r="A17" s="11"/>
      <c r="B17" s="11" t="inlineStr">
        <is>
          <t xml:space="preserve">Rút tiền tiết kiệm</t>
        </is>
      </c>
      <c r="C17" s="11"/>
      <c r="D17" s="20">
        <f>SUMIFS('Sổ thu chi'!$I$5:$I$1979,'Sổ thu chi'!$B$5:$B$1979,DATE(NAM,D$3,1),'Sổ thu chi'!$C$5:$C$1979,"Thu",'Sổ thu chi'!$F$5:$F$1979,"Rút quỹ")</f>
      </c>
      <c r="E17" s="20">
        <f>SUMIFS('Sổ thu chi'!$I$5:$I$1979,'Sổ thu chi'!$B$5:$B$1979,DATE(NAM,E$3,1),'Sổ thu chi'!$C$5:$C$1979,"Thu",'Sổ thu chi'!$F$5:$F$1979,"Rút quỹ")</f>
      </c>
      <c r="F17" s="20">
        <f>SUMIFS('Sổ thu chi'!$I$5:$I$1979,'Sổ thu chi'!$B$5:$B$1979,DATE(NAM,F$3,1),'Sổ thu chi'!$C$5:$C$1979,"Thu",'Sổ thu chi'!$F$5:$F$1979,"Rút quỹ")</f>
      </c>
      <c r="G17" s="20">
        <f>SUMIFS('Sổ thu chi'!$I$5:$I$1979,'Sổ thu chi'!$B$5:$B$1979,DATE(NAM,G$3,1),'Sổ thu chi'!$C$5:$C$1979,"Thu",'Sổ thu chi'!$F$5:$F$1979,"Rút quỹ")</f>
      </c>
      <c r="H17" s="20">
        <f>SUMIFS('Sổ thu chi'!$I$5:$I$1979,'Sổ thu chi'!$B$5:$B$1979,DATE(NAM,H$3,1),'Sổ thu chi'!$C$5:$C$1979,"Thu",'Sổ thu chi'!$F$5:$F$1979,"Rút quỹ")</f>
      </c>
      <c r="I17" s="20">
        <f>SUMIFS('Sổ thu chi'!$I$5:$I$1979,'Sổ thu chi'!$B$5:$B$1979,DATE(NAM,I$3,1),'Sổ thu chi'!$C$5:$C$1979,"Thu",'Sổ thu chi'!$F$5:$F$1979,"Rút quỹ")</f>
      </c>
      <c r="J17" s="20">
        <f>SUMIFS('Sổ thu chi'!$I$5:$I$1979,'Sổ thu chi'!$B$5:$B$1979,DATE(NAM,J$3,1),'Sổ thu chi'!$C$5:$C$1979,"Thu",'Sổ thu chi'!$F$5:$F$1979,"Rút quỹ")</f>
      </c>
      <c r="K17" s="20">
        <f>SUMIFS('Sổ thu chi'!$I$5:$I$1979,'Sổ thu chi'!$B$5:$B$1979,DATE(NAM,K$3,1),'Sổ thu chi'!$C$5:$C$1979,"Thu",'Sổ thu chi'!$F$5:$F$1979,"Rút quỹ")</f>
      </c>
      <c r="L17" s="20">
        <f>SUMIFS('Sổ thu chi'!$I$5:$I$1979,'Sổ thu chi'!$B$5:$B$1979,DATE(NAM,L$3,1),'Sổ thu chi'!$C$5:$C$1979,"Thu",'Sổ thu chi'!$F$5:$F$1979,"Rút quỹ")</f>
      </c>
      <c r="M17" s="20">
        <f>SUMIFS('Sổ thu chi'!$I$5:$I$1979,'Sổ thu chi'!$B$5:$B$1979,DATE(NAM,M$3,1),'Sổ thu chi'!$C$5:$C$1979,"Thu",'Sổ thu chi'!$F$5:$F$1979,"Rút quỹ")</f>
      </c>
      <c r="N17" s="20">
        <f>SUMIFS('Sổ thu chi'!$I$5:$I$1979,'Sổ thu chi'!$B$5:$B$1979,DATE(NAM,N$3,1),'Sổ thu chi'!$C$5:$C$1979,"Thu",'Sổ thu chi'!$F$5:$F$1979,"Rút quỹ")</f>
      </c>
      <c r="O17" s="20">
        <f>SUMIFS('Sổ thu chi'!$I$5:$I$1979,'Sổ thu chi'!$B$5:$B$1979,DATE(NAM,O$3,1),'Sổ thu chi'!$C$5:$C$1979,"Thu",'Sổ thu chi'!$F$5:$F$1979,"Rút quỹ")</f>
      </c>
      <c r="P17" s="21">
        <f t="shared" si="1"/>
      </c>
      <c r="Q17" s="22">
        <f t="shared" si="2"/>
      </c>
    </row>
    <row r="18" spans="1:18" x14ac:dyDescent="0.3">
      <c r="A18" s="23"/>
      <c r="B18" s="23" t="inlineStr">
        <is>
          <t xml:space="preserve">TỔNG THU</t>
        </is>
      </c>
      <c r="C18" s="23"/>
      <c r="D18" s="21">
        <f t="shared" ref="D18:O18" si="3">D16+D17</f>
      </c>
      <c r="E18" s="21">
        <f t="shared" si="3"/>
      </c>
      <c r="F18" s="21">
        <f t="shared" si="3"/>
      </c>
      <c r="G18" s="21">
        <f t="shared" si="3"/>
      </c>
      <c r="H18" s="21">
        <f t="shared" si="3"/>
      </c>
      <c r="I18" s="21">
        <f t="shared" si="3"/>
      </c>
      <c r="J18" s="21">
        <f t="shared" si="3"/>
      </c>
      <c r="K18" s="21">
        <f t="shared" si="3"/>
      </c>
      <c r="L18" s="21">
        <f t="shared" si="3"/>
      </c>
      <c r="M18" s="21">
        <f t="shared" si="3"/>
      </c>
      <c r="N18" s="21">
        <f t="shared" si="3"/>
      </c>
      <c r="O18" s="21">
        <f t="shared" si="3"/>
      </c>
      <c r="P18" s="21">
        <f t="shared" si="1"/>
      </c>
      <c r="Q18" s="21">
        <f t="shared" si="2"/>
      </c>
    </row>
    <row r="20" spans="1:18" x14ac:dyDescent="0.3">
      <c r="A20" s="5" t="inlineStr">
        <is>
          <t xml:space="preserve">II. 6 HŨ: NGÂN SÁCH (= Thu nhập × tỷ lệ) – THỰC CHI – CÒN LẠI</t>
        </is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3">
      <c r="B21" s="7" t="inlineStr">
        <is>
          <t xml:space="preserve">Hũ</t>
        </is>
      </c>
      <c r="C21" s="7" t="inlineStr">
        <is>
          <t xml:space="preserve">Tỷ lệ / Loại</t>
        </is>
      </c>
    </row>
    <row r="22" spans="1:18" x14ac:dyDescent="0.3">
      <c r="A22" s="24">
        <v>1</v>
      </c>
      <c r="B22" s="8">
        <f>'Danh mục'!B7&amp;" – Ngân sách"</f>
      </c>
      <c r="C22" s="25">
        <f>'Danh mục'!C7</f>
      </c>
      <c r="D22" s="26">
        <f>D$16*'Danh mục'!$C$7</f>
      </c>
      <c r="E22" s="26">
        <f>E$16*'Danh mục'!$C$7</f>
      </c>
      <c r="F22" s="26">
        <f>F$16*'Danh mục'!$C$7</f>
      </c>
      <c r="G22" s="26">
        <f>G$16*'Danh mục'!$C$7</f>
      </c>
      <c r="H22" s="26">
        <f>H$16*'Danh mục'!$C$7</f>
      </c>
      <c r="I22" s="26">
        <f>I$16*'Danh mục'!$C$7</f>
      </c>
      <c r="J22" s="26">
        <f>J$16*'Danh mục'!$C$7</f>
      </c>
      <c r="K22" s="26">
        <f>K$16*'Danh mục'!$C$7</f>
      </c>
      <c r="L22" s="26">
        <f>L$16*'Danh mục'!$C$7</f>
      </c>
      <c r="M22" s="26">
        <f>M$16*'Danh mục'!$C$7</f>
      </c>
      <c r="N22" s="26">
        <f>N$16*'Danh mục'!$C$7</f>
      </c>
      <c r="O22" s="26">
        <f>O$16*'Danh mục'!$C$7</f>
      </c>
      <c r="P22" s="21">
        <f t="shared" ref="P22:P40" si="4">SUM(D22:O22)</f>
      </c>
      <c r="Q22" s="21">
        <f>IFERROR(AVERAGEIF(D22:O22,"&lt;&gt;0"),0)</f>
      </c>
    </row>
    <row r="23" spans="1:18" x14ac:dyDescent="0.3">
      <c r="A23" s="11"/>
      <c r="B23" s="11" t="inlineStr">
        <is>
          <t xml:space="preserve">    Thực chi / đã nạp</t>
        </is>
      </c>
      <c r="C23" s="11">
        <f>'Danh mục'!D7</f>
      </c>
      <c r="D23" s="20">
        <f>SUMIFS('Sổ thu chi'!$I$5:$I$1979,'Sổ thu chi'!$B$5:$B$1979,DATE(NAM,D$3,1),'Sổ thu chi'!$C$5:$C$1979,"Chi",'Sổ thu chi'!$E$5:$E$1979,'Danh mục'!$B$7)</f>
      </c>
      <c r="E23" s="20">
        <f>SUMIFS('Sổ thu chi'!$I$5:$I$1979,'Sổ thu chi'!$B$5:$B$1979,DATE(NAM,E$3,1),'Sổ thu chi'!$C$5:$C$1979,"Chi",'Sổ thu chi'!$E$5:$E$1979,'Danh mục'!$B$7)</f>
      </c>
      <c r="F23" s="20">
        <f>SUMIFS('Sổ thu chi'!$I$5:$I$1979,'Sổ thu chi'!$B$5:$B$1979,DATE(NAM,F$3,1),'Sổ thu chi'!$C$5:$C$1979,"Chi",'Sổ thu chi'!$E$5:$E$1979,'Danh mục'!$B$7)</f>
      </c>
      <c r="G23" s="20">
        <f>SUMIFS('Sổ thu chi'!$I$5:$I$1979,'Sổ thu chi'!$B$5:$B$1979,DATE(NAM,G$3,1),'Sổ thu chi'!$C$5:$C$1979,"Chi",'Sổ thu chi'!$E$5:$E$1979,'Danh mục'!$B$7)</f>
      </c>
      <c r="H23" s="20">
        <f>SUMIFS('Sổ thu chi'!$I$5:$I$1979,'Sổ thu chi'!$B$5:$B$1979,DATE(NAM,H$3,1),'Sổ thu chi'!$C$5:$C$1979,"Chi",'Sổ thu chi'!$E$5:$E$1979,'Danh mục'!$B$7)</f>
      </c>
      <c r="I23" s="20">
        <f>SUMIFS('Sổ thu chi'!$I$5:$I$1979,'Sổ thu chi'!$B$5:$B$1979,DATE(NAM,I$3,1),'Sổ thu chi'!$C$5:$C$1979,"Chi",'Sổ thu chi'!$E$5:$E$1979,'Danh mục'!$B$7)</f>
      </c>
      <c r="J23" s="20">
        <f>SUMIFS('Sổ thu chi'!$I$5:$I$1979,'Sổ thu chi'!$B$5:$B$1979,DATE(NAM,J$3,1),'Sổ thu chi'!$C$5:$C$1979,"Chi",'Sổ thu chi'!$E$5:$E$1979,'Danh mục'!$B$7)</f>
      </c>
      <c r="K23" s="20">
        <f>SUMIFS('Sổ thu chi'!$I$5:$I$1979,'Sổ thu chi'!$B$5:$B$1979,DATE(NAM,K$3,1),'Sổ thu chi'!$C$5:$C$1979,"Chi",'Sổ thu chi'!$E$5:$E$1979,'Danh mục'!$B$7)</f>
      </c>
      <c r="L23" s="20">
        <f>SUMIFS('Sổ thu chi'!$I$5:$I$1979,'Sổ thu chi'!$B$5:$B$1979,DATE(NAM,L$3,1),'Sổ thu chi'!$C$5:$C$1979,"Chi",'Sổ thu chi'!$E$5:$E$1979,'Danh mục'!$B$7)</f>
      </c>
      <c r="M23" s="20">
        <f>SUMIFS('Sổ thu chi'!$I$5:$I$1979,'Sổ thu chi'!$B$5:$B$1979,DATE(NAM,M$3,1),'Sổ thu chi'!$C$5:$C$1979,"Chi",'Sổ thu chi'!$E$5:$E$1979,'Danh mục'!$B$7)</f>
      </c>
      <c r="N23" s="20">
        <f>SUMIFS('Sổ thu chi'!$I$5:$I$1979,'Sổ thu chi'!$B$5:$B$1979,DATE(NAM,N$3,1),'Sổ thu chi'!$C$5:$C$1979,"Chi",'Sổ thu chi'!$E$5:$E$1979,'Danh mục'!$B$7)</f>
      </c>
      <c r="O23" s="20">
        <f>SUMIFS('Sổ thu chi'!$I$5:$I$1979,'Sổ thu chi'!$B$5:$B$1979,DATE(NAM,O$3,1),'Sổ thu chi'!$C$5:$C$1979,"Chi",'Sổ thu chi'!$E$5:$E$1979,'Danh mục'!$B$7)</f>
      </c>
      <c r="P23" s="21">
        <f t="shared" si="4"/>
      </c>
      <c r="Q23" s="22">
        <f>IFERROR(AVERAGEIF(D23:O23,"&lt;&gt;0"),0)</f>
      </c>
    </row>
    <row r="24" spans="1:18" x14ac:dyDescent="0.3">
      <c r="A24" s="11"/>
      <c r="B24" s="11" t="inlineStr">
        <is>
          <t xml:space="preserve">    Còn lại</t>
        </is>
      </c>
      <c r="C24" s="11"/>
      <c r="D24" s="20">
        <f t="shared" ref="D24:O24" si="5">D22-D23</f>
      </c>
      <c r="E24" s="20">
        <f t="shared" si="5"/>
      </c>
      <c r="F24" s="20">
        <f t="shared" si="5"/>
      </c>
      <c r="G24" s="20">
        <f t="shared" si="5"/>
      </c>
      <c r="H24" s="20">
        <f t="shared" si="5"/>
      </c>
      <c r="I24" s="20">
        <f t="shared" si="5"/>
      </c>
      <c r="J24" s="20">
        <f t="shared" si="5"/>
      </c>
      <c r="K24" s="20">
        <f t="shared" si="5"/>
      </c>
      <c r="L24" s="20">
        <f t="shared" si="5"/>
      </c>
      <c r="M24" s="20">
        <f t="shared" si="5"/>
      </c>
      <c r="N24" s="20">
        <f t="shared" si="5"/>
      </c>
      <c r="O24" s="20">
        <f t="shared" si="5"/>
      </c>
      <c r="P24" s="21">
        <f t="shared" si="4"/>
      </c>
      <c r="Q24" s="22"/>
    </row>
    <row r="25" spans="1:18" x14ac:dyDescent="0.3">
      <c r="A25" s="24">
        <v>2</v>
      </c>
      <c r="B25" s="8">
        <f>'Danh mục'!B8&amp;" – Ngân sách"</f>
      </c>
      <c r="C25" s="25">
        <f>'Danh mục'!C8</f>
      </c>
      <c r="D25" s="26">
        <f>D$16*'Danh mục'!$C$8</f>
      </c>
      <c r="E25" s="26">
        <f>E$16*'Danh mục'!$C$8</f>
      </c>
      <c r="F25" s="26">
        <f>F$16*'Danh mục'!$C$8</f>
      </c>
      <c r="G25" s="26">
        <f>G$16*'Danh mục'!$C$8</f>
      </c>
      <c r="H25" s="26">
        <f>H$16*'Danh mục'!$C$8</f>
      </c>
      <c r="I25" s="26">
        <f>I$16*'Danh mục'!$C$8</f>
      </c>
      <c r="J25" s="26">
        <f>J$16*'Danh mục'!$C$8</f>
      </c>
      <c r="K25" s="26">
        <f>K$16*'Danh mục'!$C$8</f>
      </c>
      <c r="L25" s="26">
        <f>L$16*'Danh mục'!$C$8</f>
      </c>
      <c r="M25" s="26">
        <f>M$16*'Danh mục'!$C$8</f>
      </c>
      <c r="N25" s="26">
        <f>N$16*'Danh mục'!$C$8</f>
      </c>
      <c r="O25" s="26">
        <f>O$16*'Danh mục'!$C$8</f>
      </c>
      <c r="P25" s="21">
        <f t="shared" si="4"/>
      </c>
      <c r="Q25" s="21">
        <f>IFERROR(AVERAGEIF(D25:O25,"&lt;&gt;0"),0)</f>
      </c>
    </row>
    <row r="26" spans="1:18" x14ac:dyDescent="0.3">
      <c r="A26" s="11"/>
      <c r="B26" s="11" t="inlineStr">
        <is>
          <t xml:space="preserve">    Thực chi / đã nạp</t>
        </is>
      </c>
      <c r="C26" s="11">
        <f>'Danh mục'!D8</f>
      </c>
      <c r="D26" s="20">
        <f>SUMIFS('Sổ thu chi'!$I$5:$I$1979,'Sổ thu chi'!$B$5:$B$1979,DATE(NAM,D$3,1),'Sổ thu chi'!$C$5:$C$1979,"Chi",'Sổ thu chi'!$E$5:$E$1979,'Danh mục'!$B$8)</f>
      </c>
      <c r="E26" s="20">
        <f>SUMIFS('Sổ thu chi'!$I$5:$I$1979,'Sổ thu chi'!$B$5:$B$1979,DATE(NAM,E$3,1),'Sổ thu chi'!$C$5:$C$1979,"Chi",'Sổ thu chi'!$E$5:$E$1979,'Danh mục'!$B$8)</f>
      </c>
      <c r="F26" s="20">
        <f>SUMIFS('Sổ thu chi'!$I$5:$I$1979,'Sổ thu chi'!$B$5:$B$1979,DATE(NAM,F$3,1),'Sổ thu chi'!$C$5:$C$1979,"Chi",'Sổ thu chi'!$E$5:$E$1979,'Danh mục'!$B$8)</f>
      </c>
      <c r="G26" s="20">
        <f>SUMIFS('Sổ thu chi'!$I$5:$I$1979,'Sổ thu chi'!$B$5:$B$1979,DATE(NAM,G$3,1),'Sổ thu chi'!$C$5:$C$1979,"Chi",'Sổ thu chi'!$E$5:$E$1979,'Danh mục'!$B$8)</f>
      </c>
      <c r="H26" s="20">
        <f>SUMIFS('Sổ thu chi'!$I$5:$I$1979,'Sổ thu chi'!$B$5:$B$1979,DATE(NAM,H$3,1),'Sổ thu chi'!$C$5:$C$1979,"Chi",'Sổ thu chi'!$E$5:$E$1979,'Danh mục'!$B$8)</f>
      </c>
      <c r="I26" s="20">
        <f>SUMIFS('Sổ thu chi'!$I$5:$I$1979,'Sổ thu chi'!$B$5:$B$1979,DATE(NAM,I$3,1),'Sổ thu chi'!$C$5:$C$1979,"Chi",'Sổ thu chi'!$E$5:$E$1979,'Danh mục'!$B$8)</f>
      </c>
      <c r="J26" s="20">
        <f>SUMIFS('Sổ thu chi'!$I$5:$I$1979,'Sổ thu chi'!$B$5:$B$1979,DATE(NAM,J$3,1),'Sổ thu chi'!$C$5:$C$1979,"Chi",'Sổ thu chi'!$E$5:$E$1979,'Danh mục'!$B$8)</f>
      </c>
      <c r="K26" s="20">
        <f>SUMIFS('Sổ thu chi'!$I$5:$I$1979,'Sổ thu chi'!$B$5:$B$1979,DATE(NAM,K$3,1),'Sổ thu chi'!$C$5:$C$1979,"Chi",'Sổ thu chi'!$E$5:$E$1979,'Danh mục'!$B$8)</f>
      </c>
      <c r="L26" s="20">
        <f>SUMIFS('Sổ thu chi'!$I$5:$I$1979,'Sổ thu chi'!$B$5:$B$1979,DATE(NAM,L$3,1),'Sổ thu chi'!$C$5:$C$1979,"Chi",'Sổ thu chi'!$E$5:$E$1979,'Danh mục'!$B$8)</f>
      </c>
      <c r="M26" s="20">
        <f>SUMIFS('Sổ thu chi'!$I$5:$I$1979,'Sổ thu chi'!$B$5:$B$1979,DATE(NAM,M$3,1),'Sổ thu chi'!$C$5:$C$1979,"Chi",'Sổ thu chi'!$E$5:$E$1979,'Danh mục'!$B$8)</f>
      </c>
      <c r="N26" s="20">
        <f>SUMIFS('Sổ thu chi'!$I$5:$I$1979,'Sổ thu chi'!$B$5:$B$1979,DATE(NAM,N$3,1),'Sổ thu chi'!$C$5:$C$1979,"Chi",'Sổ thu chi'!$E$5:$E$1979,'Danh mục'!$B$8)</f>
      </c>
      <c r="O26" s="20">
        <f>SUMIFS('Sổ thu chi'!$I$5:$I$1979,'Sổ thu chi'!$B$5:$B$1979,DATE(NAM,O$3,1),'Sổ thu chi'!$C$5:$C$1979,"Chi",'Sổ thu chi'!$E$5:$E$1979,'Danh mục'!$B$8)</f>
      </c>
      <c r="P26" s="21">
        <f t="shared" si="4"/>
      </c>
      <c r="Q26" s="22">
        <f>IFERROR(AVERAGEIF(D26:O26,"&lt;&gt;0"),0)</f>
      </c>
    </row>
    <row r="27" spans="1:18" x14ac:dyDescent="0.3">
      <c r="A27" s="11"/>
      <c r="B27" s="11" t="inlineStr">
        <is>
          <t xml:space="preserve">    Còn lại</t>
        </is>
      </c>
      <c r="C27" s="11"/>
      <c r="D27" s="20">
        <f t="shared" ref="D27:O27" si="6">D25-D26</f>
      </c>
      <c r="E27" s="20">
        <f t="shared" si="6"/>
      </c>
      <c r="F27" s="20">
        <f t="shared" si="6"/>
      </c>
      <c r="G27" s="20">
        <f t="shared" si="6"/>
      </c>
      <c r="H27" s="20">
        <f t="shared" si="6"/>
      </c>
      <c r="I27" s="20">
        <f t="shared" si="6"/>
      </c>
      <c r="J27" s="20">
        <f t="shared" si="6"/>
      </c>
      <c r="K27" s="20">
        <f t="shared" si="6"/>
      </c>
      <c r="L27" s="20">
        <f t="shared" si="6"/>
      </c>
      <c r="M27" s="20">
        <f t="shared" si="6"/>
      </c>
      <c r="N27" s="20">
        <f t="shared" si="6"/>
      </c>
      <c r="O27" s="20">
        <f t="shared" si="6"/>
      </c>
      <c r="P27" s="21">
        <f t="shared" si="4"/>
      </c>
      <c r="Q27" s="22"/>
    </row>
    <row r="28" spans="1:18" x14ac:dyDescent="0.3">
      <c r="A28" s="24">
        <v>3</v>
      </c>
      <c r="B28" s="8">
        <f>'Danh mục'!B9&amp;" – Ngân sách"</f>
      </c>
      <c r="C28" s="25">
        <f>'Danh mục'!C9</f>
      </c>
      <c r="D28" s="26">
        <f>D$16*'Danh mục'!$C$9</f>
      </c>
      <c r="E28" s="26">
        <f>E$16*'Danh mục'!$C$9</f>
      </c>
      <c r="F28" s="26">
        <f>F$16*'Danh mục'!$C$9</f>
      </c>
      <c r="G28" s="26">
        <f>G$16*'Danh mục'!$C$9</f>
      </c>
      <c r="H28" s="26">
        <f>H$16*'Danh mục'!$C$9</f>
      </c>
      <c r="I28" s="26">
        <f>I$16*'Danh mục'!$C$9</f>
      </c>
      <c r="J28" s="26">
        <f>J$16*'Danh mục'!$C$9</f>
      </c>
      <c r="K28" s="26">
        <f>K$16*'Danh mục'!$C$9</f>
      </c>
      <c r="L28" s="26">
        <f>L$16*'Danh mục'!$C$9</f>
      </c>
      <c r="M28" s="26">
        <f>M$16*'Danh mục'!$C$9</f>
      </c>
      <c r="N28" s="26">
        <f>N$16*'Danh mục'!$C$9</f>
      </c>
      <c r="O28" s="26">
        <f>O$16*'Danh mục'!$C$9</f>
      </c>
      <c r="P28" s="21">
        <f t="shared" si="4"/>
      </c>
      <c r="Q28" s="21">
        <f>IFERROR(AVERAGEIF(D28:O28,"&lt;&gt;0"),0)</f>
      </c>
    </row>
    <row r="29" spans="1:18" x14ac:dyDescent="0.3">
      <c r="A29" s="11"/>
      <c r="B29" s="11" t="inlineStr">
        <is>
          <t xml:space="preserve">    Thực chi / đã nạp</t>
        </is>
      </c>
      <c r="C29" s="11">
        <f>'Danh mục'!D9</f>
      </c>
      <c r="D29" s="20">
        <f>SUMIFS('Sổ thu chi'!$I$5:$I$1979,'Sổ thu chi'!$B$5:$B$1979,DATE(NAM,D$3,1),'Sổ thu chi'!$C$5:$C$1979,"Chi",'Sổ thu chi'!$E$5:$E$1979,'Danh mục'!$B$9)</f>
      </c>
      <c r="E29" s="20">
        <f>SUMIFS('Sổ thu chi'!$I$5:$I$1979,'Sổ thu chi'!$B$5:$B$1979,DATE(NAM,E$3,1),'Sổ thu chi'!$C$5:$C$1979,"Chi",'Sổ thu chi'!$E$5:$E$1979,'Danh mục'!$B$9)</f>
      </c>
      <c r="F29" s="20">
        <f>SUMIFS('Sổ thu chi'!$I$5:$I$1979,'Sổ thu chi'!$B$5:$B$1979,DATE(NAM,F$3,1),'Sổ thu chi'!$C$5:$C$1979,"Chi",'Sổ thu chi'!$E$5:$E$1979,'Danh mục'!$B$9)</f>
      </c>
      <c r="G29" s="20">
        <f>SUMIFS('Sổ thu chi'!$I$5:$I$1979,'Sổ thu chi'!$B$5:$B$1979,DATE(NAM,G$3,1),'Sổ thu chi'!$C$5:$C$1979,"Chi",'Sổ thu chi'!$E$5:$E$1979,'Danh mục'!$B$9)</f>
      </c>
      <c r="H29" s="20">
        <f>SUMIFS('Sổ thu chi'!$I$5:$I$1979,'Sổ thu chi'!$B$5:$B$1979,DATE(NAM,H$3,1),'Sổ thu chi'!$C$5:$C$1979,"Chi",'Sổ thu chi'!$E$5:$E$1979,'Danh mục'!$B$9)</f>
      </c>
      <c r="I29" s="20">
        <f>SUMIFS('Sổ thu chi'!$I$5:$I$1979,'Sổ thu chi'!$B$5:$B$1979,DATE(NAM,I$3,1),'Sổ thu chi'!$C$5:$C$1979,"Chi",'Sổ thu chi'!$E$5:$E$1979,'Danh mục'!$B$9)</f>
      </c>
      <c r="J29" s="20">
        <f>SUMIFS('Sổ thu chi'!$I$5:$I$1979,'Sổ thu chi'!$B$5:$B$1979,DATE(NAM,J$3,1),'Sổ thu chi'!$C$5:$C$1979,"Chi",'Sổ thu chi'!$E$5:$E$1979,'Danh mục'!$B$9)</f>
      </c>
      <c r="K29" s="20">
        <f>SUMIFS('Sổ thu chi'!$I$5:$I$1979,'Sổ thu chi'!$B$5:$B$1979,DATE(NAM,K$3,1),'Sổ thu chi'!$C$5:$C$1979,"Chi",'Sổ thu chi'!$E$5:$E$1979,'Danh mục'!$B$9)</f>
      </c>
      <c r="L29" s="20">
        <f>SUMIFS('Sổ thu chi'!$I$5:$I$1979,'Sổ thu chi'!$B$5:$B$1979,DATE(NAM,L$3,1),'Sổ thu chi'!$C$5:$C$1979,"Chi",'Sổ thu chi'!$E$5:$E$1979,'Danh mục'!$B$9)</f>
      </c>
      <c r="M29" s="20">
        <f>SUMIFS('Sổ thu chi'!$I$5:$I$1979,'Sổ thu chi'!$B$5:$B$1979,DATE(NAM,M$3,1),'Sổ thu chi'!$C$5:$C$1979,"Chi",'Sổ thu chi'!$E$5:$E$1979,'Danh mục'!$B$9)</f>
      </c>
      <c r="N29" s="20">
        <f>SUMIFS('Sổ thu chi'!$I$5:$I$1979,'Sổ thu chi'!$B$5:$B$1979,DATE(NAM,N$3,1),'Sổ thu chi'!$C$5:$C$1979,"Chi",'Sổ thu chi'!$E$5:$E$1979,'Danh mục'!$B$9)</f>
      </c>
      <c r="O29" s="20">
        <f>SUMIFS('Sổ thu chi'!$I$5:$I$1979,'Sổ thu chi'!$B$5:$B$1979,DATE(NAM,O$3,1),'Sổ thu chi'!$C$5:$C$1979,"Chi",'Sổ thu chi'!$E$5:$E$1979,'Danh mục'!$B$9)</f>
      </c>
      <c r="P29" s="21">
        <f t="shared" si="4"/>
      </c>
      <c r="Q29" s="22">
        <f>IFERROR(AVERAGEIF(D29:O29,"&lt;&gt;0"),0)</f>
      </c>
    </row>
    <row r="30" spans="1:18" x14ac:dyDescent="0.3">
      <c r="A30" s="11"/>
      <c r="B30" s="11" t="inlineStr">
        <is>
          <t xml:space="preserve">    Còn lại</t>
        </is>
      </c>
      <c r="C30" s="11"/>
      <c r="D30" s="20">
        <f t="shared" ref="D30:O30" si="7">D28-D29</f>
      </c>
      <c r="E30" s="20">
        <f t="shared" si="7"/>
      </c>
      <c r="F30" s="20">
        <f t="shared" si="7"/>
      </c>
      <c r="G30" s="20">
        <f t="shared" si="7"/>
      </c>
      <c r="H30" s="20">
        <f t="shared" si="7"/>
      </c>
      <c r="I30" s="20">
        <f t="shared" si="7"/>
      </c>
      <c r="J30" s="20">
        <f t="shared" si="7"/>
      </c>
      <c r="K30" s="20">
        <f t="shared" si="7"/>
      </c>
      <c r="L30" s="20">
        <f t="shared" si="7"/>
      </c>
      <c r="M30" s="20">
        <f t="shared" si="7"/>
      </c>
      <c r="N30" s="20">
        <f t="shared" si="7"/>
      </c>
      <c r="O30" s="20">
        <f t="shared" si="7"/>
      </c>
      <c r="P30" s="21">
        <f t="shared" si="4"/>
      </c>
      <c r="Q30" s="22"/>
    </row>
    <row r="31" spans="1:18" x14ac:dyDescent="0.3">
      <c r="A31" s="24">
        <v>4</v>
      </c>
      <c r="B31" s="8">
        <f>'Danh mục'!B10&amp;" – Ngân sách"</f>
      </c>
      <c r="C31" s="25">
        <f>'Danh mục'!C10</f>
      </c>
      <c r="D31" s="26">
        <f>D$16*'Danh mục'!$C$10</f>
      </c>
      <c r="E31" s="26">
        <f>E$16*'Danh mục'!$C$10</f>
      </c>
      <c r="F31" s="26">
        <f>F$16*'Danh mục'!$C$10</f>
      </c>
      <c r="G31" s="26">
        <f>G$16*'Danh mục'!$C$10</f>
      </c>
      <c r="H31" s="26">
        <f>H$16*'Danh mục'!$C$10</f>
      </c>
      <c r="I31" s="26">
        <f>I$16*'Danh mục'!$C$10</f>
      </c>
      <c r="J31" s="26">
        <f>J$16*'Danh mục'!$C$10</f>
      </c>
      <c r="K31" s="26">
        <f>K$16*'Danh mục'!$C$10</f>
      </c>
      <c r="L31" s="26">
        <f>L$16*'Danh mục'!$C$10</f>
      </c>
      <c r="M31" s="26">
        <f>M$16*'Danh mục'!$C$10</f>
      </c>
      <c r="N31" s="26">
        <f>N$16*'Danh mục'!$C$10</f>
      </c>
      <c r="O31" s="26">
        <f>O$16*'Danh mục'!$C$10</f>
      </c>
      <c r="P31" s="21">
        <f t="shared" si="4"/>
      </c>
      <c r="Q31" s="21">
        <f>IFERROR(AVERAGEIF(D31:O31,"&lt;&gt;0"),0)</f>
      </c>
    </row>
    <row r="32" spans="1:18" x14ac:dyDescent="0.3">
      <c r="A32" s="11"/>
      <c r="B32" s="11" t="inlineStr">
        <is>
          <t xml:space="preserve">    Thực chi / đã nạp</t>
        </is>
      </c>
      <c r="C32" s="11">
        <f>'Danh mục'!D10</f>
      </c>
      <c r="D32" s="20">
        <f>SUMIFS('Sổ thu chi'!$I$5:$I$1979,'Sổ thu chi'!$B$5:$B$1979,DATE(NAM,D$3,1),'Sổ thu chi'!$C$5:$C$1979,"Chi",'Sổ thu chi'!$E$5:$E$1979,'Danh mục'!$B$10)</f>
      </c>
      <c r="E32" s="20">
        <f>SUMIFS('Sổ thu chi'!$I$5:$I$1979,'Sổ thu chi'!$B$5:$B$1979,DATE(NAM,E$3,1),'Sổ thu chi'!$C$5:$C$1979,"Chi",'Sổ thu chi'!$E$5:$E$1979,'Danh mục'!$B$10)</f>
      </c>
      <c r="F32" s="20">
        <f>SUMIFS('Sổ thu chi'!$I$5:$I$1979,'Sổ thu chi'!$B$5:$B$1979,DATE(NAM,F$3,1),'Sổ thu chi'!$C$5:$C$1979,"Chi",'Sổ thu chi'!$E$5:$E$1979,'Danh mục'!$B$10)</f>
      </c>
      <c r="G32" s="20">
        <f>SUMIFS('Sổ thu chi'!$I$5:$I$1979,'Sổ thu chi'!$B$5:$B$1979,DATE(NAM,G$3,1),'Sổ thu chi'!$C$5:$C$1979,"Chi",'Sổ thu chi'!$E$5:$E$1979,'Danh mục'!$B$10)</f>
      </c>
      <c r="H32" s="20">
        <f>SUMIFS('Sổ thu chi'!$I$5:$I$1979,'Sổ thu chi'!$B$5:$B$1979,DATE(NAM,H$3,1),'Sổ thu chi'!$C$5:$C$1979,"Chi",'Sổ thu chi'!$E$5:$E$1979,'Danh mục'!$B$10)</f>
      </c>
      <c r="I32" s="20">
        <f>SUMIFS('Sổ thu chi'!$I$5:$I$1979,'Sổ thu chi'!$B$5:$B$1979,DATE(NAM,I$3,1),'Sổ thu chi'!$C$5:$C$1979,"Chi",'Sổ thu chi'!$E$5:$E$1979,'Danh mục'!$B$10)</f>
      </c>
      <c r="J32" s="20">
        <f>SUMIFS('Sổ thu chi'!$I$5:$I$1979,'Sổ thu chi'!$B$5:$B$1979,DATE(NAM,J$3,1),'Sổ thu chi'!$C$5:$C$1979,"Chi",'Sổ thu chi'!$E$5:$E$1979,'Danh mục'!$B$10)</f>
      </c>
      <c r="K32" s="20">
        <f>SUMIFS('Sổ thu chi'!$I$5:$I$1979,'Sổ thu chi'!$B$5:$B$1979,DATE(NAM,K$3,1),'Sổ thu chi'!$C$5:$C$1979,"Chi",'Sổ thu chi'!$E$5:$E$1979,'Danh mục'!$B$10)</f>
      </c>
      <c r="L32" s="20">
        <f>SUMIFS('Sổ thu chi'!$I$5:$I$1979,'Sổ thu chi'!$B$5:$B$1979,DATE(NAM,L$3,1),'Sổ thu chi'!$C$5:$C$1979,"Chi",'Sổ thu chi'!$E$5:$E$1979,'Danh mục'!$B$10)</f>
      </c>
      <c r="M32" s="20">
        <f>SUMIFS('Sổ thu chi'!$I$5:$I$1979,'Sổ thu chi'!$B$5:$B$1979,DATE(NAM,M$3,1),'Sổ thu chi'!$C$5:$C$1979,"Chi",'Sổ thu chi'!$E$5:$E$1979,'Danh mục'!$B$10)</f>
      </c>
      <c r="N32" s="20">
        <f>SUMIFS('Sổ thu chi'!$I$5:$I$1979,'Sổ thu chi'!$B$5:$B$1979,DATE(NAM,N$3,1),'Sổ thu chi'!$C$5:$C$1979,"Chi",'Sổ thu chi'!$E$5:$E$1979,'Danh mục'!$B$10)</f>
      </c>
      <c r="O32" s="20">
        <f>SUMIFS('Sổ thu chi'!$I$5:$I$1979,'Sổ thu chi'!$B$5:$B$1979,DATE(NAM,O$3,1),'Sổ thu chi'!$C$5:$C$1979,"Chi",'Sổ thu chi'!$E$5:$E$1979,'Danh mục'!$B$10)</f>
      </c>
      <c r="P32" s="21">
        <f t="shared" si="4"/>
      </c>
      <c r="Q32" s="22">
        <f>IFERROR(AVERAGEIF(D32:O32,"&lt;&gt;0"),0)</f>
      </c>
    </row>
    <row r="33" spans="1:18" x14ac:dyDescent="0.3">
      <c r="A33" s="11"/>
      <c r="B33" s="11" t="inlineStr">
        <is>
          <t xml:space="preserve">    Còn lại</t>
        </is>
      </c>
      <c r="C33" s="11"/>
      <c r="D33" s="20">
        <f t="shared" ref="D33:O33" si="8">D31-D32</f>
      </c>
      <c r="E33" s="20">
        <f t="shared" si="8"/>
      </c>
      <c r="F33" s="20">
        <f t="shared" si="8"/>
      </c>
      <c r="G33" s="20">
        <f t="shared" si="8"/>
      </c>
      <c r="H33" s="20">
        <f t="shared" si="8"/>
      </c>
      <c r="I33" s="20">
        <f t="shared" si="8"/>
      </c>
      <c r="J33" s="20">
        <f t="shared" si="8"/>
      </c>
      <c r="K33" s="20">
        <f t="shared" si="8"/>
      </c>
      <c r="L33" s="20">
        <f t="shared" si="8"/>
      </c>
      <c r="M33" s="20">
        <f t="shared" si="8"/>
      </c>
      <c r="N33" s="20">
        <f t="shared" si="8"/>
      </c>
      <c r="O33" s="20">
        <f t="shared" si="8"/>
      </c>
      <c r="P33" s="21">
        <f t="shared" si="4"/>
      </c>
      <c r="Q33" s="22"/>
    </row>
    <row r="34" spans="1:18" x14ac:dyDescent="0.3">
      <c r="A34" s="24">
        <v>5</v>
      </c>
      <c r="B34" s="8">
        <f>'Danh mục'!B11&amp;" – Ngân sách"</f>
      </c>
      <c r="C34" s="25">
        <f>'Danh mục'!C11</f>
      </c>
      <c r="D34" s="26">
        <f>D$16*'Danh mục'!$C$11</f>
      </c>
      <c r="E34" s="26">
        <f>E$16*'Danh mục'!$C$11</f>
      </c>
      <c r="F34" s="26">
        <f>F$16*'Danh mục'!$C$11</f>
      </c>
      <c r="G34" s="26">
        <f>G$16*'Danh mục'!$C$11</f>
      </c>
      <c r="H34" s="26">
        <f>H$16*'Danh mục'!$C$11</f>
      </c>
      <c r="I34" s="26">
        <f>I$16*'Danh mục'!$C$11</f>
      </c>
      <c r="J34" s="26">
        <f>J$16*'Danh mục'!$C$11</f>
      </c>
      <c r="K34" s="26">
        <f>K$16*'Danh mục'!$C$11</f>
      </c>
      <c r="L34" s="26">
        <f>L$16*'Danh mục'!$C$11</f>
      </c>
      <c r="M34" s="26">
        <f>M$16*'Danh mục'!$C$11</f>
      </c>
      <c r="N34" s="26">
        <f>N$16*'Danh mục'!$C$11</f>
      </c>
      <c r="O34" s="26">
        <f>O$16*'Danh mục'!$C$11</f>
      </c>
      <c r="P34" s="21">
        <f t="shared" si="4"/>
      </c>
      <c r="Q34" s="21">
        <f>IFERROR(AVERAGEIF(D34:O34,"&lt;&gt;0"),0)</f>
      </c>
    </row>
    <row r="35" spans="1:18" x14ac:dyDescent="0.3">
      <c r="A35" s="11"/>
      <c r="B35" s="11" t="inlineStr">
        <is>
          <t xml:space="preserve">    Thực chi / đã nạp</t>
        </is>
      </c>
      <c r="C35" s="11">
        <f>'Danh mục'!D11</f>
      </c>
      <c r="D35" s="20">
        <f>SUMIFS('Sổ thu chi'!$I$5:$I$1979,'Sổ thu chi'!$B$5:$B$1979,DATE(NAM,D$3,1),'Sổ thu chi'!$C$5:$C$1979,"Chi",'Sổ thu chi'!$E$5:$E$1979,'Danh mục'!$B$11)</f>
      </c>
      <c r="E35" s="20">
        <f>SUMIFS('Sổ thu chi'!$I$5:$I$1979,'Sổ thu chi'!$B$5:$B$1979,DATE(NAM,E$3,1),'Sổ thu chi'!$C$5:$C$1979,"Chi",'Sổ thu chi'!$E$5:$E$1979,'Danh mục'!$B$11)</f>
      </c>
      <c r="F35" s="20">
        <f>SUMIFS('Sổ thu chi'!$I$5:$I$1979,'Sổ thu chi'!$B$5:$B$1979,DATE(NAM,F$3,1),'Sổ thu chi'!$C$5:$C$1979,"Chi",'Sổ thu chi'!$E$5:$E$1979,'Danh mục'!$B$11)</f>
      </c>
      <c r="G35" s="20">
        <f>SUMIFS('Sổ thu chi'!$I$5:$I$1979,'Sổ thu chi'!$B$5:$B$1979,DATE(NAM,G$3,1),'Sổ thu chi'!$C$5:$C$1979,"Chi",'Sổ thu chi'!$E$5:$E$1979,'Danh mục'!$B$11)</f>
      </c>
      <c r="H35" s="20">
        <f>SUMIFS('Sổ thu chi'!$I$5:$I$1979,'Sổ thu chi'!$B$5:$B$1979,DATE(NAM,H$3,1),'Sổ thu chi'!$C$5:$C$1979,"Chi",'Sổ thu chi'!$E$5:$E$1979,'Danh mục'!$B$11)</f>
      </c>
      <c r="I35" s="20">
        <f>SUMIFS('Sổ thu chi'!$I$5:$I$1979,'Sổ thu chi'!$B$5:$B$1979,DATE(NAM,I$3,1),'Sổ thu chi'!$C$5:$C$1979,"Chi",'Sổ thu chi'!$E$5:$E$1979,'Danh mục'!$B$11)</f>
      </c>
      <c r="J35" s="20">
        <f>SUMIFS('Sổ thu chi'!$I$5:$I$1979,'Sổ thu chi'!$B$5:$B$1979,DATE(NAM,J$3,1),'Sổ thu chi'!$C$5:$C$1979,"Chi",'Sổ thu chi'!$E$5:$E$1979,'Danh mục'!$B$11)</f>
      </c>
      <c r="K35" s="20">
        <f>SUMIFS('Sổ thu chi'!$I$5:$I$1979,'Sổ thu chi'!$B$5:$B$1979,DATE(NAM,K$3,1),'Sổ thu chi'!$C$5:$C$1979,"Chi",'Sổ thu chi'!$E$5:$E$1979,'Danh mục'!$B$11)</f>
      </c>
      <c r="L35" s="20">
        <f>SUMIFS('Sổ thu chi'!$I$5:$I$1979,'Sổ thu chi'!$B$5:$B$1979,DATE(NAM,L$3,1),'Sổ thu chi'!$C$5:$C$1979,"Chi",'Sổ thu chi'!$E$5:$E$1979,'Danh mục'!$B$11)</f>
      </c>
      <c r="M35" s="20">
        <f>SUMIFS('Sổ thu chi'!$I$5:$I$1979,'Sổ thu chi'!$B$5:$B$1979,DATE(NAM,M$3,1),'Sổ thu chi'!$C$5:$C$1979,"Chi",'Sổ thu chi'!$E$5:$E$1979,'Danh mục'!$B$11)</f>
      </c>
      <c r="N35" s="20">
        <f>SUMIFS('Sổ thu chi'!$I$5:$I$1979,'Sổ thu chi'!$B$5:$B$1979,DATE(NAM,N$3,1),'Sổ thu chi'!$C$5:$C$1979,"Chi",'Sổ thu chi'!$E$5:$E$1979,'Danh mục'!$B$11)</f>
      </c>
      <c r="O35" s="20">
        <f>SUMIFS('Sổ thu chi'!$I$5:$I$1979,'Sổ thu chi'!$B$5:$B$1979,DATE(NAM,O$3,1),'Sổ thu chi'!$C$5:$C$1979,"Chi",'Sổ thu chi'!$E$5:$E$1979,'Danh mục'!$B$11)</f>
      </c>
      <c r="P35" s="21">
        <f t="shared" si="4"/>
      </c>
      <c r="Q35" s="22">
        <f>IFERROR(AVERAGEIF(D35:O35,"&lt;&gt;0"),0)</f>
      </c>
    </row>
    <row r="36" spans="1:18" x14ac:dyDescent="0.3">
      <c r="A36" s="11"/>
      <c r="B36" s="11" t="inlineStr">
        <is>
          <t xml:space="preserve">    Còn lại</t>
        </is>
      </c>
      <c r="C36" s="11"/>
      <c r="D36" s="20">
        <f t="shared" ref="D36:O36" si="9">D34-D35</f>
      </c>
      <c r="E36" s="20">
        <f t="shared" si="9"/>
      </c>
      <c r="F36" s="20">
        <f t="shared" si="9"/>
      </c>
      <c r="G36" s="20">
        <f t="shared" si="9"/>
      </c>
      <c r="H36" s="20">
        <f t="shared" si="9"/>
      </c>
      <c r="I36" s="20">
        <f t="shared" si="9"/>
      </c>
      <c r="J36" s="20">
        <f t="shared" si="9"/>
      </c>
      <c r="K36" s="20">
        <f t="shared" si="9"/>
      </c>
      <c r="L36" s="20">
        <f t="shared" si="9"/>
      </c>
      <c r="M36" s="20">
        <f t="shared" si="9"/>
      </c>
      <c r="N36" s="20">
        <f t="shared" si="9"/>
      </c>
      <c r="O36" s="20">
        <f t="shared" si="9"/>
      </c>
      <c r="P36" s="21">
        <f t="shared" si="4"/>
      </c>
      <c r="Q36" s="22"/>
    </row>
    <row r="37" spans="1:18" x14ac:dyDescent="0.3">
      <c r="A37" s="24">
        <v>6</v>
      </c>
      <c r="B37" s="8">
        <f>'Danh mục'!B12&amp;" – Ngân sách"</f>
      </c>
      <c r="C37" s="25">
        <f>'Danh mục'!C12</f>
      </c>
      <c r="D37" s="26">
        <f>D$16*'Danh mục'!$C$12</f>
      </c>
      <c r="E37" s="26">
        <f>E$16*'Danh mục'!$C$12</f>
      </c>
      <c r="F37" s="26">
        <f>F$16*'Danh mục'!$C$12</f>
      </c>
      <c r="G37" s="26">
        <f>G$16*'Danh mục'!$C$12</f>
      </c>
      <c r="H37" s="26">
        <f>H$16*'Danh mục'!$C$12</f>
      </c>
      <c r="I37" s="26">
        <f>I$16*'Danh mục'!$C$12</f>
      </c>
      <c r="J37" s="26">
        <f>J$16*'Danh mục'!$C$12</f>
      </c>
      <c r="K37" s="26">
        <f>K$16*'Danh mục'!$C$12</f>
      </c>
      <c r="L37" s="26">
        <f>L$16*'Danh mục'!$C$12</f>
      </c>
      <c r="M37" s="26">
        <f>M$16*'Danh mục'!$C$12</f>
      </c>
      <c r="N37" s="26">
        <f>N$16*'Danh mục'!$C$12</f>
      </c>
      <c r="O37" s="26">
        <f>O$16*'Danh mục'!$C$12</f>
      </c>
      <c r="P37" s="21">
        <f t="shared" si="4"/>
      </c>
      <c r="Q37" s="21">
        <f>IFERROR(AVERAGEIF(D37:O37,"&lt;&gt;0"),0)</f>
      </c>
    </row>
    <row r="38" spans="1:18" x14ac:dyDescent="0.3">
      <c r="A38" s="11"/>
      <c r="B38" s="11" t="inlineStr">
        <is>
          <t xml:space="preserve">    Thực chi / đã nạp</t>
        </is>
      </c>
      <c r="C38" s="11">
        <f>'Danh mục'!D12</f>
      </c>
      <c r="D38" s="20">
        <f>SUMIFS('Sổ thu chi'!$I$5:$I$1979,'Sổ thu chi'!$B$5:$B$1979,DATE(NAM,D$3,1),'Sổ thu chi'!$C$5:$C$1979,"Chi",'Sổ thu chi'!$E$5:$E$1979,'Danh mục'!$B$12)</f>
      </c>
      <c r="E38" s="20">
        <f>SUMIFS('Sổ thu chi'!$I$5:$I$1979,'Sổ thu chi'!$B$5:$B$1979,DATE(NAM,E$3,1),'Sổ thu chi'!$C$5:$C$1979,"Chi",'Sổ thu chi'!$E$5:$E$1979,'Danh mục'!$B$12)</f>
      </c>
      <c r="F38" s="20">
        <f>SUMIFS('Sổ thu chi'!$I$5:$I$1979,'Sổ thu chi'!$B$5:$B$1979,DATE(NAM,F$3,1),'Sổ thu chi'!$C$5:$C$1979,"Chi",'Sổ thu chi'!$E$5:$E$1979,'Danh mục'!$B$12)</f>
      </c>
      <c r="G38" s="20">
        <f>SUMIFS('Sổ thu chi'!$I$5:$I$1979,'Sổ thu chi'!$B$5:$B$1979,DATE(NAM,G$3,1),'Sổ thu chi'!$C$5:$C$1979,"Chi",'Sổ thu chi'!$E$5:$E$1979,'Danh mục'!$B$12)</f>
      </c>
      <c r="H38" s="20">
        <f>SUMIFS('Sổ thu chi'!$I$5:$I$1979,'Sổ thu chi'!$B$5:$B$1979,DATE(NAM,H$3,1),'Sổ thu chi'!$C$5:$C$1979,"Chi",'Sổ thu chi'!$E$5:$E$1979,'Danh mục'!$B$12)</f>
      </c>
      <c r="I38" s="20">
        <f>SUMIFS('Sổ thu chi'!$I$5:$I$1979,'Sổ thu chi'!$B$5:$B$1979,DATE(NAM,I$3,1),'Sổ thu chi'!$C$5:$C$1979,"Chi",'Sổ thu chi'!$E$5:$E$1979,'Danh mục'!$B$12)</f>
      </c>
      <c r="J38" s="20">
        <f>SUMIFS('Sổ thu chi'!$I$5:$I$1979,'Sổ thu chi'!$B$5:$B$1979,DATE(NAM,J$3,1),'Sổ thu chi'!$C$5:$C$1979,"Chi",'Sổ thu chi'!$E$5:$E$1979,'Danh mục'!$B$12)</f>
      </c>
      <c r="K38" s="20">
        <f>SUMIFS('Sổ thu chi'!$I$5:$I$1979,'Sổ thu chi'!$B$5:$B$1979,DATE(NAM,K$3,1),'Sổ thu chi'!$C$5:$C$1979,"Chi",'Sổ thu chi'!$E$5:$E$1979,'Danh mục'!$B$12)</f>
      </c>
      <c r="L38" s="20">
        <f>SUMIFS('Sổ thu chi'!$I$5:$I$1979,'Sổ thu chi'!$B$5:$B$1979,DATE(NAM,L$3,1),'Sổ thu chi'!$C$5:$C$1979,"Chi",'Sổ thu chi'!$E$5:$E$1979,'Danh mục'!$B$12)</f>
      </c>
      <c r="M38" s="20">
        <f>SUMIFS('Sổ thu chi'!$I$5:$I$1979,'Sổ thu chi'!$B$5:$B$1979,DATE(NAM,M$3,1),'Sổ thu chi'!$C$5:$C$1979,"Chi",'Sổ thu chi'!$E$5:$E$1979,'Danh mục'!$B$12)</f>
      </c>
      <c r="N38" s="20">
        <f>SUMIFS('Sổ thu chi'!$I$5:$I$1979,'Sổ thu chi'!$B$5:$B$1979,DATE(NAM,N$3,1),'Sổ thu chi'!$C$5:$C$1979,"Chi",'Sổ thu chi'!$E$5:$E$1979,'Danh mục'!$B$12)</f>
      </c>
      <c r="O38" s="20">
        <f>SUMIFS('Sổ thu chi'!$I$5:$I$1979,'Sổ thu chi'!$B$5:$B$1979,DATE(NAM,O$3,1),'Sổ thu chi'!$C$5:$C$1979,"Chi",'Sổ thu chi'!$E$5:$E$1979,'Danh mục'!$B$12)</f>
      </c>
      <c r="P38" s="21">
        <f t="shared" si="4"/>
      </c>
      <c r="Q38" s="22">
        <f>IFERROR(AVERAGEIF(D38:O38,"&lt;&gt;0"),0)</f>
      </c>
    </row>
    <row r="39" spans="1:18" x14ac:dyDescent="0.3">
      <c r="A39" s="11"/>
      <c r="B39" s="11" t="inlineStr">
        <is>
          <t xml:space="preserve">    Còn lại</t>
        </is>
      </c>
      <c r="C39" s="11"/>
      <c r="D39" s="20">
        <f t="shared" ref="D39:O39" si="10">D37-D38</f>
      </c>
      <c r="E39" s="20">
        <f t="shared" si="10"/>
      </c>
      <c r="F39" s="20">
        <f t="shared" si="10"/>
      </c>
      <c r="G39" s="20">
        <f t="shared" si="10"/>
      </c>
      <c r="H39" s="20">
        <f t="shared" si="10"/>
      </c>
      <c r="I39" s="20">
        <f t="shared" si="10"/>
      </c>
      <c r="J39" s="20">
        <f t="shared" si="10"/>
      </c>
      <c r="K39" s="20">
        <f t="shared" si="10"/>
      </c>
      <c r="L39" s="20">
        <f t="shared" si="10"/>
      </c>
      <c r="M39" s="20">
        <f t="shared" si="10"/>
      </c>
      <c r="N39" s="20">
        <f t="shared" si="10"/>
      </c>
      <c r="O39" s="20">
        <f t="shared" si="10"/>
      </c>
      <c r="P39" s="21">
        <f t="shared" si="4"/>
      </c>
      <c r="Q39" s="22"/>
    </row>
    <row r="40" spans="1:18" x14ac:dyDescent="0.3">
      <c r="A40" s="23"/>
      <c r="B40" s="23" t="inlineStr">
        <is>
          <t xml:space="preserve">TỔNG CHI</t>
        </is>
      </c>
      <c r="C40" s="23"/>
      <c r="D40" s="21">
        <f t="shared" ref="D40:O40" si="11">D23+D26+D29+D32+D35+D38</f>
      </c>
      <c r="E40" s="21">
        <f t="shared" si="11"/>
      </c>
      <c r="F40" s="21">
        <f t="shared" si="11"/>
      </c>
      <c r="G40" s="21">
        <f t="shared" si="11"/>
      </c>
      <c r="H40" s="21">
        <f t="shared" si="11"/>
      </c>
      <c r="I40" s="21">
        <f t="shared" si="11"/>
      </c>
      <c r="J40" s="21">
        <f t="shared" si="11"/>
      </c>
      <c r="K40" s="21">
        <f t="shared" si="11"/>
      </c>
      <c r="L40" s="21">
        <f t="shared" si="11"/>
      </c>
      <c r="M40" s="21">
        <f t="shared" si="11"/>
      </c>
      <c r="N40" s="21">
        <f t="shared" si="11"/>
      </c>
      <c r="O40" s="21">
        <f t="shared" si="11"/>
      </c>
      <c r="P40" s="21">
        <f t="shared" si="4"/>
      </c>
      <c r="Q40" s="21">
        <f>IFERROR(AVERAGEIF(D40:O40,"&lt;&gt;0"),0)</f>
      </c>
    </row>
    <row r="42" spans="1:18" x14ac:dyDescent="0.3">
      <c r="A42" s="5" t="inlineStr">
        <is>
          <t xml:space="preserve">III. CHI TIẾT THEO DANH MỤC CHI</t>
        </is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x14ac:dyDescent="0.3">
      <c r="A43" s="19">
        <v>1</v>
      </c>
      <c r="B43" s="11">
        <f>IF('Danh mục'!A39="","",'Danh mục'!A39)</f>
      </c>
      <c r="C43" s="11">
        <f>'Danh mục'!B39&amp;""</f>
      </c>
      <c r="D43" s="20">
        <f>IF($B43="",0,SUMIFS('Sổ thu chi'!$I$5:$I$1979,'Sổ thu chi'!$B$5:$B$1979,DATE(NAM,D$3,1),'Sổ thu chi'!$C$5:$C$1979,"Chi",'Sổ thu chi'!$D$5:$D$1979,$B43))</f>
      </c>
      <c r="E43" s="20">
        <f>IF($B43="",0,SUMIFS('Sổ thu chi'!$I$5:$I$1979,'Sổ thu chi'!$B$5:$B$1979,DATE(NAM,E$3,1),'Sổ thu chi'!$C$5:$C$1979,"Chi",'Sổ thu chi'!$D$5:$D$1979,$B43))</f>
      </c>
      <c r="F43" s="20">
        <f>IF($B43="",0,SUMIFS('Sổ thu chi'!$I$5:$I$1979,'Sổ thu chi'!$B$5:$B$1979,DATE(NAM,F$3,1),'Sổ thu chi'!$C$5:$C$1979,"Chi",'Sổ thu chi'!$D$5:$D$1979,$B43))</f>
      </c>
      <c r="G43" s="20">
        <f>IF($B43="",0,SUMIFS('Sổ thu chi'!$I$5:$I$1979,'Sổ thu chi'!$B$5:$B$1979,DATE(NAM,G$3,1),'Sổ thu chi'!$C$5:$C$1979,"Chi",'Sổ thu chi'!$D$5:$D$1979,$B43))</f>
      </c>
      <c r="H43" s="20">
        <f>IF($B43="",0,SUMIFS('Sổ thu chi'!$I$5:$I$1979,'Sổ thu chi'!$B$5:$B$1979,DATE(NAM,H$3,1),'Sổ thu chi'!$C$5:$C$1979,"Chi",'Sổ thu chi'!$D$5:$D$1979,$B43))</f>
      </c>
      <c r="I43" s="20">
        <f>IF($B43="",0,SUMIFS('Sổ thu chi'!$I$5:$I$1979,'Sổ thu chi'!$B$5:$B$1979,DATE(NAM,I$3,1),'Sổ thu chi'!$C$5:$C$1979,"Chi",'Sổ thu chi'!$D$5:$D$1979,$B43))</f>
      </c>
      <c r="J43" s="20">
        <f>IF($B43="",0,SUMIFS('Sổ thu chi'!$I$5:$I$1979,'Sổ thu chi'!$B$5:$B$1979,DATE(NAM,J$3,1),'Sổ thu chi'!$C$5:$C$1979,"Chi",'Sổ thu chi'!$D$5:$D$1979,$B43))</f>
      </c>
      <c r="K43" s="20">
        <f>IF($B43="",0,SUMIFS('Sổ thu chi'!$I$5:$I$1979,'Sổ thu chi'!$B$5:$B$1979,DATE(NAM,K$3,1),'Sổ thu chi'!$C$5:$C$1979,"Chi",'Sổ thu chi'!$D$5:$D$1979,$B43))</f>
      </c>
      <c r="L43" s="20">
        <f>IF($B43="",0,SUMIFS('Sổ thu chi'!$I$5:$I$1979,'Sổ thu chi'!$B$5:$B$1979,DATE(NAM,L$3,1),'Sổ thu chi'!$C$5:$C$1979,"Chi",'Sổ thu chi'!$D$5:$D$1979,$B43))</f>
      </c>
      <c r="M43" s="20">
        <f>IF($B43="",0,SUMIFS('Sổ thu chi'!$I$5:$I$1979,'Sổ thu chi'!$B$5:$B$1979,DATE(NAM,M$3,1),'Sổ thu chi'!$C$5:$C$1979,"Chi",'Sổ thu chi'!$D$5:$D$1979,$B43))</f>
      </c>
      <c r="N43" s="20">
        <f>IF($B43="",0,SUMIFS('Sổ thu chi'!$I$5:$I$1979,'Sổ thu chi'!$B$5:$B$1979,DATE(NAM,N$3,1),'Sổ thu chi'!$C$5:$C$1979,"Chi",'Sổ thu chi'!$D$5:$D$1979,$B43))</f>
      </c>
      <c r="O43" s="20">
        <f>IF($B43="",0,SUMIFS('Sổ thu chi'!$I$5:$I$1979,'Sổ thu chi'!$B$5:$B$1979,DATE(NAM,O$3,1),'Sổ thu chi'!$C$5:$C$1979,"Chi",'Sổ thu chi'!$D$5:$D$1979,$B43))</f>
      </c>
      <c r="P43" s="21">
        <f t="shared" ref="P43:P83" si="12">SUM(D43:O43)</f>
      </c>
      <c r="Q43" s="22">
        <f t="shared" ref="Q43:Q83" si="13">IFERROR(AVERAGEIF(D43:O43,"&lt;&gt;0"),0)</f>
      </c>
      <c r="R43" s="22">
        <f>IF(N('Danh mục'!E39)&gt;0,'Danh mục'!E39,"")</f>
      </c>
    </row>
    <row r="44" spans="1:18" x14ac:dyDescent="0.3">
      <c r="A44" s="19">
        <v>2</v>
      </c>
      <c r="B44" s="11">
        <f>IF('Danh mục'!A40="","",'Danh mục'!A40)</f>
      </c>
      <c r="C44" s="11">
        <f>'Danh mục'!B40&amp;""</f>
      </c>
      <c r="D44" s="20">
        <f>IF($B44="",0,SUMIFS('Sổ thu chi'!$I$5:$I$1979,'Sổ thu chi'!$B$5:$B$1979,DATE(NAM,D$3,1),'Sổ thu chi'!$C$5:$C$1979,"Chi",'Sổ thu chi'!$D$5:$D$1979,$B44))</f>
      </c>
      <c r="E44" s="20">
        <f>IF($B44="",0,SUMIFS('Sổ thu chi'!$I$5:$I$1979,'Sổ thu chi'!$B$5:$B$1979,DATE(NAM,E$3,1),'Sổ thu chi'!$C$5:$C$1979,"Chi",'Sổ thu chi'!$D$5:$D$1979,$B44))</f>
      </c>
      <c r="F44" s="20">
        <f>IF($B44="",0,SUMIFS('Sổ thu chi'!$I$5:$I$1979,'Sổ thu chi'!$B$5:$B$1979,DATE(NAM,F$3,1),'Sổ thu chi'!$C$5:$C$1979,"Chi",'Sổ thu chi'!$D$5:$D$1979,$B44))</f>
      </c>
      <c r="G44" s="20">
        <f>IF($B44="",0,SUMIFS('Sổ thu chi'!$I$5:$I$1979,'Sổ thu chi'!$B$5:$B$1979,DATE(NAM,G$3,1),'Sổ thu chi'!$C$5:$C$1979,"Chi",'Sổ thu chi'!$D$5:$D$1979,$B44))</f>
      </c>
      <c r="H44" s="20">
        <f>IF($B44="",0,SUMIFS('Sổ thu chi'!$I$5:$I$1979,'Sổ thu chi'!$B$5:$B$1979,DATE(NAM,H$3,1),'Sổ thu chi'!$C$5:$C$1979,"Chi",'Sổ thu chi'!$D$5:$D$1979,$B44))</f>
      </c>
      <c r="I44" s="20">
        <f>IF($B44="",0,SUMIFS('Sổ thu chi'!$I$5:$I$1979,'Sổ thu chi'!$B$5:$B$1979,DATE(NAM,I$3,1),'Sổ thu chi'!$C$5:$C$1979,"Chi",'Sổ thu chi'!$D$5:$D$1979,$B44))</f>
      </c>
      <c r="J44" s="20">
        <f>IF($B44="",0,SUMIFS('Sổ thu chi'!$I$5:$I$1979,'Sổ thu chi'!$B$5:$B$1979,DATE(NAM,J$3,1),'Sổ thu chi'!$C$5:$C$1979,"Chi",'Sổ thu chi'!$D$5:$D$1979,$B44))</f>
      </c>
      <c r="K44" s="20">
        <f>IF($B44="",0,SUMIFS('Sổ thu chi'!$I$5:$I$1979,'Sổ thu chi'!$B$5:$B$1979,DATE(NAM,K$3,1),'Sổ thu chi'!$C$5:$C$1979,"Chi",'Sổ thu chi'!$D$5:$D$1979,$B44))</f>
      </c>
      <c r="L44" s="20">
        <f>IF($B44="",0,SUMIFS('Sổ thu chi'!$I$5:$I$1979,'Sổ thu chi'!$B$5:$B$1979,DATE(NAM,L$3,1),'Sổ thu chi'!$C$5:$C$1979,"Chi",'Sổ thu chi'!$D$5:$D$1979,$B44))</f>
      </c>
      <c r="M44" s="20">
        <f>IF($B44="",0,SUMIFS('Sổ thu chi'!$I$5:$I$1979,'Sổ thu chi'!$B$5:$B$1979,DATE(NAM,M$3,1),'Sổ thu chi'!$C$5:$C$1979,"Chi",'Sổ thu chi'!$D$5:$D$1979,$B44))</f>
      </c>
      <c r="N44" s="20">
        <f>IF($B44="",0,SUMIFS('Sổ thu chi'!$I$5:$I$1979,'Sổ thu chi'!$B$5:$B$1979,DATE(NAM,N$3,1),'Sổ thu chi'!$C$5:$C$1979,"Chi",'Sổ thu chi'!$D$5:$D$1979,$B44))</f>
      </c>
      <c r="O44" s="20">
        <f>IF($B44="",0,SUMIFS('Sổ thu chi'!$I$5:$I$1979,'Sổ thu chi'!$B$5:$B$1979,DATE(NAM,O$3,1),'Sổ thu chi'!$C$5:$C$1979,"Chi",'Sổ thu chi'!$D$5:$D$1979,$B44))</f>
      </c>
      <c r="P44" s="21">
        <f t="shared" si="12"/>
      </c>
      <c r="Q44" s="22">
        <f t="shared" si="13"/>
      </c>
      <c r="R44" s="22">
        <f>IF(N('Danh mục'!E40)&gt;0,'Danh mục'!E40,"")</f>
      </c>
    </row>
    <row r="45" spans="1:18" x14ac:dyDescent="0.3">
      <c r="A45" s="19">
        <v>3</v>
      </c>
      <c r="B45" s="11">
        <f>IF('Danh mục'!A41="","",'Danh mục'!A41)</f>
      </c>
      <c r="C45" s="11">
        <f>'Danh mục'!B41&amp;""</f>
      </c>
      <c r="D45" s="20">
        <f>IF($B45="",0,SUMIFS('Sổ thu chi'!$I$5:$I$1979,'Sổ thu chi'!$B$5:$B$1979,DATE(NAM,D$3,1),'Sổ thu chi'!$C$5:$C$1979,"Chi",'Sổ thu chi'!$D$5:$D$1979,$B45))</f>
      </c>
      <c r="E45" s="20">
        <f>IF($B45="",0,SUMIFS('Sổ thu chi'!$I$5:$I$1979,'Sổ thu chi'!$B$5:$B$1979,DATE(NAM,E$3,1),'Sổ thu chi'!$C$5:$C$1979,"Chi",'Sổ thu chi'!$D$5:$D$1979,$B45))</f>
      </c>
      <c r="F45" s="20">
        <f>IF($B45="",0,SUMIFS('Sổ thu chi'!$I$5:$I$1979,'Sổ thu chi'!$B$5:$B$1979,DATE(NAM,F$3,1),'Sổ thu chi'!$C$5:$C$1979,"Chi",'Sổ thu chi'!$D$5:$D$1979,$B45))</f>
      </c>
      <c r="G45" s="20">
        <f>IF($B45="",0,SUMIFS('Sổ thu chi'!$I$5:$I$1979,'Sổ thu chi'!$B$5:$B$1979,DATE(NAM,G$3,1),'Sổ thu chi'!$C$5:$C$1979,"Chi",'Sổ thu chi'!$D$5:$D$1979,$B45))</f>
      </c>
      <c r="H45" s="20">
        <f>IF($B45="",0,SUMIFS('Sổ thu chi'!$I$5:$I$1979,'Sổ thu chi'!$B$5:$B$1979,DATE(NAM,H$3,1),'Sổ thu chi'!$C$5:$C$1979,"Chi",'Sổ thu chi'!$D$5:$D$1979,$B45))</f>
      </c>
      <c r="I45" s="20">
        <f>IF($B45="",0,SUMIFS('Sổ thu chi'!$I$5:$I$1979,'Sổ thu chi'!$B$5:$B$1979,DATE(NAM,I$3,1),'Sổ thu chi'!$C$5:$C$1979,"Chi",'Sổ thu chi'!$D$5:$D$1979,$B45))</f>
      </c>
      <c r="J45" s="20">
        <f>IF($B45="",0,SUMIFS('Sổ thu chi'!$I$5:$I$1979,'Sổ thu chi'!$B$5:$B$1979,DATE(NAM,J$3,1),'Sổ thu chi'!$C$5:$C$1979,"Chi",'Sổ thu chi'!$D$5:$D$1979,$B45))</f>
      </c>
      <c r="K45" s="20">
        <f>IF($B45="",0,SUMIFS('Sổ thu chi'!$I$5:$I$1979,'Sổ thu chi'!$B$5:$B$1979,DATE(NAM,K$3,1),'Sổ thu chi'!$C$5:$C$1979,"Chi",'Sổ thu chi'!$D$5:$D$1979,$B45))</f>
      </c>
      <c r="L45" s="20">
        <f>IF($B45="",0,SUMIFS('Sổ thu chi'!$I$5:$I$1979,'Sổ thu chi'!$B$5:$B$1979,DATE(NAM,L$3,1),'Sổ thu chi'!$C$5:$C$1979,"Chi",'Sổ thu chi'!$D$5:$D$1979,$B45))</f>
      </c>
      <c r="M45" s="20">
        <f>IF($B45="",0,SUMIFS('Sổ thu chi'!$I$5:$I$1979,'Sổ thu chi'!$B$5:$B$1979,DATE(NAM,M$3,1),'Sổ thu chi'!$C$5:$C$1979,"Chi",'Sổ thu chi'!$D$5:$D$1979,$B45))</f>
      </c>
      <c r="N45" s="20">
        <f>IF($B45="",0,SUMIFS('Sổ thu chi'!$I$5:$I$1979,'Sổ thu chi'!$B$5:$B$1979,DATE(NAM,N$3,1),'Sổ thu chi'!$C$5:$C$1979,"Chi",'Sổ thu chi'!$D$5:$D$1979,$B45))</f>
      </c>
      <c r="O45" s="20">
        <f>IF($B45="",0,SUMIFS('Sổ thu chi'!$I$5:$I$1979,'Sổ thu chi'!$B$5:$B$1979,DATE(NAM,O$3,1),'Sổ thu chi'!$C$5:$C$1979,"Chi",'Sổ thu chi'!$D$5:$D$1979,$B45))</f>
      </c>
      <c r="P45" s="21">
        <f t="shared" si="12"/>
      </c>
      <c r="Q45" s="22">
        <f t="shared" si="13"/>
      </c>
      <c r="R45" s="22">
        <f>IF(N('Danh mục'!E41)&gt;0,'Danh mục'!E41,"")</f>
      </c>
    </row>
    <row r="46" spans="1:18" x14ac:dyDescent="0.3">
      <c r="A46" s="19">
        <v>4</v>
      </c>
      <c r="B46" s="11">
        <f>IF('Danh mục'!A42="","",'Danh mục'!A42)</f>
      </c>
      <c r="C46" s="11">
        <f>'Danh mục'!B42&amp;""</f>
      </c>
      <c r="D46" s="20">
        <f>IF($B46="",0,SUMIFS('Sổ thu chi'!$I$5:$I$1979,'Sổ thu chi'!$B$5:$B$1979,DATE(NAM,D$3,1),'Sổ thu chi'!$C$5:$C$1979,"Chi",'Sổ thu chi'!$D$5:$D$1979,$B46))</f>
      </c>
      <c r="E46" s="20">
        <f>IF($B46="",0,SUMIFS('Sổ thu chi'!$I$5:$I$1979,'Sổ thu chi'!$B$5:$B$1979,DATE(NAM,E$3,1),'Sổ thu chi'!$C$5:$C$1979,"Chi",'Sổ thu chi'!$D$5:$D$1979,$B46))</f>
      </c>
      <c r="F46" s="20">
        <f>IF($B46="",0,SUMIFS('Sổ thu chi'!$I$5:$I$1979,'Sổ thu chi'!$B$5:$B$1979,DATE(NAM,F$3,1),'Sổ thu chi'!$C$5:$C$1979,"Chi",'Sổ thu chi'!$D$5:$D$1979,$B46))</f>
      </c>
      <c r="G46" s="20">
        <f>IF($B46="",0,SUMIFS('Sổ thu chi'!$I$5:$I$1979,'Sổ thu chi'!$B$5:$B$1979,DATE(NAM,G$3,1),'Sổ thu chi'!$C$5:$C$1979,"Chi",'Sổ thu chi'!$D$5:$D$1979,$B46))</f>
      </c>
      <c r="H46" s="20">
        <f>IF($B46="",0,SUMIFS('Sổ thu chi'!$I$5:$I$1979,'Sổ thu chi'!$B$5:$B$1979,DATE(NAM,H$3,1),'Sổ thu chi'!$C$5:$C$1979,"Chi",'Sổ thu chi'!$D$5:$D$1979,$B46))</f>
      </c>
      <c r="I46" s="20">
        <f>IF($B46="",0,SUMIFS('Sổ thu chi'!$I$5:$I$1979,'Sổ thu chi'!$B$5:$B$1979,DATE(NAM,I$3,1),'Sổ thu chi'!$C$5:$C$1979,"Chi",'Sổ thu chi'!$D$5:$D$1979,$B46))</f>
      </c>
      <c r="J46" s="20">
        <f>IF($B46="",0,SUMIFS('Sổ thu chi'!$I$5:$I$1979,'Sổ thu chi'!$B$5:$B$1979,DATE(NAM,J$3,1),'Sổ thu chi'!$C$5:$C$1979,"Chi",'Sổ thu chi'!$D$5:$D$1979,$B46))</f>
      </c>
      <c r="K46" s="20">
        <f>IF($B46="",0,SUMIFS('Sổ thu chi'!$I$5:$I$1979,'Sổ thu chi'!$B$5:$B$1979,DATE(NAM,K$3,1),'Sổ thu chi'!$C$5:$C$1979,"Chi",'Sổ thu chi'!$D$5:$D$1979,$B46))</f>
      </c>
      <c r="L46" s="20">
        <f>IF($B46="",0,SUMIFS('Sổ thu chi'!$I$5:$I$1979,'Sổ thu chi'!$B$5:$B$1979,DATE(NAM,L$3,1),'Sổ thu chi'!$C$5:$C$1979,"Chi",'Sổ thu chi'!$D$5:$D$1979,$B46))</f>
      </c>
      <c r="M46" s="20">
        <f>IF($B46="",0,SUMIFS('Sổ thu chi'!$I$5:$I$1979,'Sổ thu chi'!$B$5:$B$1979,DATE(NAM,M$3,1),'Sổ thu chi'!$C$5:$C$1979,"Chi",'Sổ thu chi'!$D$5:$D$1979,$B46))</f>
      </c>
      <c r="N46" s="20">
        <f>IF($B46="",0,SUMIFS('Sổ thu chi'!$I$5:$I$1979,'Sổ thu chi'!$B$5:$B$1979,DATE(NAM,N$3,1),'Sổ thu chi'!$C$5:$C$1979,"Chi",'Sổ thu chi'!$D$5:$D$1979,$B46))</f>
      </c>
      <c r="O46" s="20">
        <f>IF($B46="",0,SUMIFS('Sổ thu chi'!$I$5:$I$1979,'Sổ thu chi'!$B$5:$B$1979,DATE(NAM,O$3,1),'Sổ thu chi'!$C$5:$C$1979,"Chi",'Sổ thu chi'!$D$5:$D$1979,$B46))</f>
      </c>
      <c r="P46" s="21">
        <f t="shared" si="12"/>
      </c>
      <c r="Q46" s="22">
        <f t="shared" si="13"/>
      </c>
      <c r="R46" s="22">
        <f>IF(N('Danh mục'!E42)&gt;0,'Danh mục'!E42,"")</f>
      </c>
    </row>
    <row r="47" spans="1:18" x14ac:dyDescent="0.3">
      <c r="A47" s="19">
        <v>5</v>
      </c>
      <c r="B47" s="11">
        <f>IF('Danh mục'!A43="","",'Danh mục'!A43)</f>
      </c>
      <c r="C47" s="11">
        <f>'Danh mục'!B43&amp;""</f>
      </c>
      <c r="D47" s="20">
        <f>IF($B47="",0,SUMIFS('Sổ thu chi'!$I$5:$I$1979,'Sổ thu chi'!$B$5:$B$1979,DATE(NAM,D$3,1),'Sổ thu chi'!$C$5:$C$1979,"Chi",'Sổ thu chi'!$D$5:$D$1979,$B47))</f>
      </c>
      <c r="E47" s="20">
        <f>IF($B47="",0,SUMIFS('Sổ thu chi'!$I$5:$I$1979,'Sổ thu chi'!$B$5:$B$1979,DATE(NAM,E$3,1),'Sổ thu chi'!$C$5:$C$1979,"Chi",'Sổ thu chi'!$D$5:$D$1979,$B47))</f>
      </c>
      <c r="F47" s="20">
        <f>IF($B47="",0,SUMIFS('Sổ thu chi'!$I$5:$I$1979,'Sổ thu chi'!$B$5:$B$1979,DATE(NAM,F$3,1),'Sổ thu chi'!$C$5:$C$1979,"Chi",'Sổ thu chi'!$D$5:$D$1979,$B47))</f>
      </c>
      <c r="G47" s="20">
        <f>IF($B47="",0,SUMIFS('Sổ thu chi'!$I$5:$I$1979,'Sổ thu chi'!$B$5:$B$1979,DATE(NAM,G$3,1),'Sổ thu chi'!$C$5:$C$1979,"Chi",'Sổ thu chi'!$D$5:$D$1979,$B47))</f>
      </c>
      <c r="H47" s="20">
        <f>IF($B47="",0,SUMIFS('Sổ thu chi'!$I$5:$I$1979,'Sổ thu chi'!$B$5:$B$1979,DATE(NAM,H$3,1),'Sổ thu chi'!$C$5:$C$1979,"Chi",'Sổ thu chi'!$D$5:$D$1979,$B47))</f>
      </c>
      <c r="I47" s="20">
        <f>IF($B47="",0,SUMIFS('Sổ thu chi'!$I$5:$I$1979,'Sổ thu chi'!$B$5:$B$1979,DATE(NAM,I$3,1),'Sổ thu chi'!$C$5:$C$1979,"Chi",'Sổ thu chi'!$D$5:$D$1979,$B47))</f>
      </c>
      <c r="J47" s="20">
        <f>IF($B47="",0,SUMIFS('Sổ thu chi'!$I$5:$I$1979,'Sổ thu chi'!$B$5:$B$1979,DATE(NAM,J$3,1),'Sổ thu chi'!$C$5:$C$1979,"Chi",'Sổ thu chi'!$D$5:$D$1979,$B47))</f>
      </c>
      <c r="K47" s="20">
        <f>IF($B47="",0,SUMIFS('Sổ thu chi'!$I$5:$I$1979,'Sổ thu chi'!$B$5:$B$1979,DATE(NAM,K$3,1),'Sổ thu chi'!$C$5:$C$1979,"Chi",'Sổ thu chi'!$D$5:$D$1979,$B47))</f>
      </c>
      <c r="L47" s="20">
        <f>IF($B47="",0,SUMIFS('Sổ thu chi'!$I$5:$I$1979,'Sổ thu chi'!$B$5:$B$1979,DATE(NAM,L$3,1),'Sổ thu chi'!$C$5:$C$1979,"Chi",'Sổ thu chi'!$D$5:$D$1979,$B47))</f>
      </c>
      <c r="M47" s="20">
        <f>IF($B47="",0,SUMIFS('Sổ thu chi'!$I$5:$I$1979,'Sổ thu chi'!$B$5:$B$1979,DATE(NAM,M$3,1),'Sổ thu chi'!$C$5:$C$1979,"Chi",'Sổ thu chi'!$D$5:$D$1979,$B47))</f>
      </c>
      <c r="N47" s="20">
        <f>IF($B47="",0,SUMIFS('Sổ thu chi'!$I$5:$I$1979,'Sổ thu chi'!$B$5:$B$1979,DATE(NAM,N$3,1),'Sổ thu chi'!$C$5:$C$1979,"Chi",'Sổ thu chi'!$D$5:$D$1979,$B47))</f>
      </c>
      <c r="O47" s="20">
        <f>IF($B47="",0,SUMIFS('Sổ thu chi'!$I$5:$I$1979,'Sổ thu chi'!$B$5:$B$1979,DATE(NAM,O$3,1),'Sổ thu chi'!$C$5:$C$1979,"Chi",'Sổ thu chi'!$D$5:$D$1979,$B47))</f>
      </c>
      <c r="P47" s="21">
        <f t="shared" si="12"/>
      </c>
      <c r="Q47" s="22">
        <f t="shared" si="13"/>
      </c>
      <c r="R47" s="22">
        <f>IF(N('Danh mục'!E43)&gt;0,'Danh mục'!E43,"")</f>
      </c>
    </row>
    <row r="48" spans="1:18" x14ac:dyDescent="0.3">
      <c r="A48" s="19">
        <v>6</v>
      </c>
      <c r="B48" s="11">
        <f>IF('Danh mục'!A44="","",'Danh mục'!A44)</f>
      </c>
      <c r="C48" s="11">
        <f>'Danh mục'!B44&amp;""</f>
      </c>
      <c r="D48" s="20">
        <f>IF($B48="",0,SUMIFS('Sổ thu chi'!$I$5:$I$1979,'Sổ thu chi'!$B$5:$B$1979,DATE(NAM,D$3,1),'Sổ thu chi'!$C$5:$C$1979,"Chi",'Sổ thu chi'!$D$5:$D$1979,$B48))</f>
      </c>
      <c r="E48" s="20">
        <f>IF($B48="",0,SUMIFS('Sổ thu chi'!$I$5:$I$1979,'Sổ thu chi'!$B$5:$B$1979,DATE(NAM,E$3,1),'Sổ thu chi'!$C$5:$C$1979,"Chi",'Sổ thu chi'!$D$5:$D$1979,$B48))</f>
      </c>
      <c r="F48" s="20">
        <f>IF($B48="",0,SUMIFS('Sổ thu chi'!$I$5:$I$1979,'Sổ thu chi'!$B$5:$B$1979,DATE(NAM,F$3,1),'Sổ thu chi'!$C$5:$C$1979,"Chi",'Sổ thu chi'!$D$5:$D$1979,$B48))</f>
      </c>
      <c r="G48" s="20">
        <f>IF($B48="",0,SUMIFS('Sổ thu chi'!$I$5:$I$1979,'Sổ thu chi'!$B$5:$B$1979,DATE(NAM,G$3,1),'Sổ thu chi'!$C$5:$C$1979,"Chi",'Sổ thu chi'!$D$5:$D$1979,$B48))</f>
      </c>
      <c r="H48" s="20">
        <f>IF($B48="",0,SUMIFS('Sổ thu chi'!$I$5:$I$1979,'Sổ thu chi'!$B$5:$B$1979,DATE(NAM,H$3,1),'Sổ thu chi'!$C$5:$C$1979,"Chi",'Sổ thu chi'!$D$5:$D$1979,$B48))</f>
      </c>
      <c r="I48" s="20">
        <f>IF($B48="",0,SUMIFS('Sổ thu chi'!$I$5:$I$1979,'Sổ thu chi'!$B$5:$B$1979,DATE(NAM,I$3,1),'Sổ thu chi'!$C$5:$C$1979,"Chi",'Sổ thu chi'!$D$5:$D$1979,$B48))</f>
      </c>
      <c r="J48" s="20">
        <f>IF($B48="",0,SUMIFS('Sổ thu chi'!$I$5:$I$1979,'Sổ thu chi'!$B$5:$B$1979,DATE(NAM,J$3,1),'Sổ thu chi'!$C$5:$C$1979,"Chi",'Sổ thu chi'!$D$5:$D$1979,$B48))</f>
      </c>
      <c r="K48" s="20">
        <f>IF($B48="",0,SUMIFS('Sổ thu chi'!$I$5:$I$1979,'Sổ thu chi'!$B$5:$B$1979,DATE(NAM,K$3,1),'Sổ thu chi'!$C$5:$C$1979,"Chi",'Sổ thu chi'!$D$5:$D$1979,$B48))</f>
      </c>
      <c r="L48" s="20">
        <f>IF($B48="",0,SUMIFS('Sổ thu chi'!$I$5:$I$1979,'Sổ thu chi'!$B$5:$B$1979,DATE(NAM,L$3,1),'Sổ thu chi'!$C$5:$C$1979,"Chi",'Sổ thu chi'!$D$5:$D$1979,$B48))</f>
      </c>
      <c r="M48" s="20">
        <f>IF($B48="",0,SUMIFS('Sổ thu chi'!$I$5:$I$1979,'Sổ thu chi'!$B$5:$B$1979,DATE(NAM,M$3,1),'Sổ thu chi'!$C$5:$C$1979,"Chi",'Sổ thu chi'!$D$5:$D$1979,$B48))</f>
      </c>
      <c r="N48" s="20">
        <f>IF($B48="",0,SUMIFS('Sổ thu chi'!$I$5:$I$1979,'Sổ thu chi'!$B$5:$B$1979,DATE(NAM,N$3,1),'Sổ thu chi'!$C$5:$C$1979,"Chi",'Sổ thu chi'!$D$5:$D$1979,$B48))</f>
      </c>
      <c r="O48" s="20">
        <f>IF($B48="",0,SUMIFS('Sổ thu chi'!$I$5:$I$1979,'Sổ thu chi'!$B$5:$B$1979,DATE(NAM,O$3,1),'Sổ thu chi'!$C$5:$C$1979,"Chi",'Sổ thu chi'!$D$5:$D$1979,$B48))</f>
      </c>
      <c r="P48" s="21">
        <f t="shared" si="12"/>
      </c>
      <c r="Q48" s="22">
        <f t="shared" si="13"/>
      </c>
      <c r="R48" s="22">
        <f>IF(N('Danh mục'!E44)&gt;0,'Danh mục'!E44,"")</f>
      </c>
    </row>
    <row r="49" spans="1:18" x14ac:dyDescent="0.3">
      <c r="A49" s="19">
        <v>7</v>
      </c>
      <c r="B49" s="11">
        <f>IF('Danh mục'!A45="","",'Danh mục'!A45)</f>
      </c>
      <c r="C49" s="11">
        <f>'Danh mục'!B45&amp;""</f>
      </c>
      <c r="D49" s="20">
        <f>IF($B49="",0,SUMIFS('Sổ thu chi'!$I$5:$I$1979,'Sổ thu chi'!$B$5:$B$1979,DATE(NAM,D$3,1),'Sổ thu chi'!$C$5:$C$1979,"Chi",'Sổ thu chi'!$D$5:$D$1979,$B49))</f>
      </c>
      <c r="E49" s="20">
        <f>IF($B49="",0,SUMIFS('Sổ thu chi'!$I$5:$I$1979,'Sổ thu chi'!$B$5:$B$1979,DATE(NAM,E$3,1),'Sổ thu chi'!$C$5:$C$1979,"Chi",'Sổ thu chi'!$D$5:$D$1979,$B49))</f>
      </c>
      <c r="F49" s="20">
        <f>IF($B49="",0,SUMIFS('Sổ thu chi'!$I$5:$I$1979,'Sổ thu chi'!$B$5:$B$1979,DATE(NAM,F$3,1),'Sổ thu chi'!$C$5:$C$1979,"Chi",'Sổ thu chi'!$D$5:$D$1979,$B49))</f>
      </c>
      <c r="G49" s="20">
        <f>IF($B49="",0,SUMIFS('Sổ thu chi'!$I$5:$I$1979,'Sổ thu chi'!$B$5:$B$1979,DATE(NAM,G$3,1),'Sổ thu chi'!$C$5:$C$1979,"Chi",'Sổ thu chi'!$D$5:$D$1979,$B49))</f>
      </c>
      <c r="H49" s="20">
        <f>IF($B49="",0,SUMIFS('Sổ thu chi'!$I$5:$I$1979,'Sổ thu chi'!$B$5:$B$1979,DATE(NAM,H$3,1),'Sổ thu chi'!$C$5:$C$1979,"Chi",'Sổ thu chi'!$D$5:$D$1979,$B49))</f>
      </c>
      <c r="I49" s="20">
        <f>IF($B49="",0,SUMIFS('Sổ thu chi'!$I$5:$I$1979,'Sổ thu chi'!$B$5:$B$1979,DATE(NAM,I$3,1),'Sổ thu chi'!$C$5:$C$1979,"Chi",'Sổ thu chi'!$D$5:$D$1979,$B49))</f>
      </c>
      <c r="J49" s="20">
        <f>IF($B49="",0,SUMIFS('Sổ thu chi'!$I$5:$I$1979,'Sổ thu chi'!$B$5:$B$1979,DATE(NAM,J$3,1),'Sổ thu chi'!$C$5:$C$1979,"Chi",'Sổ thu chi'!$D$5:$D$1979,$B49))</f>
      </c>
      <c r="K49" s="20">
        <f>IF($B49="",0,SUMIFS('Sổ thu chi'!$I$5:$I$1979,'Sổ thu chi'!$B$5:$B$1979,DATE(NAM,K$3,1),'Sổ thu chi'!$C$5:$C$1979,"Chi",'Sổ thu chi'!$D$5:$D$1979,$B49))</f>
      </c>
      <c r="L49" s="20">
        <f>IF($B49="",0,SUMIFS('Sổ thu chi'!$I$5:$I$1979,'Sổ thu chi'!$B$5:$B$1979,DATE(NAM,L$3,1),'Sổ thu chi'!$C$5:$C$1979,"Chi",'Sổ thu chi'!$D$5:$D$1979,$B49))</f>
      </c>
      <c r="M49" s="20">
        <f>IF($B49="",0,SUMIFS('Sổ thu chi'!$I$5:$I$1979,'Sổ thu chi'!$B$5:$B$1979,DATE(NAM,M$3,1),'Sổ thu chi'!$C$5:$C$1979,"Chi",'Sổ thu chi'!$D$5:$D$1979,$B49))</f>
      </c>
      <c r="N49" s="20">
        <f>IF($B49="",0,SUMIFS('Sổ thu chi'!$I$5:$I$1979,'Sổ thu chi'!$B$5:$B$1979,DATE(NAM,N$3,1),'Sổ thu chi'!$C$5:$C$1979,"Chi",'Sổ thu chi'!$D$5:$D$1979,$B49))</f>
      </c>
      <c r="O49" s="20">
        <f>IF($B49="",0,SUMIFS('Sổ thu chi'!$I$5:$I$1979,'Sổ thu chi'!$B$5:$B$1979,DATE(NAM,O$3,1),'Sổ thu chi'!$C$5:$C$1979,"Chi",'Sổ thu chi'!$D$5:$D$1979,$B49))</f>
      </c>
      <c r="P49" s="21">
        <f t="shared" si="12"/>
      </c>
      <c r="Q49" s="22">
        <f t="shared" si="13"/>
      </c>
      <c r="R49" s="22">
        <f>IF(N('Danh mục'!E45)&gt;0,'Danh mục'!E45,"")</f>
      </c>
    </row>
    <row r="50" spans="1:18" x14ac:dyDescent="0.3">
      <c r="A50" s="19">
        <v>8</v>
      </c>
      <c r="B50" s="11">
        <f>IF('Danh mục'!A46="","",'Danh mục'!A46)</f>
      </c>
      <c r="C50" s="11">
        <f>'Danh mục'!B46&amp;""</f>
      </c>
      <c r="D50" s="20">
        <f>IF($B50="",0,SUMIFS('Sổ thu chi'!$I$5:$I$1979,'Sổ thu chi'!$B$5:$B$1979,DATE(NAM,D$3,1),'Sổ thu chi'!$C$5:$C$1979,"Chi",'Sổ thu chi'!$D$5:$D$1979,$B50))</f>
      </c>
      <c r="E50" s="20">
        <f>IF($B50="",0,SUMIFS('Sổ thu chi'!$I$5:$I$1979,'Sổ thu chi'!$B$5:$B$1979,DATE(NAM,E$3,1),'Sổ thu chi'!$C$5:$C$1979,"Chi",'Sổ thu chi'!$D$5:$D$1979,$B50))</f>
      </c>
      <c r="F50" s="20">
        <f>IF($B50="",0,SUMIFS('Sổ thu chi'!$I$5:$I$1979,'Sổ thu chi'!$B$5:$B$1979,DATE(NAM,F$3,1),'Sổ thu chi'!$C$5:$C$1979,"Chi",'Sổ thu chi'!$D$5:$D$1979,$B50))</f>
      </c>
      <c r="G50" s="20">
        <f>IF($B50="",0,SUMIFS('Sổ thu chi'!$I$5:$I$1979,'Sổ thu chi'!$B$5:$B$1979,DATE(NAM,G$3,1),'Sổ thu chi'!$C$5:$C$1979,"Chi",'Sổ thu chi'!$D$5:$D$1979,$B50))</f>
      </c>
      <c r="H50" s="20">
        <f>IF($B50="",0,SUMIFS('Sổ thu chi'!$I$5:$I$1979,'Sổ thu chi'!$B$5:$B$1979,DATE(NAM,H$3,1),'Sổ thu chi'!$C$5:$C$1979,"Chi",'Sổ thu chi'!$D$5:$D$1979,$B50))</f>
      </c>
      <c r="I50" s="20">
        <f>IF($B50="",0,SUMIFS('Sổ thu chi'!$I$5:$I$1979,'Sổ thu chi'!$B$5:$B$1979,DATE(NAM,I$3,1),'Sổ thu chi'!$C$5:$C$1979,"Chi",'Sổ thu chi'!$D$5:$D$1979,$B50))</f>
      </c>
      <c r="J50" s="20">
        <f>IF($B50="",0,SUMIFS('Sổ thu chi'!$I$5:$I$1979,'Sổ thu chi'!$B$5:$B$1979,DATE(NAM,J$3,1),'Sổ thu chi'!$C$5:$C$1979,"Chi",'Sổ thu chi'!$D$5:$D$1979,$B50))</f>
      </c>
      <c r="K50" s="20">
        <f>IF($B50="",0,SUMIFS('Sổ thu chi'!$I$5:$I$1979,'Sổ thu chi'!$B$5:$B$1979,DATE(NAM,K$3,1),'Sổ thu chi'!$C$5:$C$1979,"Chi",'Sổ thu chi'!$D$5:$D$1979,$B50))</f>
      </c>
      <c r="L50" s="20">
        <f>IF($B50="",0,SUMIFS('Sổ thu chi'!$I$5:$I$1979,'Sổ thu chi'!$B$5:$B$1979,DATE(NAM,L$3,1),'Sổ thu chi'!$C$5:$C$1979,"Chi",'Sổ thu chi'!$D$5:$D$1979,$B50))</f>
      </c>
      <c r="M50" s="20">
        <f>IF($B50="",0,SUMIFS('Sổ thu chi'!$I$5:$I$1979,'Sổ thu chi'!$B$5:$B$1979,DATE(NAM,M$3,1),'Sổ thu chi'!$C$5:$C$1979,"Chi",'Sổ thu chi'!$D$5:$D$1979,$B50))</f>
      </c>
      <c r="N50" s="20">
        <f>IF($B50="",0,SUMIFS('Sổ thu chi'!$I$5:$I$1979,'Sổ thu chi'!$B$5:$B$1979,DATE(NAM,N$3,1),'Sổ thu chi'!$C$5:$C$1979,"Chi",'Sổ thu chi'!$D$5:$D$1979,$B50))</f>
      </c>
      <c r="O50" s="20">
        <f>IF($B50="",0,SUMIFS('Sổ thu chi'!$I$5:$I$1979,'Sổ thu chi'!$B$5:$B$1979,DATE(NAM,O$3,1),'Sổ thu chi'!$C$5:$C$1979,"Chi",'Sổ thu chi'!$D$5:$D$1979,$B50))</f>
      </c>
      <c r="P50" s="21">
        <f t="shared" si="12"/>
      </c>
      <c r="Q50" s="22">
        <f t="shared" si="13"/>
      </c>
      <c r="R50" s="22">
        <f>IF(N('Danh mục'!E46)&gt;0,'Danh mục'!E46,"")</f>
      </c>
    </row>
    <row r="51" spans="1:18" x14ac:dyDescent="0.3">
      <c r="A51" s="19">
        <v>9</v>
      </c>
      <c r="B51" s="11">
        <f>IF('Danh mục'!A47="","",'Danh mục'!A47)</f>
      </c>
      <c r="C51" s="11">
        <f>'Danh mục'!B47&amp;""</f>
      </c>
      <c r="D51" s="20">
        <f>IF($B51="",0,SUMIFS('Sổ thu chi'!$I$5:$I$1979,'Sổ thu chi'!$B$5:$B$1979,DATE(NAM,D$3,1),'Sổ thu chi'!$C$5:$C$1979,"Chi",'Sổ thu chi'!$D$5:$D$1979,$B51))</f>
      </c>
      <c r="E51" s="20">
        <f>IF($B51="",0,SUMIFS('Sổ thu chi'!$I$5:$I$1979,'Sổ thu chi'!$B$5:$B$1979,DATE(NAM,E$3,1),'Sổ thu chi'!$C$5:$C$1979,"Chi",'Sổ thu chi'!$D$5:$D$1979,$B51))</f>
      </c>
      <c r="F51" s="20">
        <f>IF($B51="",0,SUMIFS('Sổ thu chi'!$I$5:$I$1979,'Sổ thu chi'!$B$5:$B$1979,DATE(NAM,F$3,1),'Sổ thu chi'!$C$5:$C$1979,"Chi",'Sổ thu chi'!$D$5:$D$1979,$B51))</f>
      </c>
      <c r="G51" s="20">
        <f>IF($B51="",0,SUMIFS('Sổ thu chi'!$I$5:$I$1979,'Sổ thu chi'!$B$5:$B$1979,DATE(NAM,G$3,1),'Sổ thu chi'!$C$5:$C$1979,"Chi",'Sổ thu chi'!$D$5:$D$1979,$B51))</f>
      </c>
      <c r="H51" s="20">
        <f>IF($B51="",0,SUMIFS('Sổ thu chi'!$I$5:$I$1979,'Sổ thu chi'!$B$5:$B$1979,DATE(NAM,H$3,1),'Sổ thu chi'!$C$5:$C$1979,"Chi",'Sổ thu chi'!$D$5:$D$1979,$B51))</f>
      </c>
      <c r="I51" s="20">
        <f>IF($B51="",0,SUMIFS('Sổ thu chi'!$I$5:$I$1979,'Sổ thu chi'!$B$5:$B$1979,DATE(NAM,I$3,1),'Sổ thu chi'!$C$5:$C$1979,"Chi",'Sổ thu chi'!$D$5:$D$1979,$B51))</f>
      </c>
      <c r="J51" s="20">
        <f>IF($B51="",0,SUMIFS('Sổ thu chi'!$I$5:$I$1979,'Sổ thu chi'!$B$5:$B$1979,DATE(NAM,J$3,1),'Sổ thu chi'!$C$5:$C$1979,"Chi",'Sổ thu chi'!$D$5:$D$1979,$B51))</f>
      </c>
      <c r="K51" s="20">
        <f>IF($B51="",0,SUMIFS('Sổ thu chi'!$I$5:$I$1979,'Sổ thu chi'!$B$5:$B$1979,DATE(NAM,K$3,1),'Sổ thu chi'!$C$5:$C$1979,"Chi",'Sổ thu chi'!$D$5:$D$1979,$B51))</f>
      </c>
      <c r="L51" s="20">
        <f>IF($B51="",0,SUMIFS('Sổ thu chi'!$I$5:$I$1979,'Sổ thu chi'!$B$5:$B$1979,DATE(NAM,L$3,1),'Sổ thu chi'!$C$5:$C$1979,"Chi",'Sổ thu chi'!$D$5:$D$1979,$B51))</f>
      </c>
      <c r="M51" s="20">
        <f>IF($B51="",0,SUMIFS('Sổ thu chi'!$I$5:$I$1979,'Sổ thu chi'!$B$5:$B$1979,DATE(NAM,M$3,1),'Sổ thu chi'!$C$5:$C$1979,"Chi",'Sổ thu chi'!$D$5:$D$1979,$B51))</f>
      </c>
      <c r="N51" s="20">
        <f>IF($B51="",0,SUMIFS('Sổ thu chi'!$I$5:$I$1979,'Sổ thu chi'!$B$5:$B$1979,DATE(NAM,N$3,1),'Sổ thu chi'!$C$5:$C$1979,"Chi",'Sổ thu chi'!$D$5:$D$1979,$B51))</f>
      </c>
      <c r="O51" s="20">
        <f>IF($B51="",0,SUMIFS('Sổ thu chi'!$I$5:$I$1979,'Sổ thu chi'!$B$5:$B$1979,DATE(NAM,O$3,1),'Sổ thu chi'!$C$5:$C$1979,"Chi",'Sổ thu chi'!$D$5:$D$1979,$B51))</f>
      </c>
      <c r="P51" s="21">
        <f t="shared" si="12"/>
      </c>
      <c r="Q51" s="22">
        <f t="shared" si="13"/>
      </c>
      <c r="R51" s="22">
        <f>IF(N('Danh mục'!E47)&gt;0,'Danh mục'!E47,"")</f>
      </c>
    </row>
    <row r="52" spans="1:18" x14ac:dyDescent="0.3">
      <c r="A52" s="19">
        <v>10</v>
      </c>
      <c r="B52" s="11">
        <f>IF('Danh mục'!A48="","",'Danh mục'!A48)</f>
      </c>
      <c r="C52" s="11">
        <f>'Danh mục'!B48&amp;""</f>
      </c>
      <c r="D52" s="20">
        <f>IF($B52="",0,SUMIFS('Sổ thu chi'!$I$5:$I$1979,'Sổ thu chi'!$B$5:$B$1979,DATE(NAM,D$3,1),'Sổ thu chi'!$C$5:$C$1979,"Chi",'Sổ thu chi'!$D$5:$D$1979,$B52))</f>
      </c>
      <c r="E52" s="20">
        <f>IF($B52="",0,SUMIFS('Sổ thu chi'!$I$5:$I$1979,'Sổ thu chi'!$B$5:$B$1979,DATE(NAM,E$3,1),'Sổ thu chi'!$C$5:$C$1979,"Chi",'Sổ thu chi'!$D$5:$D$1979,$B52))</f>
      </c>
      <c r="F52" s="20">
        <f>IF($B52="",0,SUMIFS('Sổ thu chi'!$I$5:$I$1979,'Sổ thu chi'!$B$5:$B$1979,DATE(NAM,F$3,1),'Sổ thu chi'!$C$5:$C$1979,"Chi",'Sổ thu chi'!$D$5:$D$1979,$B52))</f>
      </c>
      <c r="G52" s="20">
        <f>IF($B52="",0,SUMIFS('Sổ thu chi'!$I$5:$I$1979,'Sổ thu chi'!$B$5:$B$1979,DATE(NAM,G$3,1),'Sổ thu chi'!$C$5:$C$1979,"Chi",'Sổ thu chi'!$D$5:$D$1979,$B52))</f>
      </c>
      <c r="H52" s="20">
        <f>IF($B52="",0,SUMIFS('Sổ thu chi'!$I$5:$I$1979,'Sổ thu chi'!$B$5:$B$1979,DATE(NAM,H$3,1),'Sổ thu chi'!$C$5:$C$1979,"Chi",'Sổ thu chi'!$D$5:$D$1979,$B52))</f>
      </c>
      <c r="I52" s="20">
        <f>IF($B52="",0,SUMIFS('Sổ thu chi'!$I$5:$I$1979,'Sổ thu chi'!$B$5:$B$1979,DATE(NAM,I$3,1),'Sổ thu chi'!$C$5:$C$1979,"Chi",'Sổ thu chi'!$D$5:$D$1979,$B52))</f>
      </c>
      <c r="J52" s="20">
        <f>IF($B52="",0,SUMIFS('Sổ thu chi'!$I$5:$I$1979,'Sổ thu chi'!$B$5:$B$1979,DATE(NAM,J$3,1),'Sổ thu chi'!$C$5:$C$1979,"Chi",'Sổ thu chi'!$D$5:$D$1979,$B52))</f>
      </c>
      <c r="K52" s="20">
        <f>IF($B52="",0,SUMIFS('Sổ thu chi'!$I$5:$I$1979,'Sổ thu chi'!$B$5:$B$1979,DATE(NAM,K$3,1),'Sổ thu chi'!$C$5:$C$1979,"Chi",'Sổ thu chi'!$D$5:$D$1979,$B52))</f>
      </c>
      <c r="L52" s="20">
        <f>IF($B52="",0,SUMIFS('Sổ thu chi'!$I$5:$I$1979,'Sổ thu chi'!$B$5:$B$1979,DATE(NAM,L$3,1),'Sổ thu chi'!$C$5:$C$1979,"Chi",'Sổ thu chi'!$D$5:$D$1979,$B52))</f>
      </c>
      <c r="M52" s="20">
        <f>IF($B52="",0,SUMIFS('Sổ thu chi'!$I$5:$I$1979,'Sổ thu chi'!$B$5:$B$1979,DATE(NAM,M$3,1),'Sổ thu chi'!$C$5:$C$1979,"Chi",'Sổ thu chi'!$D$5:$D$1979,$B52))</f>
      </c>
      <c r="N52" s="20">
        <f>IF($B52="",0,SUMIFS('Sổ thu chi'!$I$5:$I$1979,'Sổ thu chi'!$B$5:$B$1979,DATE(NAM,N$3,1),'Sổ thu chi'!$C$5:$C$1979,"Chi",'Sổ thu chi'!$D$5:$D$1979,$B52))</f>
      </c>
      <c r="O52" s="20">
        <f>IF($B52="",0,SUMIFS('Sổ thu chi'!$I$5:$I$1979,'Sổ thu chi'!$B$5:$B$1979,DATE(NAM,O$3,1),'Sổ thu chi'!$C$5:$C$1979,"Chi",'Sổ thu chi'!$D$5:$D$1979,$B52))</f>
      </c>
      <c r="P52" s="21">
        <f t="shared" si="12"/>
      </c>
      <c r="Q52" s="22">
        <f t="shared" si="13"/>
      </c>
      <c r="R52" s="22">
        <f>IF(N('Danh mục'!E48)&gt;0,'Danh mục'!E48,"")</f>
      </c>
    </row>
    <row r="53" spans="1:18" x14ac:dyDescent="0.3">
      <c r="A53" s="19">
        <v>11</v>
      </c>
      <c r="B53" s="11">
        <f>IF('Danh mục'!A49="","",'Danh mục'!A49)</f>
      </c>
      <c r="C53" s="11">
        <f>'Danh mục'!B49&amp;""</f>
      </c>
      <c r="D53" s="20">
        <f>IF($B53="",0,SUMIFS('Sổ thu chi'!$I$5:$I$1979,'Sổ thu chi'!$B$5:$B$1979,DATE(NAM,D$3,1),'Sổ thu chi'!$C$5:$C$1979,"Chi",'Sổ thu chi'!$D$5:$D$1979,$B53))</f>
      </c>
      <c r="E53" s="20">
        <f>IF($B53="",0,SUMIFS('Sổ thu chi'!$I$5:$I$1979,'Sổ thu chi'!$B$5:$B$1979,DATE(NAM,E$3,1),'Sổ thu chi'!$C$5:$C$1979,"Chi",'Sổ thu chi'!$D$5:$D$1979,$B53))</f>
      </c>
      <c r="F53" s="20">
        <f>IF($B53="",0,SUMIFS('Sổ thu chi'!$I$5:$I$1979,'Sổ thu chi'!$B$5:$B$1979,DATE(NAM,F$3,1),'Sổ thu chi'!$C$5:$C$1979,"Chi",'Sổ thu chi'!$D$5:$D$1979,$B53))</f>
      </c>
      <c r="G53" s="20">
        <f>IF($B53="",0,SUMIFS('Sổ thu chi'!$I$5:$I$1979,'Sổ thu chi'!$B$5:$B$1979,DATE(NAM,G$3,1),'Sổ thu chi'!$C$5:$C$1979,"Chi",'Sổ thu chi'!$D$5:$D$1979,$B53))</f>
      </c>
      <c r="H53" s="20">
        <f>IF($B53="",0,SUMIFS('Sổ thu chi'!$I$5:$I$1979,'Sổ thu chi'!$B$5:$B$1979,DATE(NAM,H$3,1),'Sổ thu chi'!$C$5:$C$1979,"Chi",'Sổ thu chi'!$D$5:$D$1979,$B53))</f>
      </c>
      <c r="I53" s="20">
        <f>IF($B53="",0,SUMIFS('Sổ thu chi'!$I$5:$I$1979,'Sổ thu chi'!$B$5:$B$1979,DATE(NAM,I$3,1),'Sổ thu chi'!$C$5:$C$1979,"Chi",'Sổ thu chi'!$D$5:$D$1979,$B53))</f>
      </c>
      <c r="J53" s="20">
        <f>IF($B53="",0,SUMIFS('Sổ thu chi'!$I$5:$I$1979,'Sổ thu chi'!$B$5:$B$1979,DATE(NAM,J$3,1),'Sổ thu chi'!$C$5:$C$1979,"Chi",'Sổ thu chi'!$D$5:$D$1979,$B53))</f>
      </c>
      <c r="K53" s="20">
        <f>IF($B53="",0,SUMIFS('Sổ thu chi'!$I$5:$I$1979,'Sổ thu chi'!$B$5:$B$1979,DATE(NAM,K$3,1),'Sổ thu chi'!$C$5:$C$1979,"Chi",'Sổ thu chi'!$D$5:$D$1979,$B53))</f>
      </c>
      <c r="L53" s="20">
        <f>IF($B53="",0,SUMIFS('Sổ thu chi'!$I$5:$I$1979,'Sổ thu chi'!$B$5:$B$1979,DATE(NAM,L$3,1),'Sổ thu chi'!$C$5:$C$1979,"Chi",'Sổ thu chi'!$D$5:$D$1979,$B53))</f>
      </c>
      <c r="M53" s="20">
        <f>IF($B53="",0,SUMIFS('Sổ thu chi'!$I$5:$I$1979,'Sổ thu chi'!$B$5:$B$1979,DATE(NAM,M$3,1),'Sổ thu chi'!$C$5:$C$1979,"Chi",'Sổ thu chi'!$D$5:$D$1979,$B53))</f>
      </c>
      <c r="N53" s="20">
        <f>IF($B53="",0,SUMIFS('Sổ thu chi'!$I$5:$I$1979,'Sổ thu chi'!$B$5:$B$1979,DATE(NAM,N$3,1),'Sổ thu chi'!$C$5:$C$1979,"Chi",'Sổ thu chi'!$D$5:$D$1979,$B53))</f>
      </c>
      <c r="O53" s="20">
        <f>IF($B53="",0,SUMIFS('Sổ thu chi'!$I$5:$I$1979,'Sổ thu chi'!$B$5:$B$1979,DATE(NAM,O$3,1),'Sổ thu chi'!$C$5:$C$1979,"Chi",'Sổ thu chi'!$D$5:$D$1979,$B53))</f>
      </c>
      <c r="P53" s="21">
        <f t="shared" si="12"/>
      </c>
      <c r="Q53" s="22">
        <f t="shared" si="13"/>
      </c>
      <c r="R53" s="22">
        <f>IF(N('Danh mục'!E49)&gt;0,'Danh mục'!E49,"")</f>
      </c>
    </row>
    <row r="54" spans="1:18" x14ac:dyDescent="0.3">
      <c r="A54" s="19">
        <v>12</v>
      </c>
      <c r="B54" s="11">
        <f>IF('Danh mục'!A50="","",'Danh mục'!A50)</f>
      </c>
      <c r="C54" s="11">
        <f>'Danh mục'!B50&amp;""</f>
      </c>
      <c r="D54" s="20">
        <f>IF($B54="",0,SUMIFS('Sổ thu chi'!$I$5:$I$1979,'Sổ thu chi'!$B$5:$B$1979,DATE(NAM,D$3,1),'Sổ thu chi'!$C$5:$C$1979,"Chi",'Sổ thu chi'!$D$5:$D$1979,$B54))</f>
      </c>
      <c r="E54" s="20">
        <f>IF($B54="",0,SUMIFS('Sổ thu chi'!$I$5:$I$1979,'Sổ thu chi'!$B$5:$B$1979,DATE(NAM,E$3,1),'Sổ thu chi'!$C$5:$C$1979,"Chi",'Sổ thu chi'!$D$5:$D$1979,$B54))</f>
      </c>
      <c r="F54" s="20">
        <f>IF($B54="",0,SUMIFS('Sổ thu chi'!$I$5:$I$1979,'Sổ thu chi'!$B$5:$B$1979,DATE(NAM,F$3,1),'Sổ thu chi'!$C$5:$C$1979,"Chi",'Sổ thu chi'!$D$5:$D$1979,$B54))</f>
      </c>
      <c r="G54" s="20">
        <f>IF($B54="",0,SUMIFS('Sổ thu chi'!$I$5:$I$1979,'Sổ thu chi'!$B$5:$B$1979,DATE(NAM,G$3,1),'Sổ thu chi'!$C$5:$C$1979,"Chi",'Sổ thu chi'!$D$5:$D$1979,$B54))</f>
      </c>
      <c r="H54" s="20">
        <f>IF($B54="",0,SUMIFS('Sổ thu chi'!$I$5:$I$1979,'Sổ thu chi'!$B$5:$B$1979,DATE(NAM,H$3,1),'Sổ thu chi'!$C$5:$C$1979,"Chi",'Sổ thu chi'!$D$5:$D$1979,$B54))</f>
      </c>
      <c r="I54" s="20">
        <f>IF($B54="",0,SUMIFS('Sổ thu chi'!$I$5:$I$1979,'Sổ thu chi'!$B$5:$B$1979,DATE(NAM,I$3,1),'Sổ thu chi'!$C$5:$C$1979,"Chi",'Sổ thu chi'!$D$5:$D$1979,$B54))</f>
      </c>
      <c r="J54" s="20">
        <f>IF($B54="",0,SUMIFS('Sổ thu chi'!$I$5:$I$1979,'Sổ thu chi'!$B$5:$B$1979,DATE(NAM,J$3,1),'Sổ thu chi'!$C$5:$C$1979,"Chi",'Sổ thu chi'!$D$5:$D$1979,$B54))</f>
      </c>
      <c r="K54" s="20">
        <f>IF($B54="",0,SUMIFS('Sổ thu chi'!$I$5:$I$1979,'Sổ thu chi'!$B$5:$B$1979,DATE(NAM,K$3,1),'Sổ thu chi'!$C$5:$C$1979,"Chi",'Sổ thu chi'!$D$5:$D$1979,$B54))</f>
      </c>
      <c r="L54" s="20">
        <f>IF($B54="",0,SUMIFS('Sổ thu chi'!$I$5:$I$1979,'Sổ thu chi'!$B$5:$B$1979,DATE(NAM,L$3,1),'Sổ thu chi'!$C$5:$C$1979,"Chi",'Sổ thu chi'!$D$5:$D$1979,$B54))</f>
      </c>
      <c r="M54" s="20">
        <f>IF($B54="",0,SUMIFS('Sổ thu chi'!$I$5:$I$1979,'Sổ thu chi'!$B$5:$B$1979,DATE(NAM,M$3,1),'Sổ thu chi'!$C$5:$C$1979,"Chi",'Sổ thu chi'!$D$5:$D$1979,$B54))</f>
      </c>
      <c r="N54" s="20">
        <f>IF($B54="",0,SUMIFS('Sổ thu chi'!$I$5:$I$1979,'Sổ thu chi'!$B$5:$B$1979,DATE(NAM,N$3,1),'Sổ thu chi'!$C$5:$C$1979,"Chi",'Sổ thu chi'!$D$5:$D$1979,$B54))</f>
      </c>
      <c r="O54" s="20">
        <f>IF($B54="",0,SUMIFS('Sổ thu chi'!$I$5:$I$1979,'Sổ thu chi'!$B$5:$B$1979,DATE(NAM,O$3,1),'Sổ thu chi'!$C$5:$C$1979,"Chi",'Sổ thu chi'!$D$5:$D$1979,$B54))</f>
      </c>
      <c r="P54" s="21">
        <f t="shared" si="12"/>
      </c>
      <c r="Q54" s="22">
        <f t="shared" si="13"/>
      </c>
      <c r="R54" s="22">
        <f>IF(N('Danh mục'!E50)&gt;0,'Danh mục'!E50,"")</f>
      </c>
    </row>
    <row r="55" spans="1:18" x14ac:dyDescent="0.3">
      <c r="A55" s="19">
        <v>13</v>
      </c>
      <c r="B55" s="11">
        <f>IF('Danh mục'!A51="","",'Danh mục'!A51)</f>
      </c>
      <c r="C55" s="11">
        <f>'Danh mục'!B51&amp;""</f>
      </c>
      <c r="D55" s="20">
        <f>IF($B55="",0,SUMIFS('Sổ thu chi'!$I$5:$I$1979,'Sổ thu chi'!$B$5:$B$1979,DATE(NAM,D$3,1),'Sổ thu chi'!$C$5:$C$1979,"Chi",'Sổ thu chi'!$D$5:$D$1979,$B55))</f>
      </c>
      <c r="E55" s="20">
        <f>IF($B55="",0,SUMIFS('Sổ thu chi'!$I$5:$I$1979,'Sổ thu chi'!$B$5:$B$1979,DATE(NAM,E$3,1),'Sổ thu chi'!$C$5:$C$1979,"Chi",'Sổ thu chi'!$D$5:$D$1979,$B55))</f>
      </c>
      <c r="F55" s="20">
        <f>IF($B55="",0,SUMIFS('Sổ thu chi'!$I$5:$I$1979,'Sổ thu chi'!$B$5:$B$1979,DATE(NAM,F$3,1),'Sổ thu chi'!$C$5:$C$1979,"Chi",'Sổ thu chi'!$D$5:$D$1979,$B55))</f>
      </c>
      <c r="G55" s="20">
        <f>IF($B55="",0,SUMIFS('Sổ thu chi'!$I$5:$I$1979,'Sổ thu chi'!$B$5:$B$1979,DATE(NAM,G$3,1),'Sổ thu chi'!$C$5:$C$1979,"Chi",'Sổ thu chi'!$D$5:$D$1979,$B55))</f>
      </c>
      <c r="H55" s="20">
        <f>IF($B55="",0,SUMIFS('Sổ thu chi'!$I$5:$I$1979,'Sổ thu chi'!$B$5:$B$1979,DATE(NAM,H$3,1),'Sổ thu chi'!$C$5:$C$1979,"Chi",'Sổ thu chi'!$D$5:$D$1979,$B55))</f>
      </c>
      <c r="I55" s="20">
        <f>IF($B55="",0,SUMIFS('Sổ thu chi'!$I$5:$I$1979,'Sổ thu chi'!$B$5:$B$1979,DATE(NAM,I$3,1),'Sổ thu chi'!$C$5:$C$1979,"Chi",'Sổ thu chi'!$D$5:$D$1979,$B55))</f>
      </c>
      <c r="J55" s="20">
        <f>IF($B55="",0,SUMIFS('Sổ thu chi'!$I$5:$I$1979,'Sổ thu chi'!$B$5:$B$1979,DATE(NAM,J$3,1),'Sổ thu chi'!$C$5:$C$1979,"Chi",'Sổ thu chi'!$D$5:$D$1979,$B55))</f>
      </c>
      <c r="K55" s="20">
        <f>IF($B55="",0,SUMIFS('Sổ thu chi'!$I$5:$I$1979,'Sổ thu chi'!$B$5:$B$1979,DATE(NAM,K$3,1),'Sổ thu chi'!$C$5:$C$1979,"Chi",'Sổ thu chi'!$D$5:$D$1979,$B55))</f>
      </c>
      <c r="L55" s="20">
        <f>IF($B55="",0,SUMIFS('Sổ thu chi'!$I$5:$I$1979,'Sổ thu chi'!$B$5:$B$1979,DATE(NAM,L$3,1),'Sổ thu chi'!$C$5:$C$1979,"Chi",'Sổ thu chi'!$D$5:$D$1979,$B55))</f>
      </c>
      <c r="M55" s="20">
        <f>IF($B55="",0,SUMIFS('Sổ thu chi'!$I$5:$I$1979,'Sổ thu chi'!$B$5:$B$1979,DATE(NAM,M$3,1),'Sổ thu chi'!$C$5:$C$1979,"Chi",'Sổ thu chi'!$D$5:$D$1979,$B55))</f>
      </c>
      <c r="N55" s="20">
        <f>IF($B55="",0,SUMIFS('Sổ thu chi'!$I$5:$I$1979,'Sổ thu chi'!$B$5:$B$1979,DATE(NAM,N$3,1),'Sổ thu chi'!$C$5:$C$1979,"Chi",'Sổ thu chi'!$D$5:$D$1979,$B55))</f>
      </c>
      <c r="O55" s="20">
        <f>IF($B55="",0,SUMIFS('Sổ thu chi'!$I$5:$I$1979,'Sổ thu chi'!$B$5:$B$1979,DATE(NAM,O$3,1),'Sổ thu chi'!$C$5:$C$1979,"Chi",'Sổ thu chi'!$D$5:$D$1979,$B55))</f>
      </c>
      <c r="P55" s="21">
        <f t="shared" si="12"/>
      </c>
      <c r="Q55" s="22">
        <f t="shared" si="13"/>
      </c>
      <c r="R55" s="22">
        <f>IF(N('Danh mục'!E51)&gt;0,'Danh mục'!E51,"")</f>
      </c>
    </row>
    <row r="56" spans="1:18" x14ac:dyDescent="0.3">
      <c r="A56" s="19">
        <v>14</v>
      </c>
      <c r="B56" s="11">
        <f>IF('Danh mục'!A52="","",'Danh mục'!A52)</f>
      </c>
      <c r="C56" s="11">
        <f>'Danh mục'!B52&amp;""</f>
      </c>
      <c r="D56" s="20">
        <f>IF($B56="",0,SUMIFS('Sổ thu chi'!$I$5:$I$1979,'Sổ thu chi'!$B$5:$B$1979,DATE(NAM,D$3,1),'Sổ thu chi'!$C$5:$C$1979,"Chi",'Sổ thu chi'!$D$5:$D$1979,$B56))</f>
      </c>
      <c r="E56" s="20">
        <f>IF($B56="",0,SUMIFS('Sổ thu chi'!$I$5:$I$1979,'Sổ thu chi'!$B$5:$B$1979,DATE(NAM,E$3,1),'Sổ thu chi'!$C$5:$C$1979,"Chi",'Sổ thu chi'!$D$5:$D$1979,$B56))</f>
      </c>
      <c r="F56" s="20">
        <f>IF($B56="",0,SUMIFS('Sổ thu chi'!$I$5:$I$1979,'Sổ thu chi'!$B$5:$B$1979,DATE(NAM,F$3,1),'Sổ thu chi'!$C$5:$C$1979,"Chi",'Sổ thu chi'!$D$5:$D$1979,$B56))</f>
      </c>
      <c r="G56" s="20">
        <f>IF($B56="",0,SUMIFS('Sổ thu chi'!$I$5:$I$1979,'Sổ thu chi'!$B$5:$B$1979,DATE(NAM,G$3,1),'Sổ thu chi'!$C$5:$C$1979,"Chi",'Sổ thu chi'!$D$5:$D$1979,$B56))</f>
      </c>
      <c r="H56" s="20">
        <f>IF($B56="",0,SUMIFS('Sổ thu chi'!$I$5:$I$1979,'Sổ thu chi'!$B$5:$B$1979,DATE(NAM,H$3,1),'Sổ thu chi'!$C$5:$C$1979,"Chi",'Sổ thu chi'!$D$5:$D$1979,$B56))</f>
      </c>
      <c r="I56" s="20">
        <f>IF($B56="",0,SUMIFS('Sổ thu chi'!$I$5:$I$1979,'Sổ thu chi'!$B$5:$B$1979,DATE(NAM,I$3,1),'Sổ thu chi'!$C$5:$C$1979,"Chi",'Sổ thu chi'!$D$5:$D$1979,$B56))</f>
      </c>
      <c r="J56" s="20">
        <f>IF($B56="",0,SUMIFS('Sổ thu chi'!$I$5:$I$1979,'Sổ thu chi'!$B$5:$B$1979,DATE(NAM,J$3,1),'Sổ thu chi'!$C$5:$C$1979,"Chi",'Sổ thu chi'!$D$5:$D$1979,$B56))</f>
      </c>
      <c r="K56" s="20">
        <f>IF($B56="",0,SUMIFS('Sổ thu chi'!$I$5:$I$1979,'Sổ thu chi'!$B$5:$B$1979,DATE(NAM,K$3,1),'Sổ thu chi'!$C$5:$C$1979,"Chi",'Sổ thu chi'!$D$5:$D$1979,$B56))</f>
      </c>
      <c r="L56" s="20">
        <f>IF($B56="",0,SUMIFS('Sổ thu chi'!$I$5:$I$1979,'Sổ thu chi'!$B$5:$B$1979,DATE(NAM,L$3,1),'Sổ thu chi'!$C$5:$C$1979,"Chi",'Sổ thu chi'!$D$5:$D$1979,$B56))</f>
      </c>
      <c r="M56" s="20">
        <f>IF($B56="",0,SUMIFS('Sổ thu chi'!$I$5:$I$1979,'Sổ thu chi'!$B$5:$B$1979,DATE(NAM,M$3,1),'Sổ thu chi'!$C$5:$C$1979,"Chi",'Sổ thu chi'!$D$5:$D$1979,$B56))</f>
      </c>
      <c r="N56" s="20">
        <f>IF($B56="",0,SUMIFS('Sổ thu chi'!$I$5:$I$1979,'Sổ thu chi'!$B$5:$B$1979,DATE(NAM,N$3,1),'Sổ thu chi'!$C$5:$C$1979,"Chi",'Sổ thu chi'!$D$5:$D$1979,$B56))</f>
      </c>
      <c r="O56" s="20">
        <f>IF($B56="",0,SUMIFS('Sổ thu chi'!$I$5:$I$1979,'Sổ thu chi'!$B$5:$B$1979,DATE(NAM,O$3,1),'Sổ thu chi'!$C$5:$C$1979,"Chi",'Sổ thu chi'!$D$5:$D$1979,$B56))</f>
      </c>
      <c r="P56" s="21">
        <f t="shared" si="12"/>
      </c>
      <c r="Q56" s="22">
        <f t="shared" si="13"/>
      </c>
      <c r="R56" s="22">
        <f>IF(N('Danh mục'!E52)&gt;0,'Danh mục'!E52,"")</f>
      </c>
    </row>
    <row r="57" spans="1:18" x14ac:dyDescent="0.3">
      <c r="A57" s="19">
        <v>15</v>
      </c>
      <c r="B57" s="11">
        <f>IF('Danh mục'!A53="","",'Danh mục'!A53)</f>
      </c>
      <c r="C57" s="11">
        <f>'Danh mục'!B53&amp;""</f>
      </c>
      <c r="D57" s="20">
        <f>IF($B57="",0,SUMIFS('Sổ thu chi'!$I$5:$I$1979,'Sổ thu chi'!$B$5:$B$1979,DATE(NAM,D$3,1),'Sổ thu chi'!$C$5:$C$1979,"Chi",'Sổ thu chi'!$D$5:$D$1979,$B57))</f>
      </c>
      <c r="E57" s="20">
        <f>IF($B57="",0,SUMIFS('Sổ thu chi'!$I$5:$I$1979,'Sổ thu chi'!$B$5:$B$1979,DATE(NAM,E$3,1),'Sổ thu chi'!$C$5:$C$1979,"Chi",'Sổ thu chi'!$D$5:$D$1979,$B57))</f>
      </c>
      <c r="F57" s="20">
        <f>IF($B57="",0,SUMIFS('Sổ thu chi'!$I$5:$I$1979,'Sổ thu chi'!$B$5:$B$1979,DATE(NAM,F$3,1),'Sổ thu chi'!$C$5:$C$1979,"Chi",'Sổ thu chi'!$D$5:$D$1979,$B57))</f>
      </c>
      <c r="G57" s="20">
        <f>IF($B57="",0,SUMIFS('Sổ thu chi'!$I$5:$I$1979,'Sổ thu chi'!$B$5:$B$1979,DATE(NAM,G$3,1),'Sổ thu chi'!$C$5:$C$1979,"Chi",'Sổ thu chi'!$D$5:$D$1979,$B57))</f>
      </c>
      <c r="H57" s="20">
        <f>IF($B57="",0,SUMIFS('Sổ thu chi'!$I$5:$I$1979,'Sổ thu chi'!$B$5:$B$1979,DATE(NAM,H$3,1),'Sổ thu chi'!$C$5:$C$1979,"Chi",'Sổ thu chi'!$D$5:$D$1979,$B57))</f>
      </c>
      <c r="I57" s="20">
        <f>IF($B57="",0,SUMIFS('Sổ thu chi'!$I$5:$I$1979,'Sổ thu chi'!$B$5:$B$1979,DATE(NAM,I$3,1),'Sổ thu chi'!$C$5:$C$1979,"Chi",'Sổ thu chi'!$D$5:$D$1979,$B57))</f>
      </c>
      <c r="J57" s="20">
        <f>IF($B57="",0,SUMIFS('Sổ thu chi'!$I$5:$I$1979,'Sổ thu chi'!$B$5:$B$1979,DATE(NAM,J$3,1),'Sổ thu chi'!$C$5:$C$1979,"Chi",'Sổ thu chi'!$D$5:$D$1979,$B57))</f>
      </c>
      <c r="K57" s="20">
        <f>IF($B57="",0,SUMIFS('Sổ thu chi'!$I$5:$I$1979,'Sổ thu chi'!$B$5:$B$1979,DATE(NAM,K$3,1),'Sổ thu chi'!$C$5:$C$1979,"Chi",'Sổ thu chi'!$D$5:$D$1979,$B57))</f>
      </c>
      <c r="L57" s="20">
        <f>IF($B57="",0,SUMIFS('Sổ thu chi'!$I$5:$I$1979,'Sổ thu chi'!$B$5:$B$1979,DATE(NAM,L$3,1),'Sổ thu chi'!$C$5:$C$1979,"Chi",'Sổ thu chi'!$D$5:$D$1979,$B57))</f>
      </c>
      <c r="M57" s="20">
        <f>IF($B57="",0,SUMIFS('Sổ thu chi'!$I$5:$I$1979,'Sổ thu chi'!$B$5:$B$1979,DATE(NAM,M$3,1),'Sổ thu chi'!$C$5:$C$1979,"Chi",'Sổ thu chi'!$D$5:$D$1979,$B57))</f>
      </c>
      <c r="N57" s="20">
        <f>IF($B57="",0,SUMIFS('Sổ thu chi'!$I$5:$I$1979,'Sổ thu chi'!$B$5:$B$1979,DATE(NAM,N$3,1),'Sổ thu chi'!$C$5:$C$1979,"Chi",'Sổ thu chi'!$D$5:$D$1979,$B57))</f>
      </c>
      <c r="O57" s="20">
        <f>IF($B57="",0,SUMIFS('Sổ thu chi'!$I$5:$I$1979,'Sổ thu chi'!$B$5:$B$1979,DATE(NAM,O$3,1),'Sổ thu chi'!$C$5:$C$1979,"Chi",'Sổ thu chi'!$D$5:$D$1979,$B57))</f>
      </c>
      <c r="P57" s="21">
        <f t="shared" si="12"/>
      </c>
      <c r="Q57" s="22">
        <f t="shared" si="13"/>
      </c>
      <c r="R57" s="22">
        <f>IF(N('Danh mục'!E53)&gt;0,'Danh mục'!E53,"")</f>
      </c>
    </row>
    <row r="58" spans="1:18" x14ac:dyDescent="0.3">
      <c r="A58" s="19">
        <v>16</v>
      </c>
      <c r="B58" s="11">
        <f>IF('Danh mục'!A54="","",'Danh mục'!A54)</f>
      </c>
      <c r="C58" s="11">
        <f>'Danh mục'!B54&amp;""</f>
      </c>
      <c r="D58" s="20">
        <f>IF($B58="",0,SUMIFS('Sổ thu chi'!$I$5:$I$1979,'Sổ thu chi'!$B$5:$B$1979,DATE(NAM,D$3,1),'Sổ thu chi'!$C$5:$C$1979,"Chi",'Sổ thu chi'!$D$5:$D$1979,$B58))</f>
      </c>
      <c r="E58" s="20">
        <f>IF($B58="",0,SUMIFS('Sổ thu chi'!$I$5:$I$1979,'Sổ thu chi'!$B$5:$B$1979,DATE(NAM,E$3,1),'Sổ thu chi'!$C$5:$C$1979,"Chi",'Sổ thu chi'!$D$5:$D$1979,$B58))</f>
      </c>
      <c r="F58" s="20">
        <f>IF($B58="",0,SUMIFS('Sổ thu chi'!$I$5:$I$1979,'Sổ thu chi'!$B$5:$B$1979,DATE(NAM,F$3,1),'Sổ thu chi'!$C$5:$C$1979,"Chi",'Sổ thu chi'!$D$5:$D$1979,$B58))</f>
      </c>
      <c r="G58" s="20">
        <f>IF($B58="",0,SUMIFS('Sổ thu chi'!$I$5:$I$1979,'Sổ thu chi'!$B$5:$B$1979,DATE(NAM,G$3,1),'Sổ thu chi'!$C$5:$C$1979,"Chi",'Sổ thu chi'!$D$5:$D$1979,$B58))</f>
      </c>
      <c r="H58" s="20">
        <f>IF($B58="",0,SUMIFS('Sổ thu chi'!$I$5:$I$1979,'Sổ thu chi'!$B$5:$B$1979,DATE(NAM,H$3,1),'Sổ thu chi'!$C$5:$C$1979,"Chi",'Sổ thu chi'!$D$5:$D$1979,$B58))</f>
      </c>
      <c r="I58" s="20">
        <f>IF($B58="",0,SUMIFS('Sổ thu chi'!$I$5:$I$1979,'Sổ thu chi'!$B$5:$B$1979,DATE(NAM,I$3,1),'Sổ thu chi'!$C$5:$C$1979,"Chi",'Sổ thu chi'!$D$5:$D$1979,$B58))</f>
      </c>
      <c r="J58" s="20">
        <f>IF($B58="",0,SUMIFS('Sổ thu chi'!$I$5:$I$1979,'Sổ thu chi'!$B$5:$B$1979,DATE(NAM,J$3,1),'Sổ thu chi'!$C$5:$C$1979,"Chi",'Sổ thu chi'!$D$5:$D$1979,$B58))</f>
      </c>
      <c r="K58" s="20">
        <f>IF($B58="",0,SUMIFS('Sổ thu chi'!$I$5:$I$1979,'Sổ thu chi'!$B$5:$B$1979,DATE(NAM,K$3,1),'Sổ thu chi'!$C$5:$C$1979,"Chi",'Sổ thu chi'!$D$5:$D$1979,$B58))</f>
      </c>
      <c r="L58" s="20">
        <f>IF($B58="",0,SUMIFS('Sổ thu chi'!$I$5:$I$1979,'Sổ thu chi'!$B$5:$B$1979,DATE(NAM,L$3,1),'Sổ thu chi'!$C$5:$C$1979,"Chi",'Sổ thu chi'!$D$5:$D$1979,$B58))</f>
      </c>
      <c r="M58" s="20">
        <f>IF($B58="",0,SUMIFS('Sổ thu chi'!$I$5:$I$1979,'Sổ thu chi'!$B$5:$B$1979,DATE(NAM,M$3,1),'Sổ thu chi'!$C$5:$C$1979,"Chi",'Sổ thu chi'!$D$5:$D$1979,$B58))</f>
      </c>
      <c r="N58" s="20">
        <f>IF($B58="",0,SUMIFS('Sổ thu chi'!$I$5:$I$1979,'Sổ thu chi'!$B$5:$B$1979,DATE(NAM,N$3,1),'Sổ thu chi'!$C$5:$C$1979,"Chi",'Sổ thu chi'!$D$5:$D$1979,$B58))</f>
      </c>
      <c r="O58" s="20">
        <f>IF($B58="",0,SUMIFS('Sổ thu chi'!$I$5:$I$1979,'Sổ thu chi'!$B$5:$B$1979,DATE(NAM,O$3,1),'Sổ thu chi'!$C$5:$C$1979,"Chi",'Sổ thu chi'!$D$5:$D$1979,$B58))</f>
      </c>
      <c r="P58" s="21">
        <f t="shared" si="12"/>
      </c>
      <c r="Q58" s="22">
        <f t="shared" si="13"/>
      </c>
      <c r="R58" s="22">
        <f>IF(N('Danh mục'!E54)&gt;0,'Danh mục'!E54,"")</f>
      </c>
    </row>
    <row r="59" spans="1:18" x14ac:dyDescent="0.3">
      <c r="A59" s="19">
        <v>17</v>
      </c>
      <c r="B59" s="11">
        <f>IF('Danh mục'!A55="","",'Danh mục'!A55)</f>
      </c>
      <c r="C59" s="11">
        <f>'Danh mục'!B55&amp;""</f>
      </c>
      <c r="D59" s="20">
        <f>IF($B59="",0,SUMIFS('Sổ thu chi'!$I$5:$I$1979,'Sổ thu chi'!$B$5:$B$1979,DATE(NAM,D$3,1),'Sổ thu chi'!$C$5:$C$1979,"Chi",'Sổ thu chi'!$D$5:$D$1979,$B59))</f>
      </c>
      <c r="E59" s="20">
        <f>IF($B59="",0,SUMIFS('Sổ thu chi'!$I$5:$I$1979,'Sổ thu chi'!$B$5:$B$1979,DATE(NAM,E$3,1),'Sổ thu chi'!$C$5:$C$1979,"Chi",'Sổ thu chi'!$D$5:$D$1979,$B59))</f>
      </c>
      <c r="F59" s="20">
        <f>IF($B59="",0,SUMIFS('Sổ thu chi'!$I$5:$I$1979,'Sổ thu chi'!$B$5:$B$1979,DATE(NAM,F$3,1),'Sổ thu chi'!$C$5:$C$1979,"Chi",'Sổ thu chi'!$D$5:$D$1979,$B59))</f>
      </c>
      <c r="G59" s="20">
        <f>IF($B59="",0,SUMIFS('Sổ thu chi'!$I$5:$I$1979,'Sổ thu chi'!$B$5:$B$1979,DATE(NAM,G$3,1),'Sổ thu chi'!$C$5:$C$1979,"Chi",'Sổ thu chi'!$D$5:$D$1979,$B59))</f>
      </c>
      <c r="H59" s="20">
        <f>IF($B59="",0,SUMIFS('Sổ thu chi'!$I$5:$I$1979,'Sổ thu chi'!$B$5:$B$1979,DATE(NAM,H$3,1),'Sổ thu chi'!$C$5:$C$1979,"Chi",'Sổ thu chi'!$D$5:$D$1979,$B59))</f>
      </c>
      <c r="I59" s="20">
        <f>IF($B59="",0,SUMIFS('Sổ thu chi'!$I$5:$I$1979,'Sổ thu chi'!$B$5:$B$1979,DATE(NAM,I$3,1),'Sổ thu chi'!$C$5:$C$1979,"Chi",'Sổ thu chi'!$D$5:$D$1979,$B59))</f>
      </c>
      <c r="J59" s="20">
        <f>IF($B59="",0,SUMIFS('Sổ thu chi'!$I$5:$I$1979,'Sổ thu chi'!$B$5:$B$1979,DATE(NAM,J$3,1),'Sổ thu chi'!$C$5:$C$1979,"Chi",'Sổ thu chi'!$D$5:$D$1979,$B59))</f>
      </c>
      <c r="K59" s="20">
        <f>IF($B59="",0,SUMIFS('Sổ thu chi'!$I$5:$I$1979,'Sổ thu chi'!$B$5:$B$1979,DATE(NAM,K$3,1),'Sổ thu chi'!$C$5:$C$1979,"Chi",'Sổ thu chi'!$D$5:$D$1979,$B59))</f>
      </c>
      <c r="L59" s="20">
        <f>IF($B59="",0,SUMIFS('Sổ thu chi'!$I$5:$I$1979,'Sổ thu chi'!$B$5:$B$1979,DATE(NAM,L$3,1),'Sổ thu chi'!$C$5:$C$1979,"Chi",'Sổ thu chi'!$D$5:$D$1979,$B59))</f>
      </c>
      <c r="M59" s="20">
        <f>IF($B59="",0,SUMIFS('Sổ thu chi'!$I$5:$I$1979,'Sổ thu chi'!$B$5:$B$1979,DATE(NAM,M$3,1),'Sổ thu chi'!$C$5:$C$1979,"Chi",'Sổ thu chi'!$D$5:$D$1979,$B59))</f>
      </c>
      <c r="N59" s="20">
        <f>IF($B59="",0,SUMIFS('Sổ thu chi'!$I$5:$I$1979,'Sổ thu chi'!$B$5:$B$1979,DATE(NAM,N$3,1),'Sổ thu chi'!$C$5:$C$1979,"Chi",'Sổ thu chi'!$D$5:$D$1979,$B59))</f>
      </c>
      <c r="O59" s="20">
        <f>IF($B59="",0,SUMIFS('Sổ thu chi'!$I$5:$I$1979,'Sổ thu chi'!$B$5:$B$1979,DATE(NAM,O$3,1),'Sổ thu chi'!$C$5:$C$1979,"Chi",'Sổ thu chi'!$D$5:$D$1979,$B59))</f>
      </c>
      <c r="P59" s="21">
        <f t="shared" si="12"/>
      </c>
      <c r="Q59" s="22">
        <f t="shared" si="13"/>
      </c>
      <c r="R59" s="22">
        <f>IF(N('Danh mục'!E55)&gt;0,'Danh mục'!E55,"")</f>
      </c>
    </row>
    <row r="60" spans="1:18" x14ac:dyDescent="0.3">
      <c r="A60" s="19">
        <v>18</v>
      </c>
      <c r="B60" s="11">
        <f>IF('Danh mục'!A56="","",'Danh mục'!A56)</f>
      </c>
      <c r="C60" s="11">
        <f>'Danh mục'!B56&amp;""</f>
      </c>
      <c r="D60" s="20">
        <f>IF($B60="",0,SUMIFS('Sổ thu chi'!$I$5:$I$1979,'Sổ thu chi'!$B$5:$B$1979,DATE(NAM,D$3,1),'Sổ thu chi'!$C$5:$C$1979,"Chi",'Sổ thu chi'!$D$5:$D$1979,$B60))</f>
      </c>
      <c r="E60" s="20">
        <f>IF($B60="",0,SUMIFS('Sổ thu chi'!$I$5:$I$1979,'Sổ thu chi'!$B$5:$B$1979,DATE(NAM,E$3,1),'Sổ thu chi'!$C$5:$C$1979,"Chi",'Sổ thu chi'!$D$5:$D$1979,$B60))</f>
      </c>
      <c r="F60" s="20">
        <f>IF($B60="",0,SUMIFS('Sổ thu chi'!$I$5:$I$1979,'Sổ thu chi'!$B$5:$B$1979,DATE(NAM,F$3,1),'Sổ thu chi'!$C$5:$C$1979,"Chi",'Sổ thu chi'!$D$5:$D$1979,$B60))</f>
      </c>
      <c r="G60" s="20">
        <f>IF($B60="",0,SUMIFS('Sổ thu chi'!$I$5:$I$1979,'Sổ thu chi'!$B$5:$B$1979,DATE(NAM,G$3,1),'Sổ thu chi'!$C$5:$C$1979,"Chi",'Sổ thu chi'!$D$5:$D$1979,$B60))</f>
      </c>
      <c r="H60" s="20">
        <f>IF($B60="",0,SUMIFS('Sổ thu chi'!$I$5:$I$1979,'Sổ thu chi'!$B$5:$B$1979,DATE(NAM,H$3,1),'Sổ thu chi'!$C$5:$C$1979,"Chi",'Sổ thu chi'!$D$5:$D$1979,$B60))</f>
      </c>
      <c r="I60" s="20">
        <f>IF($B60="",0,SUMIFS('Sổ thu chi'!$I$5:$I$1979,'Sổ thu chi'!$B$5:$B$1979,DATE(NAM,I$3,1),'Sổ thu chi'!$C$5:$C$1979,"Chi",'Sổ thu chi'!$D$5:$D$1979,$B60))</f>
      </c>
      <c r="J60" s="20">
        <f>IF($B60="",0,SUMIFS('Sổ thu chi'!$I$5:$I$1979,'Sổ thu chi'!$B$5:$B$1979,DATE(NAM,J$3,1),'Sổ thu chi'!$C$5:$C$1979,"Chi",'Sổ thu chi'!$D$5:$D$1979,$B60))</f>
      </c>
      <c r="K60" s="20">
        <f>IF($B60="",0,SUMIFS('Sổ thu chi'!$I$5:$I$1979,'Sổ thu chi'!$B$5:$B$1979,DATE(NAM,K$3,1),'Sổ thu chi'!$C$5:$C$1979,"Chi",'Sổ thu chi'!$D$5:$D$1979,$B60))</f>
      </c>
      <c r="L60" s="20">
        <f>IF($B60="",0,SUMIFS('Sổ thu chi'!$I$5:$I$1979,'Sổ thu chi'!$B$5:$B$1979,DATE(NAM,L$3,1),'Sổ thu chi'!$C$5:$C$1979,"Chi",'Sổ thu chi'!$D$5:$D$1979,$B60))</f>
      </c>
      <c r="M60" s="20">
        <f>IF($B60="",0,SUMIFS('Sổ thu chi'!$I$5:$I$1979,'Sổ thu chi'!$B$5:$B$1979,DATE(NAM,M$3,1),'Sổ thu chi'!$C$5:$C$1979,"Chi",'Sổ thu chi'!$D$5:$D$1979,$B60))</f>
      </c>
      <c r="N60" s="20">
        <f>IF($B60="",0,SUMIFS('Sổ thu chi'!$I$5:$I$1979,'Sổ thu chi'!$B$5:$B$1979,DATE(NAM,N$3,1),'Sổ thu chi'!$C$5:$C$1979,"Chi",'Sổ thu chi'!$D$5:$D$1979,$B60))</f>
      </c>
      <c r="O60" s="20">
        <f>IF($B60="",0,SUMIFS('Sổ thu chi'!$I$5:$I$1979,'Sổ thu chi'!$B$5:$B$1979,DATE(NAM,O$3,1),'Sổ thu chi'!$C$5:$C$1979,"Chi",'Sổ thu chi'!$D$5:$D$1979,$B60))</f>
      </c>
      <c r="P60" s="21">
        <f t="shared" si="12"/>
      </c>
      <c r="Q60" s="22">
        <f t="shared" si="13"/>
      </c>
      <c r="R60" s="22">
        <f>IF(N('Danh mục'!E56)&gt;0,'Danh mục'!E56,"")</f>
      </c>
    </row>
    <row r="61" spans="1:18" x14ac:dyDescent="0.3">
      <c r="A61" s="19">
        <v>19</v>
      </c>
      <c r="B61" s="11">
        <f>IF('Danh mục'!A57="","",'Danh mục'!A57)</f>
      </c>
      <c r="C61" s="11">
        <f>'Danh mục'!B57&amp;""</f>
      </c>
      <c r="D61" s="20">
        <f>IF($B61="",0,SUMIFS('Sổ thu chi'!$I$5:$I$1979,'Sổ thu chi'!$B$5:$B$1979,DATE(NAM,D$3,1),'Sổ thu chi'!$C$5:$C$1979,"Chi",'Sổ thu chi'!$D$5:$D$1979,$B61))</f>
      </c>
      <c r="E61" s="20">
        <f>IF($B61="",0,SUMIFS('Sổ thu chi'!$I$5:$I$1979,'Sổ thu chi'!$B$5:$B$1979,DATE(NAM,E$3,1),'Sổ thu chi'!$C$5:$C$1979,"Chi",'Sổ thu chi'!$D$5:$D$1979,$B61))</f>
      </c>
      <c r="F61" s="20">
        <f>IF($B61="",0,SUMIFS('Sổ thu chi'!$I$5:$I$1979,'Sổ thu chi'!$B$5:$B$1979,DATE(NAM,F$3,1),'Sổ thu chi'!$C$5:$C$1979,"Chi",'Sổ thu chi'!$D$5:$D$1979,$B61))</f>
      </c>
      <c r="G61" s="20">
        <f>IF($B61="",0,SUMIFS('Sổ thu chi'!$I$5:$I$1979,'Sổ thu chi'!$B$5:$B$1979,DATE(NAM,G$3,1),'Sổ thu chi'!$C$5:$C$1979,"Chi",'Sổ thu chi'!$D$5:$D$1979,$B61))</f>
      </c>
      <c r="H61" s="20">
        <f>IF($B61="",0,SUMIFS('Sổ thu chi'!$I$5:$I$1979,'Sổ thu chi'!$B$5:$B$1979,DATE(NAM,H$3,1),'Sổ thu chi'!$C$5:$C$1979,"Chi",'Sổ thu chi'!$D$5:$D$1979,$B61))</f>
      </c>
      <c r="I61" s="20">
        <f>IF($B61="",0,SUMIFS('Sổ thu chi'!$I$5:$I$1979,'Sổ thu chi'!$B$5:$B$1979,DATE(NAM,I$3,1),'Sổ thu chi'!$C$5:$C$1979,"Chi",'Sổ thu chi'!$D$5:$D$1979,$B61))</f>
      </c>
      <c r="J61" s="20">
        <f>IF($B61="",0,SUMIFS('Sổ thu chi'!$I$5:$I$1979,'Sổ thu chi'!$B$5:$B$1979,DATE(NAM,J$3,1),'Sổ thu chi'!$C$5:$C$1979,"Chi",'Sổ thu chi'!$D$5:$D$1979,$B61))</f>
      </c>
      <c r="K61" s="20">
        <f>IF($B61="",0,SUMIFS('Sổ thu chi'!$I$5:$I$1979,'Sổ thu chi'!$B$5:$B$1979,DATE(NAM,K$3,1),'Sổ thu chi'!$C$5:$C$1979,"Chi",'Sổ thu chi'!$D$5:$D$1979,$B61))</f>
      </c>
      <c r="L61" s="20">
        <f>IF($B61="",0,SUMIFS('Sổ thu chi'!$I$5:$I$1979,'Sổ thu chi'!$B$5:$B$1979,DATE(NAM,L$3,1),'Sổ thu chi'!$C$5:$C$1979,"Chi",'Sổ thu chi'!$D$5:$D$1979,$B61))</f>
      </c>
      <c r="M61" s="20">
        <f>IF($B61="",0,SUMIFS('Sổ thu chi'!$I$5:$I$1979,'Sổ thu chi'!$B$5:$B$1979,DATE(NAM,M$3,1),'Sổ thu chi'!$C$5:$C$1979,"Chi",'Sổ thu chi'!$D$5:$D$1979,$B61))</f>
      </c>
      <c r="N61" s="20">
        <f>IF($B61="",0,SUMIFS('Sổ thu chi'!$I$5:$I$1979,'Sổ thu chi'!$B$5:$B$1979,DATE(NAM,N$3,1),'Sổ thu chi'!$C$5:$C$1979,"Chi",'Sổ thu chi'!$D$5:$D$1979,$B61))</f>
      </c>
      <c r="O61" s="20">
        <f>IF($B61="",0,SUMIFS('Sổ thu chi'!$I$5:$I$1979,'Sổ thu chi'!$B$5:$B$1979,DATE(NAM,O$3,1),'Sổ thu chi'!$C$5:$C$1979,"Chi",'Sổ thu chi'!$D$5:$D$1979,$B61))</f>
      </c>
      <c r="P61" s="21">
        <f t="shared" si="12"/>
      </c>
      <c r="Q61" s="22">
        <f t="shared" si="13"/>
      </c>
      <c r="R61" s="22">
        <f>IF(N('Danh mục'!E57)&gt;0,'Danh mục'!E57,"")</f>
      </c>
    </row>
    <row r="62" spans="1:18" x14ac:dyDescent="0.3">
      <c r="A62" s="19">
        <v>20</v>
      </c>
      <c r="B62" s="11">
        <f>IF('Danh mục'!A58="","",'Danh mục'!A58)</f>
      </c>
      <c r="C62" s="11">
        <f>'Danh mục'!B58&amp;""</f>
      </c>
      <c r="D62" s="20">
        <f>IF($B62="",0,SUMIFS('Sổ thu chi'!$I$5:$I$1979,'Sổ thu chi'!$B$5:$B$1979,DATE(NAM,D$3,1),'Sổ thu chi'!$C$5:$C$1979,"Chi",'Sổ thu chi'!$D$5:$D$1979,$B62))</f>
      </c>
      <c r="E62" s="20">
        <f>IF($B62="",0,SUMIFS('Sổ thu chi'!$I$5:$I$1979,'Sổ thu chi'!$B$5:$B$1979,DATE(NAM,E$3,1),'Sổ thu chi'!$C$5:$C$1979,"Chi",'Sổ thu chi'!$D$5:$D$1979,$B62))</f>
      </c>
      <c r="F62" s="20">
        <f>IF($B62="",0,SUMIFS('Sổ thu chi'!$I$5:$I$1979,'Sổ thu chi'!$B$5:$B$1979,DATE(NAM,F$3,1),'Sổ thu chi'!$C$5:$C$1979,"Chi",'Sổ thu chi'!$D$5:$D$1979,$B62))</f>
      </c>
      <c r="G62" s="20">
        <f>IF($B62="",0,SUMIFS('Sổ thu chi'!$I$5:$I$1979,'Sổ thu chi'!$B$5:$B$1979,DATE(NAM,G$3,1),'Sổ thu chi'!$C$5:$C$1979,"Chi",'Sổ thu chi'!$D$5:$D$1979,$B62))</f>
      </c>
      <c r="H62" s="20">
        <f>IF($B62="",0,SUMIFS('Sổ thu chi'!$I$5:$I$1979,'Sổ thu chi'!$B$5:$B$1979,DATE(NAM,H$3,1),'Sổ thu chi'!$C$5:$C$1979,"Chi",'Sổ thu chi'!$D$5:$D$1979,$B62))</f>
      </c>
      <c r="I62" s="20">
        <f>IF($B62="",0,SUMIFS('Sổ thu chi'!$I$5:$I$1979,'Sổ thu chi'!$B$5:$B$1979,DATE(NAM,I$3,1),'Sổ thu chi'!$C$5:$C$1979,"Chi",'Sổ thu chi'!$D$5:$D$1979,$B62))</f>
      </c>
      <c r="J62" s="20">
        <f>IF($B62="",0,SUMIFS('Sổ thu chi'!$I$5:$I$1979,'Sổ thu chi'!$B$5:$B$1979,DATE(NAM,J$3,1),'Sổ thu chi'!$C$5:$C$1979,"Chi",'Sổ thu chi'!$D$5:$D$1979,$B62))</f>
      </c>
      <c r="K62" s="20">
        <f>IF($B62="",0,SUMIFS('Sổ thu chi'!$I$5:$I$1979,'Sổ thu chi'!$B$5:$B$1979,DATE(NAM,K$3,1),'Sổ thu chi'!$C$5:$C$1979,"Chi",'Sổ thu chi'!$D$5:$D$1979,$B62))</f>
      </c>
      <c r="L62" s="20">
        <f>IF($B62="",0,SUMIFS('Sổ thu chi'!$I$5:$I$1979,'Sổ thu chi'!$B$5:$B$1979,DATE(NAM,L$3,1),'Sổ thu chi'!$C$5:$C$1979,"Chi",'Sổ thu chi'!$D$5:$D$1979,$B62))</f>
      </c>
      <c r="M62" s="20">
        <f>IF($B62="",0,SUMIFS('Sổ thu chi'!$I$5:$I$1979,'Sổ thu chi'!$B$5:$B$1979,DATE(NAM,M$3,1),'Sổ thu chi'!$C$5:$C$1979,"Chi",'Sổ thu chi'!$D$5:$D$1979,$B62))</f>
      </c>
      <c r="N62" s="20">
        <f>IF($B62="",0,SUMIFS('Sổ thu chi'!$I$5:$I$1979,'Sổ thu chi'!$B$5:$B$1979,DATE(NAM,N$3,1),'Sổ thu chi'!$C$5:$C$1979,"Chi",'Sổ thu chi'!$D$5:$D$1979,$B62))</f>
      </c>
      <c r="O62" s="20">
        <f>IF($B62="",0,SUMIFS('Sổ thu chi'!$I$5:$I$1979,'Sổ thu chi'!$B$5:$B$1979,DATE(NAM,O$3,1),'Sổ thu chi'!$C$5:$C$1979,"Chi",'Sổ thu chi'!$D$5:$D$1979,$B62))</f>
      </c>
      <c r="P62" s="21">
        <f t="shared" si="12"/>
      </c>
      <c r="Q62" s="22">
        <f t="shared" si="13"/>
      </c>
      <c r="R62" s="22">
        <f>IF(N('Danh mục'!E58)&gt;0,'Danh mục'!E58,"")</f>
      </c>
    </row>
    <row r="63" spans="1:18" x14ac:dyDescent="0.3">
      <c r="A63" s="19">
        <v>21</v>
      </c>
      <c r="B63" s="11">
        <f>IF('Danh mục'!A59="","",'Danh mục'!A59)</f>
      </c>
      <c r="C63" s="11">
        <f>'Danh mục'!B59&amp;""</f>
      </c>
      <c r="D63" s="20">
        <f>IF($B63="",0,SUMIFS('Sổ thu chi'!$I$5:$I$1979,'Sổ thu chi'!$B$5:$B$1979,DATE(NAM,D$3,1),'Sổ thu chi'!$C$5:$C$1979,"Chi",'Sổ thu chi'!$D$5:$D$1979,$B63))</f>
      </c>
      <c r="E63" s="20">
        <f>IF($B63="",0,SUMIFS('Sổ thu chi'!$I$5:$I$1979,'Sổ thu chi'!$B$5:$B$1979,DATE(NAM,E$3,1),'Sổ thu chi'!$C$5:$C$1979,"Chi",'Sổ thu chi'!$D$5:$D$1979,$B63))</f>
      </c>
      <c r="F63" s="20">
        <f>IF($B63="",0,SUMIFS('Sổ thu chi'!$I$5:$I$1979,'Sổ thu chi'!$B$5:$B$1979,DATE(NAM,F$3,1),'Sổ thu chi'!$C$5:$C$1979,"Chi",'Sổ thu chi'!$D$5:$D$1979,$B63))</f>
      </c>
      <c r="G63" s="20">
        <f>IF($B63="",0,SUMIFS('Sổ thu chi'!$I$5:$I$1979,'Sổ thu chi'!$B$5:$B$1979,DATE(NAM,G$3,1),'Sổ thu chi'!$C$5:$C$1979,"Chi",'Sổ thu chi'!$D$5:$D$1979,$B63))</f>
      </c>
      <c r="H63" s="20">
        <f>IF($B63="",0,SUMIFS('Sổ thu chi'!$I$5:$I$1979,'Sổ thu chi'!$B$5:$B$1979,DATE(NAM,H$3,1),'Sổ thu chi'!$C$5:$C$1979,"Chi",'Sổ thu chi'!$D$5:$D$1979,$B63))</f>
      </c>
      <c r="I63" s="20">
        <f>IF($B63="",0,SUMIFS('Sổ thu chi'!$I$5:$I$1979,'Sổ thu chi'!$B$5:$B$1979,DATE(NAM,I$3,1),'Sổ thu chi'!$C$5:$C$1979,"Chi",'Sổ thu chi'!$D$5:$D$1979,$B63))</f>
      </c>
      <c r="J63" s="20">
        <f>IF($B63="",0,SUMIFS('Sổ thu chi'!$I$5:$I$1979,'Sổ thu chi'!$B$5:$B$1979,DATE(NAM,J$3,1),'Sổ thu chi'!$C$5:$C$1979,"Chi",'Sổ thu chi'!$D$5:$D$1979,$B63))</f>
      </c>
      <c r="K63" s="20">
        <f>IF($B63="",0,SUMIFS('Sổ thu chi'!$I$5:$I$1979,'Sổ thu chi'!$B$5:$B$1979,DATE(NAM,K$3,1),'Sổ thu chi'!$C$5:$C$1979,"Chi",'Sổ thu chi'!$D$5:$D$1979,$B63))</f>
      </c>
      <c r="L63" s="20">
        <f>IF($B63="",0,SUMIFS('Sổ thu chi'!$I$5:$I$1979,'Sổ thu chi'!$B$5:$B$1979,DATE(NAM,L$3,1),'Sổ thu chi'!$C$5:$C$1979,"Chi",'Sổ thu chi'!$D$5:$D$1979,$B63))</f>
      </c>
      <c r="M63" s="20">
        <f>IF($B63="",0,SUMIFS('Sổ thu chi'!$I$5:$I$1979,'Sổ thu chi'!$B$5:$B$1979,DATE(NAM,M$3,1),'Sổ thu chi'!$C$5:$C$1979,"Chi",'Sổ thu chi'!$D$5:$D$1979,$B63))</f>
      </c>
      <c r="N63" s="20">
        <f>IF($B63="",0,SUMIFS('Sổ thu chi'!$I$5:$I$1979,'Sổ thu chi'!$B$5:$B$1979,DATE(NAM,N$3,1),'Sổ thu chi'!$C$5:$C$1979,"Chi",'Sổ thu chi'!$D$5:$D$1979,$B63))</f>
      </c>
      <c r="O63" s="20">
        <f>IF($B63="",0,SUMIFS('Sổ thu chi'!$I$5:$I$1979,'Sổ thu chi'!$B$5:$B$1979,DATE(NAM,O$3,1),'Sổ thu chi'!$C$5:$C$1979,"Chi",'Sổ thu chi'!$D$5:$D$1979,$B63))</f>
      </c>
      <c r="P63" s="21">
        <f t="shared" si="12"/>
      </c>
      <c r="Q63" s="22">
        <f t="shared" si="13"/>
      </c>
      <c r="R63" s="22">
        <f>IF(N('Danh mục'!E59)&gt;0,'Danh mục'!E59,"")</f>
      </c>
    </row>
    <row r="64" spans="1:18" x14ac:dyDescent="0.3">
      <c r="A64" s="19">
        <v>22</v>
      </c>
      <c r="B64" s="11">
        <f>IF('Danh mục'!A60="","",'Danh mục'!A60)</f>
      </c>
      <c r="C64" s="11">
        <f>'Danh mục'!B60&amp;""</f>
      </c>
      <c r="D64" s="20">
        <f>IF($B64="",0,SUMIFS('Sổ thu chi'!$I$5:$I$1979,'Sổ thu chi'!$B$5:$B$1979,DATE(NAM,D$3,1),'Sổ thu chi'!$C$5:$C$1979,"Chi",'Sổ thu chi'!$D$5:$D$1979,$B64))</f>
      </c>
      <c r="E64" s="20">
        <f>IF($B64="",0,SUMIFS('Sổ thu chi'!$I$5:$I$1979,'Sổ thu chi'!$B$5:$B$1979,DATE(NAM,E$3,1),'Sổ thu chi'!$C$5:$C$1979,"Chi",'Sổ thu chi'!$D$5:$D$1979,$B64))</f>
      </c>
      <c r="F64" s="20">
        <f>IF($B64="",0,SUMIFS('Sổ thu chi'!$I$5:$I$1979,'Sổ thu chi'!$B$5:$B$1979,DATE(NAM,F$3,1),'Sổ thu chi'!$C$5:$C$1979,"Chi",'Sổ thu chi'!$D$5:$D$1979,$B64))</f>
      </c>
      <c r="G64" s="20">
        <f>IF($B64="",0,SUMIFS('Sổ thu chi'!$I$5:$I$1979,'Sổ thu chi'!$B$5:$B$1979,DATE(NAM,G$3,1),'Sổ thu chi'!$C$5:$C$1979,"Chi",'Sổ thu chi'!$D$5:$D$1979,$B64))</f>
      </c>
      <c r="H64" s="20">
        <f>IF($B64="",0,SUMIFS('Sổ thu chi'!$I$5:$I$1979,'Sổ thu chi'!$B$5:$B$1979,DATE(NAM,H$3,1),'Sổ thu chi'!$C$5:$C$1979,"Chi",'Sổ thu chi'!$D$5:$D$1979,$B64))</f>
      </c>
      <c r="I64" s="20">
        <f>IF($B64="",0,SUMIFS('Sổ thu chi'!$I$5:$I$1979,'Sổ thu chi'!$B$5:$B$1979,DATE(NAM,I$3,1),'Sổ thu chi'!$C$5:$C$1979,"Chi",'Sổ thu chi'!$D$5:$D$1979,$B64))</f>
      </c>
      <c r="J64" s="20">
        <f>IF($B64="",0,SUMIFS('Sổ thu chi'!$I$5:$I$1979,'Sổ thu chi'!$B$5:$B$1979,DATE(NAM,J$3,1),'Sổ thu chi'!$C$5:$C$1979,"Chi",'Sổ thu chi'!$D$5:$D$1979,$B64))</f>
      </c>
      <c r="K64" s="20">
        <f>IF($B64="",0,SUMIFS('Sổ thu chi'!$I$5:$I$1979,'Sổ thu chi'!$B$5:$B$1979,DATE(NAM,K$3,1),'Sổ thu chi'!$C$5:$C$1979,"Chi",'Sổ thu chi'!$D$5:$D$1979,$B64))</f>
      </c>
      <c r="L64" s="20">
        <f>IF($B64="",0,SUMIFS('Sổ thu chi'!$I$5:$I$1979,'Sổ thu chi'!$B$5:$B$1979,DATE(NAM,L$3,1),'Sổ thu chi'!$C$5:$C$1979,"Chi",'Sổ thu chi'!$D$5:$D$1979,$B64))</f>
      </c>
      <c r="M64" s="20">
        <f>IF($B64="",0,SUMIFS('Sổ thu chi'!$I$5:$I$1979,'Sổ thu chi'!$B$5:$B$1979,DATE(NAM,M$3,1),'Sổ thu chi'!$C$5:$C$1979,"Chi",'Sổ thu chi'!$D$5:$D$1979,$B64))</f>
      </c>
      <c r="N64" s="20">
        <f>IF($B64="",0,SUMIFS('Sổ thu chi'!$I$5:$I$1979,'Sổ thu chi'!$B$5:$B$1979,DATE(NAM,N$3,1),'Sổ thu chi'!$C$5:$C$1979,"Chi",'Sổ thu chi'!$D$5:$D$1979,$B64))</f>
      </c>
      <c r="O64" s="20">
        <f>IF($B64="",0,SUMIFS('Sổ thu chi'!$I$5:$I$1979,'Sổ thu chi'!$B$5:$B$1979,DATE(NAM,O$3,1),'Sổ thu chi'!$C$5:$C$1979,"Chi",'Sổ thu chi'!$D$5:$D$1979,$B64))</f>
      </c>
      <c r="P64" s="21">
        <f t="shared" si="12"/>
      </c>
      <c r="Q64" s="22">
        <f t="shared" si="13"/>
      </c>
      <c r="R64" s="22">
        <f>IF(N('Danh mục'!E60)&gt;0,'Danh mục'!E60,"")</f>
      </c>
    </row>
    <row r="65" spans="1:18" x14ac:dyDescent="0.3">
      <c r="A65" s="19">
        <v>23</v>
      </c>
      <c r="B65" s="11">
        <f>IF('Danh mục'!A61="","",'Danh mục'!A61)</f>
      </c>
      <c r="C65" s="11">
        <f>'Danh mục'!B61&amp;""</f>
      </c>
      <c r="D65" s="20">
        <f>IF($B65="",0,SUMIFS('Sổ thu chi'!$I$5:$I$1979,'Sổ thu chi'!$B$5:$B$1979,DATE(NAM,D$3,1),'Sổ thu chi'!$C$5:$C$1979,"Chi",'Sổ thu chi'!$D$5:$D$1979,$B65))</f>
      </c>
      <c r="E65" s="20">
        <f>IF($B65="",0,SUMIFS('Sổ thu chi'!$I$5:$I$1979,'Sổ thu chi'!$B$5:$B$1979,DATE(NAM,E$3,1),'Sổ thu chi'!$C$5:$C$1979,"Chi",'Sổ thu chi'!$D$5:$D$1979,$B65))</f>
      </c>
      <c r="F65" s="20">
        <f>IF($B65="",0,SUMIFS('Sổ thu chi'!$I$5:$I$1979,'Sổ thu chi'!$B$5:$B$1979,DATE(NAM,F$3,1),'Sổ thu chi'!$C$5:$C$1979,"Chi",'Sổ thu chi'!$D$5:$D$1979,$B65))</f>
      </c>
      <c r="G65" s="20">
        <f>IF($B65="",0,SUMIFS('Sổ thu chi'!$I$5:$I$1979,'Sổ thu chi'!$B$5:$B$1979,DATE(NAM,G$3,1),'Sổ thu chi'!$C$5:$C$1979,"Chi",'Sổ thu chi'!$D$5:$D$1979,$B65))</f>
      </c>
      <c r="H65" s="20">
        <f>IF($B65="",0,SUMIFS('Sổ thu chi'!$I$5:$I$1979,'Sổ thu chi'!$B$5:$B$1979,DATE(NAM,H$3,1),'Sổ thu chi'!$C$5:$C$1979,"Chi",'Sổ thu chi'!$D$5:$D$1979,$B65))</f>
      </c>
      <c r="I65" s="20">
        <f>IF($B65="",0,SUMIFS('Sổ thu chi'!$I$5:$I$1979,'Sổ thu chi'!$B$5:$B$1979,DATE(NAM,I$3,1),'Sổ thu chi'!$C$5:$C$1979,"Chi",'Sổ thu chi'!$D$5:$D$1979,$B65))</f>
      </c>
      <c r="J65" s="20">
        <f>IF($B65="",0,SUMIFS('Sổ thu chi'!$I$5:$I$1979,'Sổ thu chi'!$B$5:$B$1979,DATE(NAM,J$3,1),'Sổ thu chi'!$C$5:$C$1979,"Chi",'Sổ thu chi'!$D$5:$D$1979,$B65))</f>
      </c>
      <c r="K65" s="20">
        <f>IF($B65="",0,SUMIFS('Sổ thu chi'!$I$5:$I$1979,'Sổ thu chi'!$B$5:$B$1979,DATE(NAM,K$3,1),'Sổ thu chi'!$C$5:$C$1979,"Chi",'Sổ thu chi'!$D$5:$D$1979,$B65))</f>
      </c>
      <c r="L65" s="20">
        <f>IF($B65="",0,SUMIFS('Sổ thu chi'!$I$5:$I$1979,'Sổ thu chi'!$B$5:$B$1979,DATE(NAM,L$3,1),'Sổ thu chi'!$C$5:$C$1979,"Chi",'Sổ thu chi'!$D$5:$D$1979,$B65))</f>
      </c>
      <c r="M65" s="20">
        <f>IF($B65="",0,SUMIFS('Sổ thu chi'!$I$5:$I$1979,'Sổ thu chi'!$B$5:$B$1979,DATE(NAM,M$3,1),'Sổ thu chi'!$C$5:$C$1979,"Chi",'Sổ thu chi'!$D$5:$D$1979,$B65))</f>
      </c>
      <c r="N65" s="20">
        <f>IF($B65="",0,SUMIFS('Sổ thu chi'!$I$5:$I$1979,'Sổ thu chi'!$B$5:$B$1979,DATE(NAM,N$3,1),'Sổ thu chi'!$C$5:$C$1979,"Chi",'Sổ thu chi'!$D$5:$D$1979,$B65))</f>
      </c>
      <c r="O65" s="20">
        <f>IF($B65="",0,SUMIFS('Sổ thu chi'!$I$5:$I$1979,'Sổ thu chi'!$B$5:$B$1979,DATE(NAM,O$3,1),'Sổ thu chi'!$C$5:$C$1979,"Chi",'Sổ thu chi'!$D$5:$D$1979,$B65))</f>
      </c>
      <c r="P65" s="21">
        <f t="shared" si="12"/>
      </c>
      <c r="Q65" s="22">
        <f t="shared" si="13"/>
      </c>
      <c r="R65" s="22">
        <f>IF(N('Danh mục'!E61)&gt;0,'Danh mục'!E61,"")</f>
      </c>
    </row>
    <row r="66" spans="1:18" x14ac:dyDescent="0.3">
      <c r="A66" s="19">
        <v>24</v>
      </c>
      <c r="B66" s="11">
        <f>IF('Danh mục'!A62="","",'Danh mục'!A62)</f>
      </c>
      <c r="C66" s="11">
        <f>'Danh mục'!B62&amp;""</f>
      </c>
      <c r="D66" s="20">
        <f>IF($B66="",0,SUMIFS('Sổ thu chi'!$I$5:$I$1979,'Sổ thu chi'!$B$5:$B$1979,DATE(NAM,D$3,1),'Sổ thu chi'!$C$5:$C$1979,"Chi",'Sổ thu chi'!$D$5:$D$1979,$B66))</f>
      </c>
      <c r="E66" s="20">
        <f>IF($B66="",0,SUMIFS('Sổ thu chi'!$I$5:$I$1979,'Sổ thu chi'!$B$5:$B$1979,DATE(NAM,E$3,1),'Sổ thu chi'!$C$5:$C$1979,"Chi",'Sổ thu chi'!$D$5:$D$1979,$B66))</f>
      </c>
      <c r="F66" s="20">
        <f>IF($B66="",0,SUMIFS('Sổ thu chi'!$I$5:$I$1979,'Sổ thu chi'!$B$5:$B$1979,DATE(NAM,F$3,1),'Sổ thu chi'!$C$5:$C$1979,"Chi",'Sổ thu chi'!$D$5:$D$1979,$B66))</f>
      </c>
      <c r="G66" s="20">
        <f>IF($B66="",0,SUMIFS('Sổ thu chi'!$I$5:$I$1979,'Sổ thu chi'!$B$5:$B$1979,DATE(NAM,G$3,1),'Sổ thu chi'!$C$5:$C$1979,"Chi",'Sổ thu chi'!$D$5:$D$1979,$B66))</f>
      </c>
      <c r="H66" s="20">
        <f>IF($B66="",0,SUMIFS('Sổ thu chi'!$I$5:$I$1979,'Sổ thu chi'!$B$5:$B$1979,DATE(NAM,H$3,1),'Sổ thu chi'!$C$5:$C$1979,"Chi",'Sổ thu chi'!$D$5:$D$1979,$B66))</f>
      </c>
      <c r="I66" s="20">
        <f>IF($B66="",0,SUMIFS('Sổ thu chi'!$I$5:$I$1979,'Sổ thu chi'!$B$5:$B$1979,DATE(NAM,I$3,1),'Sổ thu chi'!$C$5:$C$1979,"Chi",'Sổ thu chi'!$D$5:$D$1979,$B66))</f>
      </c>
      <c r="J66" s="20">
        <f>IF($B66="",0,SUMIFS('Sổ thu chi'!$I$5:$I$1979,'Sổ thu chi'!$B$5:$B$1979,DATE(NAM,J$3,1),'Sổ thu chi'!$C$5:$C$1979,"Chi",'Sổ thu chi'!$D$5:$D$1979,$B66))</f>
      </c>
      <c r="K66" s="20">
        <f>IF($B66="",0,SUMIFS('Sổ thu chi'!$I$5:$I$1979,'Sổ thu chi'!$B$5:$B$1979,DATE(NAM,K$3,1),'Sổ thu chi'!$C$5:$C$1979,"Chi",'Sổ thu chi'!$D$5:$D$1979,$B66))</f>
      </c>
      <c r="L66" s="20">
        <f>IF($B66="",0,SUMIFS('Sổ thu chi'!$I$5:$I$1979,'Sổ thu chi'!$B$5:$B$1979,DATE(NAM,L$3,1),'Sổ thu chi'!$C$5:$C$1979,"Chi",'Sổ thu chi'!$D$5:$D$1979,$B66))</f>
      </c>
      <c r="M66" s="20">
        <f>IF($B66="",0,SUMIFS('Sổ thu chi'!$I$5:$I$1979,'Sổ thu chi'!$B$5:$B$1979,DATE(NAM,M$3,1),'Sổ thu chi'!$C$5:$C$1979,"Chi",'Sổ thu chi'!$D$5:$D$1979,$B66))</f>
      </c>
      <c r="N66" s="20">
        <f>IF($B66="",0,SUMIFS('Sổ thu chi'!$I$5:$I$1979,'Sổ thu chi'!$B$5:$B$1979,DATE(NAM,N$3,1),'Sổ thu chi'!$C$5:$C$1979,"Chi",'Sổ thu chi'!$D$5:$D$1979,$B66))</f>
      </c>
      <c r="O66" s="20">
        <f>IF($B66="",0,SUMIFS('Sổ thu chi'!$I$5:$I$1979,'Sổ thu chi'!$B$5:$B$1979,DATE(NAM,O$3,1),'Sổ thu chi'!$C$5:$C$1979,"Chi",'Sổ thu chi'!$D$5:$D$1979,$B66))</f>
      </c>
      <c r="P66" s="21">
        <f t="shared" si="12"/>
      </c>
      <c r="Q66" s="22">
        <f t="shared" si="13"/>
      </c>
      <c r="R66" s="22">
        <f>IF(N('Danh mục'!E62)&gt;0,'Danh mục'!E62,"")</f>
      </c>
    </row>
    <row r="67" spans="1:18" x14ac:dyDescent="0.3">
      <c r="A67" s="19">
        <v>25</v>
      </c>
      <c r="B67" s="11">
        <f>IF('Danh mục'!A63="","",'Danh mục'!A63)</f>
      </c>
      <c r="C67" s="11">
        <f>'Danh mục'!B63&amp;""</f>
      </c>
      <c r="D67" s="20">
        <f>IF($B67="",0,SUMIFS('Sổ thu chi'!$I$5:$I$1979,'Sổ thu chi'!$B$5:$B$1979,DATE(NAM,D$3,1),'Sổ thu chi'!$C$5:$C$1979,"Chi",'Sổ thu chi'!$D$5:$D$1979,$B67))</f>
      </c>
      <c r="E67" s="20">
        <f>IF($B67="",0,SUMIFS('Sổ thu chi'!$I$5:$I$1979,'Sổ thu chi'!$B$5:$B$1979,DATE(NAM,E$3,1),'Sổ thu chi'!$C$5:$C$1979,"Chi",'Sổ thu chi'!$D$5:$D$1979,$B67))</f>
      </c>
      <c r="F67" s="20">
        <f>IF($B67="",0,SUMIFS('Sổ thu chi'!$I$5:$I$1979,'Sổ thu chi'!$B$5:$B$1979,DATE(NAM,F$3,1),'Sổ thu chi'!$C$5:$C$1979,"Chi",'Sổ thu chi'!$D$5:$D$1979,$B67))</f>
      </c>
      <c r="G67" s="20">
        <f>IF($B67="",0,SUMIFS('Sổ thu chi'!$I$5:$I$1979,'Sổ thu chi'!$B$5:$B$1979,DATE(NAM,G$3,1),'Sổ thu chi'!$C$5:$C$1979,"Chi",'Sổ thu chi'!$D$5:$D$1979,$B67))</f>
      </c>
      <c r="H67" s="20">
        <f>IF($B67="",0,SUMIFS('Sổ thu chi'!$I$5:$I$1979,'Sổ thu chi'!$B$5:$B$1979,DATE(NAM,H$3,1),'Sổ thu chi'!$C$5:$C$1979,"Chi",'Sổ thu chi'!$D$5:$D$1979,$B67))</f>
      </c>
      <c r="I67" s="20">
        <f>IF($B67="",0,SUMIFS('Sổ thu chi'!$I$5:$I$1979,'Sổ thu chi'!$B$5:$B$1979,DATE(NAM,I$3,1),'Sổ thu chi'!$C$5:$C$1979,"Chi",'Sổ thu chi'!$D$5:$D$1979,$B67))</f>
      </c>
      <c r="J67" s="20">
        <f>IF($B67="",0,SUMIFS('Sổ thu chi'!$I$5:$I$1979,'Sổ thu chi'!$B$5:$B$1979,DATE(NAM,J$3,1),'Sổ thu chi'!$C$5:$C$1979,"Chi",'Sổ thu chi'!$D$5:$D$1979,$B67))</f>
      </c>
      <c r="K67" s="20">
        <f>IF($B67="",0,SUMIFS('Sổ thu chi'!$I$5:$I$1979,'Sổ thu chi'!$B$5:$B$1979,DATE(NAM,K$3,1),'Sổ thu chi'!$C$5:$C$1979,"Chi",'Sổ thu chi'!$D$5:$D$1979,$B67))</f>
      </c>
      <c r="L67" s="20">
        <f>IF($B67="",0,SUMIFS('Sổ thu chi'!$I$5:$I$1979,'Sổ thu chi'!$B$5:$B$1979,DATE(NAM,L$3,1),'Sổ thu chi'!$C$5:$C$1979,"Chi",'Sổ thu chi'!$D$5:$D$1979,$B67))</f>
      </c>
      <c r="M67" s="20">
        <f>IF($B67="",0,SUMIFS('Sổ thu chi'!$I$5:$I$1979,'Sổ thu chi'!$B$5:$B$1979,DATE(NAM,M$3,1),'Sổ thu chi'!$C$5:$C$1979,"Chi",'Sổ thu chi'!$D$5:$D$1979,$B67))</f>
      </c>
      <c r="N67" s="20">
        <f>IF($B67="",0,SUMIFS('Sổ thu chi'!$I$5:$I$1979,'Sổ thu chi'!$B$5:$B$1979,DATE(NAM,N$3,1),'Sổ thu chi'!$C$5:$C$1979,"Chi",'Sổ thu chi'!$D$5:$D$1979,$B67))</f>
      </c>
      <c r="O67" s="20">
        <f>IF($B67="",0,SUMIFS('Sổ thu chi'!$I$5:$I$1979,'Sổ thu chi'!$B$5:$B$1979,DATE(NAM,O$3,1),'Sổ thu chi'!$C$5:$C$1979,"Chi",'Sổ thu chi'!$D$5:$D$1979,$B67))</f>
      </c>
      <c r="P67" s="21">
        <f t="shared" si="12"/>
      </c>
      <c r="Q67" s="22">
        <f t="shared" si="13"/>
      </c>
      <c r="R67" s="22">
        <f>IF(N('Danh mục'!E63)&gt;0,'Danh mục'!E63,"")</f>
      </c>
    </row>
    <row r="68" spans="1:18" x14ac:dyDescent="0.3">
      <c r="A68" s="19">
        <v>26</v>
      </c>
      <c r="B68" s="11">
        <f>IF('Danh mục'!A64="","",'Danh mục'!A64)</f>
      </c>
      <c r="C68" s="11">
        <f>'Danh mục'!B64&amp;""</f>
      </c>
      <c r="D68" s="20">
        <f>IF($B68="",0,SUMIFS('Sổ thu chi'!$I$5:$I$1979,'Sổ thu chi'!$B$5:$B$1979,DATE(NAM,D$3,1),'Sổ thu chi'!$C$5:$C$1979,"Chi",'Sổ thu chi'!$D$5:$D$1979,$B68))</f>
      </c>
      <c r="E68" s="20">
        <f>IF($B68="",0,SUMIFS('Sổ thu chi'!$I$5:$I$1979,'Sổ thu chi'!$B$5:$B$1979,DATE(NAM,E$3,1),'Sổ thu chi'!$C$5:$C$1979,"Chi",'Sổ thu chi'!$D$5:$D$1979,$B68))</f>
      </c>
      <c r="F68" s="20">
        <f>IF($B68="",0,SUMIFS('Sổ thu chi'!$I$5:$I$1979,'Sổ thu chi'!$B$5:$B$1979,DATE(NAM,F$3,1),'Sổ thu chi'!$C$5:$C$1979,"Chi",'Sổ thu chi'!$D$5:$D$1979,$B68))</f>
      </c>
      <c r="G68" s="20">
        <f>IF($B68="",0,SUMIFS('Sổ thu chi'!$I$5:$I$1979,'Sổ thu chi'!$B$5:$B$1979,DATE(NAM,G$3,1),'Sổ thu chi'!$C$5:$C$1979,"Chi",'Sổ thu chi'!$D$5:$D$1979,$B68))</f>
      </c>
      <c r="H68" s="20">
        <f>IF($B68="",0,SUMIFS('Sổ thu chi'!$I$5:$I$1979,'Sổ thu chi'!$B$5:$B$1979,DATE(NAM,H$3,1),'Sổ thu chi'!$C$5:$C$1979,"Chi",'Sổ thu chi'!$D$5:$D$1979,$B68))</f>
      </c>
      <c r="I68" s="20">
        <f>IF($B68="",0,SUMIFS('Sổ thu chi'!$I$5:$I$1979,'Sổ thu chi'!$B$5:$B$1979,DATE(NAM,I$3,1),'Sổ thu chi'!$C$5:$C$1979,"Chi",'Sổ thu chi'!$D$5:$D$1979,$B68))</f>
      </c>
      <c r="J68" s="20">
        <f>IF($B68="",0,SUMIFS('Sổ thu chi'!$I$5:$I$1979,'Sổ thu chi'!$B$5:$B$1979,DATE(NAM,J$3,1),'Sổ thu chi'!$C$5:$C$1979,"Chi",'Sổ thu chi'!$D$5:$D$1979,$B68))</f>
      </c>
      <c r="K68" s="20">
        <f>IF($B68="",0,SUMIFS('Sổ thu chi'!$I$5:$I$1979,'Sổ thu chi'!$B$5:$B$1979,DATE(NAM,K$3,1),'Sổ thu chi'!$C$5:$C$1979,"Chi",'Sổ thu chi'!$D$5:$D$1979,$B68))</f>
      </c>
      <c r="L68" s="20">
        <f>IF($B68="",0,SUMIFS('Sổ thu chi'!$I$5:$I$1979,'Sổ thu chi'!$B$5:$B$1979,DATE(NAM,L$3,1),'Sổ thu chi'!$C$5:$C$1979,"Chi",'Sổ thu chi'!$D$5:$D$1979,$B68))</f>
      </c>
      <c r="M68" s="20">
        <f>IF($B68="",0,SUMIFS('Sổ thu chi'!$I$5:$I$1979,'Sổ thu chi'!$B$5:$B$1979,DATE(NAM,M$3,1),'Sổ thu chi'!$C$5:$C$1979,"Chi",'Sổ thu chi'!$D$5:$D$1979,$B68))</f>
      </c>
      <c r="N68" s="20">
        <f>IF($B68="",0,SUMIFS('Sổ thu chi'!$I$5:$I$1979,'Sổ thu chi'!$B$5:$B$1979,DATE(NAM,N$3,1),'Sổ thu chi'!$C$5:$C$1979,"Chi",'Sổ thu chi'!$D$5:$D$1979,$B68))</f>
      </c>
      <c r="O68" s="20">
        <f>IF($B68="",0,SUMIFS('Sổ thu chi'!$I$5:$I$1979,'Sổ thu chi'!$B$5:$B$1979,DATE(NAM,O$3,1),'Sổ thu chi'!$C$5:$C$1979,"Chi",'Sổ thu chi'!$D$5:$D$1979,$B68))</f>
      </c>
      <c r="P68" s="21">
        <f t="shared" si="12"/>
      </c>
      <c r="Q68" s="22">
        <f t="shared" si="13"/>
      </c>
      <c r="R68" s="22">
        <f>IF(N('Danh mục'!E64)&gt;0,'Danh mục'!E64,"")</f>
      </c>
    </row>
    <row r="69" spans="1:18" x14ac:dyDescent="0.3">
      <c r="A69" s="19">
        <v>27</v>
      </c>
      <c r="B69" s="11">
        <f>IF('Danh mục'!A65="","",'Danh mục'!A65)</f>
      </c>
      <c r="C69" s="11">
        <f>'Danh mục'!B65&amp;""</f>
      </c>
      <c r="D69" s="20">
        <f>IF($B69="",0,SUMIFS('Sổ thu chi'!$I$5:$I$1979,'Sổ thu chi'!$B$5:$B$1979,DATE(NAM,D$3,1),'Sổ thu chi'!$C$5:$C$1979,"Chi",'Sổ thu chi'!$D$5:$D$1979,$B69))</f>
      </c>
      <c r="E69" s="20">
        <f>IF($B69="",0,SUMIFS('Sổ thu chi'!$I$5:$I$1979,'Sổ thu chi'!$B$5:$B$1979,DATE(NAM,E$3,1),'Sổ thu chi'!$C$5:$C$1979,"Chi",'Sổ thu chi'!$D$5:$D$1979,$B69))</f>
      </c>
      <c r="F69" s="20">
        <f>IF($B69="",0,SUMIFS('Sổ thu chi'!$I$5:$I$1979,'Sổ thu chi'!$B$5:$B$1979,DATE(NAM,F$3,1),'Sổ thu chi'!$C$5:$C$1979,"Chi",'Sổ thu chi'!$D$5:$D$1979,$B69))</f>
      </c>
      <c r="G69" s="20">
        <f>IF($B69="",0,SUMIFS('Sổ thu chi'!$I$5:$I$1979,'Sổ thu chi'!$B$5:$B$1979,DATE(NAM,G$3,1),'Sổ thu chi'!$C$5:$C$1979,"Chi",'Sổ thu chi'!$D$5:$D$1979,$B69))</f>
      </c>
      <c r="H69" s="20">
        <f>IF($B69="",0,SUMIFS('Sổ thu chi'!$I$5:$I$1979,'Sổ thu chi'!$B$5:$B$1979,DATE(NAM,H$3,1),'Sổ thu chi'!$C$5:$C$1979,"Chi",'Sổ thu chi'!$D$5:$D$1979,$B69))</f>
      </c>
      <c r="I69" s="20">
        <f>IF($B69="",0,SUMIFS('Sổ thu chi'!$I$5:$I$1979,'Sổ thu chi'!$B$5:$B$1979,DATE(NAM,I$3,1),'Sổ thu chi'!$C$5:$C$1979,"Chi",'Sổ thu chi'!$D$5:$D$1979,$B69))</f>
      </c>
      <c r="J69" s="20">
        <f>IF($B69="",0,SUMIFS('Sổ thu chi'!$I$5:$I$1979,'Sổ thu chi'!$B$5:$B$1979,DATE(NAM,J$3,1),'Sổ thu chi'!$C$5:$C$1979,"Chi",'Sổ thu chi'!$D$5:$D$1979,$B69))</f>
      </c>
      <c r="K69" s="20">
        <f>IF($B69="",0,SUMIFS('Sổ thu chi'!$I$5:$I$1979,'Sổ thu chi'!$B$5:$B$1979,DATE(NAM,K$3,1),'Sổ thu chi'!$C$5:$C$1979,"Chi",'Sổ thu chi'!$D$5:$D$1979,$B69))</f>
      </c>
      <c r="L69" s="20">
        <f>IF($B69="",0,SUMIFS('Sổ thu chi'!$I$5:$I$1979,'Sổ thu chi'!$B$5:$B$1979,DATE(NAM,L$3,1),'Sổ thu chi'!$C$5:$C$1979,"Chi",'Sổ thu chi'!$D$5:$D$1979,$B69))</f>
      </c>
      <c r="M69" s="20">
        <f>IF($B69="",0,SUMIFS('Sổ thu chi'!$I$5:$I$1979,'Sổ thu chi'!$B$5:$B$1979,DATE(NAM,M$3,1),'Sổ thu chi'!$C$5:$C$1979,"Chi",'Sổ thu chi'!$D$5:$D$1979,$B69))</f>
      </c>
      <c r="N69" s="20">
        <f>IF($B69="",0,SUMIFS('Sổ thu chi'!$I$5:$I$1979,'Sổ thu chi'!$B$5:$B$1979,DATE(NAM,N$3,1),'Sổ thu chi'!$C$5:$C$1979,"Chi",'Sổ thu chi'!$D$5:$D$1979,$B69))</f>
      </c>
      <c r="O69" s="20">
        <f>IF($B69="",0,SUMIFS('Sổ thu chi'!$I$5:$I$1979,'Sổ thu chi'!$B$5:$B$1979,DATE(NAM,O$3,1),'Sổ thu chi'!$C$5:$C$1979,"Chi",'Sổ thu chi'!$D$5:$D$1979,$B69))</f>
      </c>
      <c r="P69" s="21">
        <f t="shared" si="12"/>
      </c>
      <c r="Q69" s="22">
        <f t="shared" si="13"/>
      </c>
      <c r="R69" s="22">
        <f>IF(N('Danh mục'!E65)&gt;0,'Danh mục'!E65,"")</f>
      </c>
    </row>
    <row r="70" spans="1:18" x14ac:dyDescent="0.3">
      <c r="A70" s="19">
        <v>28</v>
      </c>
      <c r="B70" s="11">
        <f>IF('Danh mục'!A66="","",'Danh mục'!A66)</f>
      </c>
      <c r="C70" s="11">
        <f>'Danh mục'!B66&amp;""</f>
      </c>
      <c r="D70" s="20">
        <f>IF($B70="",0,SUMIFS('Sổ thu chi'!$I$5:$I$1979,'Sổ thu chi'!$B$5:$B$1979,DATE(NAM,D$3,1),'Sổ thu chi'!$C$5:$C$1979,"Chi",'Sổ thu chi'!$D$5:$D$1979,$B70))</f>
      </c>
      <c r="E70" s="20">
        <f>IF($B70="",0,SUMIFS('Sổ thu chi'!$I$5:$I$1979,'Sổ thu chi'!$B$5:$B$1979,DATE(NAM,E$3,1),'Sổ thu chi'!$C$5:$C$1979,"Chi",'Sổ thu chi'!$D$5:$D$1979,$B70))</f>
      </c>
      <c r="F70" s="20">
        <f>IF($B70="",0,SUMIFS('Sổ thu chi'!$I$5:$I$1979,'Sổ thu chi'!$B$5:$B$1979,DATE(NAM,F$3,1),'Sổ thu chi'!$C$5:$C$1979,"Chi",'Sổ thu chi'!$D$5:$D$1979,$B70))</f>
      </c>
      <c r="G70" s="20">
        <f>IF($B70="",0,SUMIFS('Sổ thu chi'!$I$5:$I$1979,'Sổ thu chi'!$B$5:$B$1979,DATE(NAM,G$3,1),'Sổ thu chi'!$C$5:$C$1979,"Chi",'Sổ thu chi'!$D$5:$D$1979,$B70))</f>
      </c>
      <c r="H70" s="20">
        <f>IF($B70="",0,SUMIFS('Sổ thu chi'!$I$5:$I$1979,'Sổ thu chi'!$B$5:$B$1979,DATE(NAM,H$3,1),'Sổ thu chi'!$C$5:$C$1979,"Chi",'Sổ thu chi'!$D$5:$D$1979,$B70))</f>
      </c>
      <c r="I70" s="20">
        <f>IF($B70="",0,SUMIFS('Sổ thu chi'!$I$5:$I$1979,'Sổ thu chi'!$B$5:$B$1979,DATE(NAM,I$3,1),'Sổ thu chi'!$C$5:$C$1979,"Chi",'Sổ thu chi'!$D$5:$D$1979,$B70))</f>
      </c>
      <c r="J70" s="20">
        <f>IF($B70="",0,SUMIFS('Sổ thu chi'!$I$5:$I$1979,'Sổ thu chi'!$B$5:$B$1979,DATE(NAM,J$3,1),'Sổ thu chi'!$C$5:$C$1979,"Chi",'Sổ thu chi'!$D$5:$D$1979,$B70))</f>
      </c>
      <c r="K70" s="20">
        <f>IF($B70="",0,SUMIFS('Sổ thu chi'!$I$5:$I$1979,'Sổ thu chi'!$B$5:$B$1979,DATE(NAM,K$3,1),'Sổ thu chi'!$C$5:$C$1979,"Chi",'Sổ thu chi'!$D$5:$D$1979,$B70))</f>
      </c>
      <c r="L70" s="20">
        <f>IF($B70="",0,SUMIFS('Sổ thu chi'!$I$5:$I$1979,'Sổ thu chi'!$B$5:$B$1979,DATE(NAM,L$3,1),'Sổ thu chi'!$C$5:$C$1979,"Chi",'Sổ thu chi'!$D$5:$D$1979,$B70))</f>
      </c>
      <c r="M70" s="20">
        <f>IF($B70="",0,SUMIFS('Sổ thu chi'!$I$5:$I$1979,'Sổ thu chi'!$B$5:$B$1979,DATE(NAM,M$3,1),'Sổ thu chi'!$C$5:$C$1979,"Chi",'Sổ thu chi'!$D$5:$D$1979,$B70))</f>
      </c>
      <c r="N70" s="20">
        <f>IF($B70="",0,SUMIFS('Sổ thu chi'!$I$5:$I$1979,'Sổ thu chi'!$B$5:$B$1979,DATE(NAM,N$3,1),'Sổ thu chi'!$C$5:$C$1979,"Chi",'Sổ thu chi'!$D$5:$D$1979,$B70))</f>
      </c>
      <c r="O70" s="20">
        <f>IF($B70="",0,SUMIFS('Sổ thu chi'!$I$5:$I$1979,'Sổ thu chi'!$B$5:$B$1979,DATE(NAM,O$3,1),'Sổ thu chi'!$C$5:$C$1979,"Chi",'Sổ thu chi'!$D$5:$D$1979,$B70))</f>
      </c>
      <c r="P70" s="21">
        <f t="shared" si="12"/>
      </c>
      <c r="Q70" s="22">
        <f t="shared" si="13"/>
      </c>
      <c r="R70" s="22">
        <f>IF(N('Danh mục'!E66)&gt;0,'Danh mục'!E66,"")</f>
      </c>
    </row>
    <row r="71" spans="1:18" x14ac:dyDescent="0.3">
      <c r="A71" s="19">
        <v>29</v>
      </c>
      <c r="B71" s="11">
        <f>IF('Danh mục'!A67="","",'Danh mục'!A67)</f>
      </c>
      <c r="C71" s="11">
        <f>'Danh mục'!B67&amp;""</f>
      </c>
      <c r="D71" s="20">
        <f>IF($B71="",0,SUMIFS('Sổ thu chi'!$I$5:$I$1979,'Sổ thu chi'!$B$5:$B$1979,DATE(NAM,D$3,1),'Sổ thu chi'!$C$5:$C$1979,"Chi",'Sổ thu chi'!$D$5:$D$1979,$B71))</f>
      </c>
      <c r="E71" s="20">
        <f>IF($B71="",0,SUMIFS('Sổ thu chi'!$I$5:$I$1979,'Sổ thu chi'!$B$5:$B$1979,DATE(NAM,E$3,1),'Sổ thu chi'!$C$5:$C$1979,"Chi",'Sổ thu chi'!$D$5:$D$1979,$B71))</f>
      </c>
      <c r="F71" s="20">
        <f>IF($B71="",0,SUMIFS('Sổ thu chi'!$I$5:$I$1979,'Sổ thu chi'!$B$5:$B$1979,DATE(NAM,F$3,1),'Sổ thu chi'!$C$5:$C$1979,"Chi",'Sổ thu chi'!$D$5:$D$1979,$B71))</f>
      </c>
      <c r="G71" s="20">
        <f>IF($B71="",0,SUMIFS('Sổ thu chi'!$I$5:$I$1979,'Sổ thu chi'!$B$5:$B$1979,DATE(NAM,G$3,1),'Sổ thu chi'!$C$5:$C$1979,"Chi",'Sổ thu chi'!$D$5:$D$1979,$B71))</f>
      </c>
      <c r="H71" s="20">
        <f>IF($B71="",0,SUMIFS('Sổ thu chi'!$I$5:$I$1979,'Sổ thu chi'!$B$5:$B$1979,DATE(NAM,H$3,1),'Sổ thu chi'!$C$5:$C$1979,"Chi",'Sổ thu chi'!$D$5:$D$1979,$B71))</f>
      </c>
      <c r="I71" s="20">
        <f>IF($B71="",0,SUMIFS('Sổ thu chi'!$I$5:$I$1979,'Sổ thu chi'!$B$5:$B$1979,DATE(NAM,I$3,1),'Sổ thu chi'!$C$5:$C$1979,"Chi",'Sổ thu chi'!$D$5:$D$1979,$B71))</f>
      </c>
      <c r="J71" s="20">
        <f>IF($B71="",0,SUMIFS('Sổ thu chi'!$I$5:$I$1979,'Sổ thu chi'!$B$5:$B$1979,DATE(NAM,J$3,1),'Sổ thu chi'!$C$5:$C$1979,"Chi",'Sổ thu chi'!$D$5:$D$1979,$B71))</f>
      </c>
      <c r="K71" s="20">
        <f>IF($B71="",0,SUMIFS('Sổ thu chi'!$I$5:$I$1979,'Sổ thu chi'!$B$5:$B$1979,DATE(NAM,K$3,1),'Sổ thu chi'!$C$5:$C$1979,"Chi",'Sổ thu chi'!$D$5:$D$1979,$B71))</f>
      </c>
      <c r="L71" s="20">
        <f>IF($B71="",0,SUMIFS('Sổ thu chi'!$I$5:$I$1979,'Sổ thu chi'!$B$5:$B$1979,DATE(NAM,L$3,1),'Sổ thu chi'!$C$5:$C$1979,"Chi",'Sổ thu chi'!$D$5:$D$1979,$B71))</f>
      </c>
      <c r="M71" s="20">
        <f>IF($B71="",0,SUMIFS('Sổ thu chi'!$I$5:$I$1979,'Sổ thu chi'!$B$5:$B$1979,DATE(NAM,M$3,1),'Sổ thu chi'!$C$5:$C$1979,"Chi",'Sổ thu chi'!$D$5:$D$1979,$B71))</f>
      </c>
      <c r="N71" s="20">
        <f>IF($B71="",0,SUMIFS('Sổ thu chi'!$I$5:$I$1979,'Sổ thu chi'!$B$5:$B$1979,DATE(NAM,N$3,1),'Sổ thu chi'!$C$5:$C$1979,"Chi",'Sổ thu chi'!$D$5:$D$1979,$B71))</f>
      </c>
      <c r="O71" s="20">
        <f>IF($B71="",0,SUMIFS('Sổ thu chi'!$I$5:$I$1979,'Sổ thu chi'!$B$5:$B$1979,DATE(NAM,O$3,1),'Sổ thu chi'!$C$5:$C$1979,"Chi",'Sổ thu chi'!$D$5:$D$1979,$B71))</f>
      </c>
      <c r="P71" s="21">
        <f t="shared" si="12"/>
      </c>
      <c r="Q71" s="22">
        <f t="shared" si="13"/>
      </c>
      <c r="R71" s="22">
        <f>IF(N('Danh mục'!E67)&gt;0,'Danh mục'!E67,"")</f>
      </c>
    </row>
    <row r="72" spans="1:18" x14ac:dyDescent="0.3">
      <c r="A72" s="19">
        <v>30</v>
      </c>
      <c r="B72" s="11">
        <f>IF('Danh mục'!A68="","",'Danh mục'!A68)</f>
      </c>
      <c r="C72" s="11">
        <f>'Danh mục'!B68&amp;""</f>
      </c>
      <c r="D72" s="20">
        <f>IF($B72="",0,SUMIFS('Sổ thu chi'!$I$5:$I$1979,'Sổ thu chi'!$B$5:$B$1979,DATE(NAM,D$3,1),'Sổ thu chi'!$C$5:$C$1979,"Chi",'Sổ thu chi'!$D$5:$D$1979,$B72))</f>
      </c>
      <c r="E72" s="20">
        <f>IF($B72="",0,SUMIFS('Sổ thu chi'!$I$5:$I$1979,'Sổ thu chi'!$B$5:$B$1979,DATE(NAM,E$3,1),'Sổ thu chi'!$C$5:$C$1979,"Chi",'Sổ thu chi'!$D$5:$D$1979,$B72))</f>
      </c>
      <c r="F72" s="20">
        <f>IF($B72="",0,SUMIFS('Sổ thu chi'!$I$5:$I$1979,'Sổ thu chi'!$B$5:$B$1979,DATE(NAM,F$3,1),'Sổ thu chi'!$C$5:$C$1979,"Chi",'Sổ thu chi'!$D$5:$D$1979,$B72))</f>
      </c>
      <c r="G72" s="20">
        <f>IF($B72="",0,SUMIFS('Sổ thu chi'!$I$5:$I$1979,'Sổ thu chi'!$B$5:$B$1979,DATE(NAM,G$3,1),'Sổ thu chi'!$C$5:$C$1979,"Chi",'Sổ thu chi'!$D$5:$D$1979,$B72))</f>
      </c>
      <c r="H72" s="20">
        <f>IF($B72="",0,SUMIFS('Sổ thu chi'!$I$5:$I$1979,'Sổ thu chi'!$B$5:$B$1979,DATE(NAM,H$3,1),'Sổ thu chi'!$C$5:$C$1979,"Chi",'Sổ thu chi'!$D$5:$D$1979,$B72))</f>
      </c>
      <c r="I72" s="20">
        <f>IF($B72="",0,SUMIFS('Sổ thu chi'!$I$5:$I$1979,'Sổ thu chi'!$B$5:$B$1979,DATE(NAM,I$3,1),'Sổ thu chi'!$C$5:$C$1979,"Chi",'Sổ thu chi'!$D$5:$D$1979,$B72))</f>
      </c>
      <c r="J72" s="20">
        <f>IF($B72="",0,SUMIFS('Sổ thu chi'!$I$5:$I$1979,'Sổ thu chi'!$B$5:$B$1979,DATE(NAM,J$3,1),'Sổ thu chi'!$C$5:$C$1979,"Chi",'Sổ thu chi'!$D$5:$D$1979,$B72))</f>
      </c>
      <c r="K72" s="20">
        <f>IF($B72="",0,SUMIFS('Sổ thu chi'!$I$5:$I$1979,'Sổ thu chi'!$B$5:$B$1979,DATE(NAM,K$3,1),'Sổ thu chi'!$C$5:$C$1979,"Chi",'Sổ thu chi'!$D$5:$D$1979,$B72))</f>
      </c>
      <c r="L72" s="20">
        <f>IF($B72="",0,SUMIFS('Sổ thu chi'!$I$5:$I$1979,'Sổ thu chi'!$B$5:$B$1979,DATE(NAM,L$3,1),'Sổ thu chi'!$C$5:$C$1979,"Chi",'Sổ thu chi'!$D$5:$D$1979,$B72))</f>
      </c>
      <c r="M72" s="20">
        <f>IF($B72="",0,SUMIFS('Sổ thu chi'!$I$5:$I$1979,'Sổ thu chi'!$B$5:$B$1979,DATE(NAM,M$3,1),'Sổ thu chi'!$C$5:$C$1979,"Chi",'Sổ thu chi'!$D$5:$D$1979,$B72))</f>
      </c>
      <c r="N72" s="20">
        <f>IF($B72="",0,SUMIFS('Sổ thu chi'!$I$5:$I$1979,'Sổ thu chi'!$B$5:$B$1979,DATE(NAM,N$3,1),'Sổ thu chi'!$C$5:$C$1979,"Chi",'Sổ thu chi'!$D$5:$D$1979,$B72))</f>
      </c>
      <c r="O72" s="20">
        <f>IF($B72="",0,SUMIFS('Sổ thu chi'!$I$5:$I$1979,'Sổ thu chi'!$B$5:$B$1979,DATE(NAM,O$3,1),'Sổ thu chi'!$C$5:$C$1979,"Chi",'Sổ thu chi'!$D$5:$D$1979,$B72))</f>
      </c>
      <c r="P72" s="21">
        <f t="shared" si="12"/>
      </c>
      <c r="Q72" s="22">
        <f t="shared" si="13"/>
      </c>
      <c r="R72" s="22">
        <f>IF(N('Danh mục'!E68)&gt;0,'Danh mục'!E68,"")</f>
      </c>
    </row>
    <row r="73" spans="1:18" x14ac:dyDescent="0.3">
      <c r="A73" s="19">
        <v>31</v>
      </c>
      <c r="B73" s="11">
        <f>IF('Danh mục'!A69="","",'Danh mục'!A69)</f>
      </c>
      <c r="C73" s="11">
        <f>'Danh mục'!B69&amp;""</f>
      </c>
      <c r="D73" s="20">
        <f>IF($B73="",0,SUMIFS('Sổ thu chi'!$I$5:$I$1979,'Sổ thu chi'!$B$5:$B$1979,DATE(NAM,D$3,1),'Sổ thu chi'!$C$5:$C$1979,"Chi",'Sổ thu chi'!$D$5:$D$1979,$B73))</f>
      </c>
      <c r="E73" s="20">
        <f>IF($B73="",0,SUMIFS('Sổ thu chi'!$I$5:$I$1979,'Sổ thu chi'!$B$5:$B$1979,DATE(NAM,E$3,1),'Sổ thu chi'!$C$5:$C$1979,"Chi",'Sổ thu chi'!$D$5:$D$1979,$B73))</f>
      </c>
      <c r="F73" s="20">
        <f>IF($B73="",0,SUMIFS('Sổ thu chi'!$I$5:$I$1979,'Sổ thu chi'!$B$5:$B$1979,DATE(NAM,F$3,1),'Sổ thu chi'!$C$5:$C$1979,"Chi",'Sổ thu chi'!$D$5:$D$1979,$B73))</f>
      </c>
      <c r="G73" s="20">
        <f>IF($B73="",0,SUMIFS('Sổ thu chi'!$I$5:$I$1979,'Sổ thu chi'!$B$5:$B$1979,DATE(NAM,G$3,1),'Sổ thu chi'!$C$5:$C$1979,"Chi",'Sổ thu chi'!$D$5:$D$1979,$B73))</f>
      </c>
      <c r="H73" s="20">
        <f>IF($B73="",0,SUMIFS('Sổ thu chi'!$I$5:$I$1979,'Sổ thu chi'!$B$5:$B$1979,DATE(NAM,H$3,1),'Sổ thu chi'!$C$5:$C$1979,"Chi",'Sổ thu chi'!$D$5:$D$1979,$B73))</f>
      </c>
      <c r="I73" s="20">
        <f>IF($B73="",0,SUMIFS('Sổ thu chi'!$I$5:$I$1979,'Sổ thu chi'!$B$5:$B$1979,DATE(NAM,I$3,1),'Sổ thu chi'!$C$5:$C$1979,"Chi",'Sổ thu chi'!$D$5:$D$1979,$B73))</f>
      </c>
      <c r="J73" s="20">
        <f>IF($B73="",0,SUMIFS('Sổ thu chi'!$I$5:$I$1979,'Sổ thu chi'!$B$5:$B$1979,DATE(NAM,J$3,1),'Sổ thu chi'!$C$5:$C$1979,"Chi",'Sổ thu chi'!$D$5:$D$1979,$B73))</f>
      </c>
      <c r="K73" s="20">
        <f>IF($B73="",0,SUMIFS('Sổ thu chi'!$I$5:$I$1979,'Sổ thu chi'!$B$5:$B$1979,DATE(NAM,K$3,1),'Sổ thu chi'!$C$5:$C$1979,"Chi",'Sổ thu chi'!$D$5:$D$1979,$B73))</f>
      </c>
      <c r="L73" s="20">
        <f>IF($B73="",0,SUMIFS('Sổ thu chi'!$I$5:$I$1979,'Sổ thu chi'!$B$5:$B$1979,DATE(NAM,L$3,1),'Sổ thu chi'!$C$5:$C$1979,"Chi",'Sổ thu chi'!$D$5:$D$1979,$B73))</f>
      </c>
      <c r="M73" s="20">
        <f>IF($B73="",0,SUMIFS('Sổ thu chi'!$I$5:$I$1979,'Sổ thu chi'!$B$5:$B$1979,DATE(NAM,M$3,1),'Sổ thu chi'!$C$5:$C$1979,"Chi",'Sổ thu chi'!$D$5:$D$1979,$B73))</f>
      </c>
      <c r="N73" s="20">
        <f>IF($B73="",0,SUMIFS('Sổ thu chi'!$I$5:$I$1979,'Sổ thu chi'!$B$5:$B$1979,DATE(NAM,N$3,1),'Sổ thu chi'!$C$5:$C$1979,"Chi",'Sổ thu chi'!$D$5:$D$1979,$B73))</f>
      </c>
      <c r="O73" s="20">
        <f>IF($B73="",0,SUMIFS('Sổ thu chi'!$I$5:$I$1979,'Sổ thu chi'!$B$5:$B$1979,DATE(NAM,O$3,1),'Sổ thu chi'!$C$5:$C$1979,"Chi",'Sổ thu chi'!$D$5:$D$1979,$B73))</f>
      </c>
      <c r="P73" s="21">
        <f t="shared" si="12"/>
      </c>
      <c r="Q73" s="22">
        <f t="shared" si="13"/>
      </c>
      <c r="R73" s="22">
        <f>IF(N('Danh mục'!E69)&gt;0,'Danh mục'!E69,"")</f>
      </c>
    </row>
    <row r="74" spans="1:18" x14ac:dyDescent="0.3">
      <c r="A74" s="19">
        <v>32</v>
      </c>
      <c r="B74" s="11">
        <f>IF('Danh mục'!A70="","",'Danh mục'!A70)</f>
      </c>
      <c r="C74" s="11">
        <f>'Danh mục'!B70&amp;""</f>
      </c>
      <c r="D74" s="20">
        <f>IF($B74="",0,SUMIFS('Sổ thu chi'!$I$5:$I$1979,'Sổ thu chi'!$B$5:$B$1979,DATE(NAM,D$3,1),'Sổ thu chi'!$C$5:$C$1979,"Chi",'Sổ thu chi'!$D$5:$D$1979,$B74))</f>
      </c>
      <c r="E74" s="20">
        <f>IF($B74="",0,SUMIFS('Sổ thu chi'!$I$5:$I$1979,'Sổ thu chi'!$B$5:$B$1979,DATE(NAM,E$3,1),'Sổ thu chi'!$C$5:$C$1979,"Chi",'Sổ thu chi'!$D$5:$D$1979,$B74))</f>
      </c>
      <c r="F74" s="20">
        <f>IF($B74="",0,SUMIFS('Sổ thu chi'!$I$5:$I$1979,'Sổ thu chi'!$B$5:$B$1979,DATE(NAM,F$3,1),'Sổ thu chi'!$C$5:$C$1979,"Chi",'Sổ thu chi'!$D$5:$D$1979,$B74))</f>
      </c>
      <c r="G74" s="20">
        <f>IF($B74="",0,SUMIFS('Sổ thu chi'!$I$5:$I$1979,'Sổ thu chi'!$B$5:$B$1979,DATE(NAM,G$3,1),'Sổ thu chi'!$C$5:$C$1979,"Chi",'Sổ thu chi'!$D$5:$D$1979,$B74))</f>
      </c>
      <c r="H74" s="20">
        <f>IF($B74="",0,SUMIFS('Sổ thu chi'!$I$5:$I$1979,'Sổ thu chi'!$B$5:$B$1979,DATE(NAM,H$3,1),'Sổ thu chi'!$C$5:$C$1979,"Chi",'Sổ thu chi'!$D$5:$D$1979,$B74))</f>
      </c>
      <c r="I74" s="20">
        <f>IF($B74="",0,SUMIFS('Sổ thu chi'!$I$5:$I$1979,'Sổ thu chi'!$B$5:$B$1979,DATE(NAM,I$3,1),'Sổ thu chi'!$C$5:$C$1979,"Chi",'Sổ thu chi'!$D$5:$D$1979,$B74))</f>
      </c>
      <c r="J74" s="20">
        <f>IF($B74="",0,SUMIFS('Sổ thu chi'!$I$5:$I$1979,'Sổ thu chi'!$B$5:$B$1979,DATE(NAM,J$3,1),'Sổ thu chi'!$C$5:$C$1979,"Chi",'Sổ thu chi'!$D$5:$D$1979,$B74))</f>
      </c>
      <c r="K74" s="20">
        <f>IF($B74="",0,SUMIFS('Sổ thu chi'!$I$5:$I$1979,'Sổ thu chi'!$B$5:$B$1979,DATE(NAM,K$3,1),'Sổ thu chi'!$C$5:$C$1979,"Chi",'Sổ thu chi'!$D$5:$D$1979,$B74))</f>
      </c>
      <c r="L74" s="20">
        <f>IF($B74="",0,SUMIFS('Sổ thu chi'!$I$5:$I$1979,'Sổ thu chi'!$B$5:$B$1979,DATE(NAM,L$3,1),'Sổ thu chi'!$C$5:$C$1979,"Chi",'Sổ thu chi'!$D$5:$D$1979,$B74))</f>
      </c>
      <c r="M74" s="20">
        <f>IF($B74="",0,SUMIFS('Sổ thu chi'!$I$5:$I$1979,'Sổ thu chi'!$B$5:$B$1979,DATE(NAM,M$3,1),'Sổ thu chi'!$C$5:$C$1979,"Chi",'Sổ thu chi'!$D$5:$D$1979,$B74))</f>
      </c>
      <c r="N74" s="20">
        <f>IF($B74="",0,SUMIFS('Sổ thu chi'!$I$5:$I$1979,'Sổ thu chi'!$B$5:$B$1979,DATE(NAM,N$3,1),'Sổ thu chi'!$C$5:$C$1979,"Chi",'Sổ thu chi'!$D$5:$D$1979,$B74))</f>
      </c>
      <c r="O74" s="20">
        <f>IF($B74="",0,SUMIFS('Sổ thu chi'!$I$5:$I$1979,'Sổ thu chi'!$B$5:$B$1979,DATE(NAM,O$3,1),'Sổ thu chi'!$C$5:$C$1979,"Chi",'Sổ thu chi'!$D$5:$D$1979,$B74))</f>
      </c>
      <c r="P74" s="21">
        <f t="shared" si="12"/>
      </c>
      <c r="Q74" s="22">
        <f t="shared" si="13"/>
      </c>
      <c r="R74" s="22">
        <f>IF(N('Danh mục'!E70)&gt;0,'Danh mục'!E70,"")</f>
      </c>
    </row>
    <row r="75" spans="1:18" x14ac:dyDescent="0.3">
      <c r="A75" s="19">
        <v>33</v>
      </c>
      <c r="B75" s="11">
        <f>IF('Danh mục'!A71="","",'Danh mục'!A71)</f>
      </c>
      <c r="C75" s="11">
        <f>'Danh mục'!B71&amp;""</f>
      </c>
      <c r="D75" s="20">
        <f>IF($B75="",0,SUMIFS('Sổ thu chi'!$I$5:$I$1979,'Sổ thu chi'!$B$5:$B$1979,DATE(NAM,D$3,1),'Sổ thu chi'!$C$5:$C$1979,"Chi",'Sổ thu chi'!$D$5:$D$1979,$B75))</f>
      </c>
      <c r="E75" s="20">
        <f>IF($B75="",0,SUMIFS('Sổ thu chi'!$I$5:$I$1979,'Sổ thu chi'!$B$5:$B$1979,DATE(NAM,E$3,1),'Sổ thu chi'!$C$5:$C$1979,"Chi",'Sổ thu chi'!$D$5:$D$1979,$B75))</f>
      </c>
      <c r="F75" s="20">
        <f>IF($B75="",0,SUMIFS('Sổ thu chi'!$I$5:$I$1979,'Sổ thu chi'!$B$5:$B$1979,DATE(NAM,F$3,1),'Sổ thu chi'!$C$5:$C$1979,"Chi",'Sổ thu chi'!$D$5:$D$1979,$B75))</f>
      </c>
      <c r="G75" s="20">
        <f>IF($B75="",0,SUMIFS('Sổ thu chi'!$I$5:$I$1979,'Sổ thu chi'!$B$5:$B$1979,DATE(NAM,G$3,1),'Sổ thu chi'!$C$5:$C$1979,"Chi",'Sổ thu chi'!$D$5:$D$1979,$B75))</f>
      </c>
      <c r="H75" s="20">
        <f>IF($B75="",0,SUMIFS('Sổ thu chi'!$I$5:$I$1979,'Sổ thu chi'!$B$5:$B$1979,DATE(NAM,H$3,1),'Sổ thu chi'!$C$5:$C$1979,"Chi",'Sổ thu chi'!$D$5:$D$1979,$B75))</f>
      </c>
      <c r="I75" s="20">
        <f>IF($B75="",0,SUMIFS('Sổ thu chi'!$I$5:$I$1979,'Sổ thu chi'!$B$5:$B$1979,DATE(NAM,I$3,1),'Sổ thu chi'!$C$5:$C$1979,"Chi",'Sổ thu chi'!$D$5:$D$1979,$B75))</f>
      </c>
      <c r="J75" s="20">
        <f>IF($B75="",0,SUMIFS('Sổ thu chi'!$I$5:$I$1979,'Sổ thu chi'!$B$5:$B$1979,DATE(NAM,J$3,1),'Sổ thu chi'!$C$5:$C$1979,"Chi",'Sổ thu chi'!$D$5:$D$1979,$B75))</f>
      </c>
      <c r="K75" s="20">
        <f>IF($B75="",0,SUMIFS('Sổ thu chi'!$I$5:$I$1979,'Sổ thu chi'!$B$5:$B$1979,DATE(NAM,K$3,1),'Sổ thu chi'!$C$5:$C$1979,"Chi",'Sổ thu chi'!$D$5:$D$1979,$B75))</f>
      </c>
      <c r="L75" s="20">
        <f>IF($B75="",0,SUMIFS('Sổ thu chi'!$I$5:$I$1979,'Sổ thu chi'!$B$5:$B$1979,DATE(NAM,L$3,1),'Sổ thu chi'!$C$5:$C$1979,"Chi",'Sổ thu chi'!$D$5:$D$1979,$B75))</f>
      </c>
      <c r="M75" s="20">
        <f>IF($B75="",0,SUMIFS('Sổ thu chi'!$I$5:$I$1979,'Sổ thu chi'!$B$5:$B$1979,DATE(NAM,M$3,1),'Sổ thu chi'!$C$5:$C$1979,"Chi",'Sổ thu chi'!$D$5:$D$1979,$B75))</f>
      </c>
      <c r="N75" s="20">
        <f>IF($B75="",0,SUMIFS('Sổ thu chi'!$I$5:$I$1979,'Sổ thu chi'!$B$5:$B$1979,DATE(NAM,N$3,1),'Sổ thu chi'!$C$5:$C$1979,"Chi",'Sổ thu chi'!$D$5:$D$1979,$B75))</f>
      </c>
      <c r="O75" s="20">
        <f>IF($B75="",0,SUMIFS('Sổ thu chi'!$I$5:$I$1979,'Sổ thu chi'!$B$5:$B$1979,DATE(NAM,O$3,1),'Sổ thu chi'!$C$5:$C$1979,"Chi",'Sổ thu chi'!$D$5:$D$1979,$B75))</f>
      </c>
      <c r="P75" s="21">
        <f t="shared" si="12"/>
      </c>
      <c r="Q75" s="22">
        <f t="shared" si="13"/>
      </c>
      <c r="R75" s="22">
        <f>IF(N('Danh mục'!E71)&gt;0,'Danh mục'!E71,"")</f>
      </c>
    </row>
    <row r="76" spans="1:18" x14ac:dyDescent="0.3">
      <c r="A76" s="19">
        <v>34</v>
      </c>
      <c r="B76" s="11">
        <f>IF('Danh mục'!A72="","",'Danh mục'!A72)</f>
      </c>
      <c r="C76" s="11">
        <f>'Danh mục'!B72&amp;""</f>
      </c>
      <c r="D76" s="20">
        <f>IF($B76="",0,SUMIFS('Sổ thu chi'!$I$5:$I$1979,'Sổ thu chi'!$B$5:$B$1979,DATE(NAM,D$3,1),'Sổ thu chi'!$C$5:$C$1979,"Chi",'Sổ thu chi'!$D$5:$D$1979,$B76))</f>
      </c>
      <c r="E76" s="20">
        <f>IF($B76="",0,SUMIFS('Sổ thu chi'!$I$5:$I$1979,'Sổ thu chi'!$B$5:$B$1979,DATE(NAM,E$3,1),'Sổ thu chi'!$C$5:$C$1979,"Chi",'Sổ thu chi'!$D$5:$D$1979,$B76))</f>
      </c>
      <c r="F76" s="20">
        <f>IF($B76="",0,SUMIFS('Sổ thu chi'!$I$5:$I$1979,'Sổ thu chi'!$B$5:$B$1979,DATE(NAM,F$3,1),'Sổ thu chi'!$C$5:$C$1979,"Chi",'Sổ thu chi'!$D$5:$D$1979,$B76))</f>
      </c>
      <c r="G76" s="20">
        <f>IF($B76="",0,SUMIFS('Sổ thu chi'!$I$5:$I$1979,'Sổ thu chi'!$B$5:$B$1979,DATE(NAM,G$3,1),'Sổ thu chi'!$C$5:$C$1979,"Chi",'Sổ thu chi'!$D$5:$D$1979,$B76))</f>
      </c>
      <c r="H76" s="20">
        <f>IF($B76="",0,SUMIFS('Sổ thu chi'!$I$5:$I$1979,'Sổ thu chi'!$B$5:$B$1979,DATE(NAM,H$3,1),'Sổ thu chi'!$C$5:$C$1979,"Chi",'Sổ thu chi'!$D$5:$D$1979,$B76))</f>
      </c>
      <c r="I76" s="20">
        <f>IF($B76="",0,SUMIFS('Sổ thu chi'!$I$5:$I$1979,'Sổ thu chi'!$B$5:$B$1979,DATE(NAM,I$3,1),'Sổ thu chi'!$C$5:$C$1979,"Chi",'Sổ thu chi'!$D$5:$D$1979,$B76))</f>
      </c>
      <c r="J76" s="20">
        <f>IF($B76="",0,SUMIFS('Sổ thu chi'!$I$5:$I$1979,'Sổ thu chi'!$B$5:$B$1979,DATE(NAM,J$3,1),'Sổ thu chi'!$C$5:$C$1979,"Chi",'Sổ thu chi'!$D$5:$D$1979,$B76))</f>
      </c>
      <c r="K76" s="20">
        <f>IF($B76="",0,SUMIFS('Sổ thu chi'!$I$5:$I$1979,'Sổ thu chi'!$B$5:$B$1979,DATE(NAM,K$3,1),'Sổ thu chi'!$C$5:$C$1979,"Chi",'Sổ thu chi'!$D$5:$D$1979,$B76))</f>
      </c>
      <c r="L76" s="20">
        <f>IF($B76="",0,SUMIFS('Sổ thu chi'!$I$5:$I$1979,'Sổ thu chi'!$B$5:$B$1979,DATE(NAM,L$3,1),'Sổ thu chi'!$C$5:$C$1979,"Chi",'Sổ thu chi'!$D$5:$D$1979,$B76))</f>
      </c>
      <c r="M76" s="20">
        <f>IF($B76="",0,SUMIFS('Sổ thu chi'!$I$5:$I$1979,'Sổ thu chi'!$B$5:$B$1979,DATE(NAM,M$3,1),'Sổ thu chi'!$C$5:$C$1979,"Chi",'Sổ thu chi'!$D$5:$D$1979,$B76))</f>
      </c>
      <c r="N76" s="20">
        <f>IF($B76="",0,SUMIFS('Sổ thu chi'!$I$5:$I$1979,'Sổ thu chi'!$B$5:$B$1979,DATE(NAM,N$3,1),'Sổ thu chi'!$C$5:$C$1979,"Chi",'Sổ thu chi'!$D$5:$D$1979,$B76))</f>
      </c>
      <c r="O76" s="20">
        <f>IF($B76="",0,SUMIFS('Sổ thu chi'!$I$5:$I$1979,'Sổ thu chi'!$B$5:$B$1979,DATE(NAM,O$3,1),'Sổ thu chi'!$C$5:$C$1979,"Chi",'Sổ thu chi'!$D$5:$D$1979,$B76))</f>
      </c>
      <c r="P76" s="21">
        <f t="shared" si="12"/>
      </c>
      <c r="Q76" s="22">
        <f t="shared" si="13"/>
      </c>
      <c r="R76" s="22">
        <f>IF(N('Danh mục'!E72)&gt;0,'Danh mục'!E72,"")</f>
      </c>
    </row>
    <row r="77" spans="1:18" x14ac:dyDescent="0.3">
      <c r="A77" s="19">
        <v>35</v>
      </c>
      <c r="B77" s="11">
        <f>IF('Danh mục'!A73="","",'Danh mục'!A73)</f>
      </c>
      <c r="C77" s="11">
        <f>'Danh mục'!B73&amp;""</f>
      </c>
      <c r="D77" s="20">
        <f>IF($B77="",0,SUMIFS('Sổ thu chi'!$I$5:$I$1979,'Sổ thu chi'!$B$5:$B$1979,DATE(NAM,D$3,1),'Sổ thu chi'!$C$5:$C$1979,"Chi",'Sổ thu chi'!$D$5:$D$1979,$B77))</f>
      </c>
      <c r="E77" s="20">
        <f>IF($B77="",0,SUMIFS('Sổ thu chi'!$I$5:$I$1979,'Sổ thu chi'!$B$5:$B$1979,DATE(NAM,E$3,1),'Sổ thu chi'!$C$5:$C$1979,"Chi",'Sổ thu chi'!$D$5:$D$1979,$B77))</f>
      </c>
      <c r="F77" s="20">
        <f>IF($B77="",0,SUMIFS('Sổ thu chi'!$I$5:$I$1979,'Sổ thu chi'!$B$5:$B$1979,DATE(NAM,F$3,1),'Sổ thu chi'!$C$5:$C$1979,"Chi",'Sổ thu chi'!$D$5:$D$1979,$B77))</f>
      </c>
      <c r="G77" s="20">
        <f>IF($B77="",0,SUMIFS('Sổ thu chi'!$I$5:$I$1979,'Sổ thu chi'!$B$5:$B$1979,DATE(NAM,G$3,1),'Sổ thu chi'!$C$5:$C$1979,"Chi",'Sổ thu chi'!$D$5:$D$1979,$B77))</f>
      </c>
      <c r="H77" s="20">
        <f>IF($B77="",0,SUMIFS('Sổ thu chi'!$I$5:$I$1979,'Sổ thu chi'!$B$5:$B$1979,DATE(NAM,H$3,1),'Sổ thu chi'!$C$5:$C$1979,"Chi",'Sổ thu chi'!$D$5:$D$1979,$B77))</f>
      </c>
      <c r="I77" s="20">
        <f>IF($B77="",0,SUMIFS('Sổ thu chi'!$I$5:$I$1979,'Sổ thu chi'!$B$5:$B$1979,DATE(NAM,I$3,1),'Sổ thu chi'!$C$5:$C$1979,"Chi",'Sổ thu chi'!$D$5:$D$1979,$B77))</f>
      </c>
      <c r="J77" s="20">
        <f>IF($B77="",0,SUMIFS('Sổ thu chi'!$I$5:$I$1979,'Sổ thu chi'!$B$5:$B$1979,DATE(NAM,J$3,1),'Sổ thu chi'!$C$5:$C$1979,"Chi",'Sổ thu chi'!$D$5:$D$1979,$B77))</f>
      </c>
      <c r="K77" s="20">
        <f>IF($B77="",0,SUMIFS('Sổ thu chi'!$I$5:$I$1979,'Sổ thu chi'!$B$5:$B$1979,DATE(NAM,K$3,1),'Sổ thu chi'!$C$5:$C$1979,"Chi",'Sổ thu chi'!$D$5:$D$1979,$B77))</f>
      </c>
      <c r="L77" s="20">
        <f>IF($B77="",0,SUMIFS('Sổ thu chi'!$I$5:$I$1979,'Sổ thu chi'!$B$5:$B$1979,DATE(NAM,L$3,1),'Sổ thu chi'!$C$5:$C$1979,"Chi",'Sổ thu chi'!$D$5:$D$1979,$B77))</f>
      </c>
      <c r="M77" s="20">
        <f>IF($B77="",0,SUMIFS('Sổ thu chi'!$I$5:$I$1979,'Sổ thu chi'!$B$5:$B$1979,DATE(NAM,M$3,1),'Sổ thu chi'!$C$5:$C$1979,"Chi",'Sổ thu chi'!$D$5:$D$1979,$B77))</f>
      </c>
      <c r="N77" s="20">
        <f>IF($B77="",0,SUMIFS('Sổ thu chi'!$I$5:$I$1979,'Sổ thu chi'!$B$5:$B$1979,DATE(NAM,N$3,1),'Sổ thu chi'!$C$5:$C$1979,"Chi",'Sổ thu chi'!$D$5:$D$1979,$B77))</f>
      </c>
      <c r="O77" s="20">
        <f>IF($B77="",0,SUMIFS('Sổ thu chi'!$I$5:$I$1979,'Sổ thu chi'!$B$5:$B$1979,DATE(NAM,O$3,1),'Sổ thu chi'!$C$5:$C$1979,"Chi",'Sổ thu chi'!$D$5:$D$1979,$B77))</f>
      </c>
      <c r="P77" s="21">
        <f t="shared" si="12"/>
      </c>
      <c r="Q77" s="22">
        <f t="shared" si="13"/>
      </c>
      <c r="R77" s="22">
        <f>IF(N('Danh mục'!E73)&gt;0,'Danh mục'!E73,"")</f>
      </c>
    </row>
    <row r="78" spans="1:18" x14ac:dyDescent="0.3">
      <c r="A78" s="19">
        <v>36</v>
      </c>
      <c r="B78" s="11">
        <f>IF('Danh mục'!A74="","",'Danh mục'!A74)</f>
      </c>
      <c r="C78" s="11">
        <f>'Danh mục'!B74&amp;""</f>
      </c>
      <c r="D78" s="20">
        <f>IF($B78="",0,SUMIFS('Sổ thu chi'!$I$5:$I$1979,'Sổ thu chi'!$B$5:$B$1979,DATE(NAM,D$3,1),'Sổ thu chi'!$C$5:$C$1979,"Chi",'Sổ thu chi'!$D$5:$D$1979,$B78))</f>
      </c>
      <c r="E78" s="20">
        <f>IF($B78="",0,SUMIFS('Sổ thu chi'!$I$5:$I$1979,'Sổ thu chi'!$B$5:$B$1979,DATE(NAM,E$3,1),'Sổ thu chi'!$C$5:$C$1979,"Chi",'Sổ thu chi'!$D$5:$D$1979,$B78))</f>
      </c>
      <c r="F78" s="20">
        <f>IF($B78="",0,SUMIFS('Sổ thu chi'!$I$5:$I$1979,'Sổ thu chi'!$B$5:$B$1979,DATE(NAM,F$3,1),'Sổ thu chi'!$C$5:$C$1979,"Chi",'Sổ thu chi'!$D$5:$D$1979,$B78))</f>
      </c>
      <c r="G78" s="20">
        <f>IF($B78="",0,SUMIFS('Sổ thu chi'!$I$5:$I$1979,'Sổ thu chi'!$B$5:$B$1979,DATE(NAM,G$3,1),'Sổ thu chi'!$C$5:$C$1979,"Chi",'Sổ thu chi'!$D$5:$D$1979,$B78))</f>
      </c>
      <c r="H78" s="20">
        <f>IF($B78="",0,SUMIFS('Sổ thu chi'!$I$5:$I$1979,'Sổ thu chi'!$B$5:$B$1979,DATE(NAM,H$3,1),'Sổ thu chi'!$C$5:$C$1979,"Chi",'Sổ thu chi'!$D$5:$D$1979,$B78))</f>
      </c>
      <c r="I78" s="20">
        <f>IF($B78="",0,SUMIFS('Sổ thu chi'!$I$5:$I$1979,'Sổ thu chi'!$B$5:$B$1979,DATE(NAM,I$3,1),'Sổ thu chi'!$C$5:$C$1979,"Chi",'Sổ thu chi'!$D$5:$D$1979,$B78))</f>
      </c>
      <c r="J78" s="20">
        <f>IF($B78="",0,SUMIFS('Sổ thu chi'!$I$5:$I$1979,'Sổ thu chi'!$B$5:$B$1979,DATE(NAM,J$3,1),'Sổ thu chi'!$C$5:$C$1979,"Chi",'Sổ thu chi'!$D$5:$D$1979,$B78))</f>
      </c>
      <c r="K78" s="20">
        <f>IF($B78="",0,SUMIFS('Sổ thu chi'!$I$5:$I$1979,'Sổ thu chi'!$B$5:$B$1979,DATE(NAM,K$3,1),'Sổ thu chi'!$C$5:$C$1979,"Chi",'Sổ thu chi'!$D$5:$D$1979,$B78))</f>
      </c>
      <c r="L78" s="20">
        <f>IF($B78="",0,SUMIFS('Sổ thu chi'!$I$5:$I$1979,'Sổ thu chi'!$B$5:$B$1979,DATE(NAM,L$3,1),'Sổ thu chi'!$C$5:$C$1979,"Chi",'Sổ thu chi'!$D$5:$D$1979,$B78))</f>
      </c>
      <c r="M78" s="20">
        <f>IF($B78="",0,SUMIFS('Sổ thu chi'!$I$5:$I$1979,'Sổ thu chi'!$B$5:$B$1979,DATE(NAM,M$3,1),'Sổ thu chi'!$C$5:$C$1979,"Chi",'Sổ thu chi'!$D$5:$D$1979,$B78))</f>
      </c>
      <c r="N78" s="20">
        <f>IF($B78="",0,SUMIFS('Sổ thu chi'!$I$5:$I$1979,'Sổ thu chi'!$B$5:$B$1979,DATE(NAM,N$3,1),'Sổ thu chi'!$C$5:$C$1979,"Chi",'Sổ thu chi'!$D$5:$D$1979,$B78))</f>
      </c>
      <c r="O78" s="20">
        <f>IF($B78="",0,SUMIFS('Sổ thu chi'!$I$5:$I$1979,'Sổ thu chi'!$B$5:$B$1979,DATE(NAM,O$3,1),'Sổ thu chi'!$C$5:$C$1979,"Chi",'Sổ thu chi'!$D$5:$D$1979,$B78))</f>
      </c>
      <c r="P78" s="21">
        <f t="shared" si="12"/>
      </c>
      <c r="Q78" s="22">
        <f t="shared" si="13"/>
      </c>
      <c r="R78" s="22">
        <f>IF(N('Danh mục'!E74)&gt;0,'Danh mục'!E74,"")</f>
      </c>
    </row>
    <row r="79" spans="1:18" x14ac:dyDescent="0.3">
      <c r="A79" s="19">
        <v>37</v>
      </c>
      <c r="B79" s="11">
        <f>IF('Danh mục'!A75="","",'Danh mục'!A75)</f>
      </c>
      <c r="C79" s="11">
        <f>'Danh mục'!B75&amp;""</f>
      </c>
      <c r="D79" s="20">
        <f>IF($B79="",0,SUMIFS('Sổ thu chi'!$I$5:$I$1979,'Sổ thu chi'!$B$5:$B$1979,DATE(NAM,D$3,1),'Sổ thu chi'!$C$5:$C$1979,"Chi",'Sổ thu chi'!$D$5:$D$1979,$B79))</f>
      </c>
      <c r="E79" s="20">
        <f>IF($B79="",0,SUMIFS('Sổ thu chi'!$I$5:$I$1979,'Sổ thu chi'!$B$5:$B$1979,DATE(NAM,E$3,1),'Sổ thu chi'!$C$5:$C$1979,"Chi",'Sổ thu chi'!$D$5:$D$1979,$B79))</f>
      </c>
      <c r="F79" s="20">
        <f>IF($B79="",0,SUMIFS('Sổ thu chi'!$I$5:$I$1979,'Sổ thu chi'!$B$5:$B$1979,DATE(NAM,F$3,1),'Sổ thu chi'!$C$5:$C$1979,"Chi",'Sổ thu chi'!$D$5:$D$1979,$B79))</f>
      </c>
      <c r="G79" s="20">
        <f>IF($B79="",0,SUMIFS('Sổ thu chi'!$I$5:$I$1979,'Sổ thu chi'!$B$5:$B$1979,DATE(NAM,G$3,1),'Sổ thu chi'!$C$5:$C$1979,"Chi",'Sổ thu chi'!$D$5:$D$1979,$B79))</f>
      </c>
      <c r="H79" s="20">
        <f>IF($B79="",0,SUMIFS('Sổ thu chi'!$I$5:$I$1979,'Sổ thu chi'!$B$5:$B$1979,DATE(NAM,H$3,1),'Sổ thu chi'!$C$5:$C$1979,"Chi",'Sổ thu chi'!$D$5:$D$1979,$B79))</f>
      </c>
      <c r="I79" s="20">
        <f>IF($B79="",0,SUMIFS('Sổ thu chi'!$I$5:$I$1979,'Sổ thu chi'!$B$5:$B$1979,DATE(NAM,I$3,1),'Sổ thu chi'!$C$5:$C$1979,"Chi",'Sổ thu chi'!$D$5:$D$1979,$B79))</f>
      </c>
      <c r="J79" s="20">
        <f>IF($B79="",0,SUMIFS('Sổ thu chi'!$I$5:$I$1979,'Sổ thu chi'!$B$5:$B$1979,DATE(NAM,J$3,1),'Sổ thu chi'!$C$5:$C$1979,"Chi",'Sổ thu chi'!$D$5:$D$1979,$B79))</f>
      </c>
      <c r="K79" s="20">
        <f>IF($B79="",0,SUMIFS('Sổ thu chi'!$I$5:$I$1979,'Sổ thu chi'!$B$5:$B$1979,DATE(NAM,K$3,1),'Sổ thu chi'!$C$5:$C$1979,"Chi",'Sổ thu chi'!$D$5:$D$1979,$B79))</f>
      </c>
      <c r="L79" s="20">
        <f>IF($B79="",0,SUMIFS('Sổ thu chi'!$I$5:$I$1979,'Sổ thu chi'!$B$5:$B$1979,DATE(NAM,L$3,1),'Sổ thu chi'!$C$5:$C$1979,"Chi",'Sổ thu chi'!$D$5:$D$1979,$B79))</f>
      </c>
      <c r="M79" s="20">
        <f>IF($B79="",0,SUMIFS('Sổ thu chi'!$I$5:$I$1979,'Sổ thu chi'!$B$5:$B$1979,DATE(NAM,M$3,1),'Sổ thu chi'!$C$5:$C$1979,"Chi",'Sổ thu chi'!$D$5:$D$1979,$B79))</f>
      </c>
      <c r="N79" s="20">
        <f>IF($B79="",0,SUMIFS('Sổ thu chi'!$I$5:$I$1979,'Sổ thu chi'!$B$5:$B$1979,DATE(NAM,N$3,1),'Sổ thu chi'!$C$5:$C$1979,"Chi",'Sổ thu chi'!$D$5:$D$1979,$B79))</f>
      </c>
      <c r="O79" s="20">
        <f>IF($B79="",0,SUMIFS('Sổ thu chi'!$I$5:$I$1979,'Sổ thu chi'!$B$5:$B$1979,DATE(NAM,O$3,1),'Sổ thu chi'!$C$5:$C$1979,"Chi",'Sổ thu chi'!$D$5:$D$1979,$B79))</f>
      </c>
      <c r="P79" s="21">
        <f t="shared" si="12"/>
      </c>
      <c r="Q79" s="22">
        <f t="shared" si="13"/>
      </c>
      <c r="R79" s="22">
        <f>IF(N('Danh mục'!E75)&gt;0,'Danh mục'!E75,"")</f>
      </c>
    </row>
    <row r="80" spans="1:18" x14ac:dyDescent="0.3">
      <c r="A80" s="19">
        <v>38</v>
      </c>
      <c r="B80" s="11">
        <f>IF('Danh mục'!A76="","",'Danh mục'!A76)</f>
      </c>
      <c r="C80" s="11">
        <f>'Danh mục'!B76&amp;""</f>
      </c>
      <c r="D80" s="20">
        <f>IF($B80="",0,SUMIFS('Sổ thu chi'!$I$5:$I$1979,'Sổ thu chi'!$B$5:$B$1979,DATE(NAM,D$3,1),'Sổ thu chi'!$C$5:$C$1979,"Chi",'Sổ thu chi'!$D$5:$D$1979,$B80))</f>
      </c>
      <c r="E80" s="20">
        <f>IF($B80="",0,SUMIFS('Sổ thu chi'!$I$5:$I$1979,'Sổ thu chi'!$B$5:$B$1979,DATE(NAM,E$3,1),'Sổ thu chi'!$C$5:$C$1979,"Chi",'Sổ thu chi'!$D$5:$D$1979,$B80))</f>
      </c>
      <c r="F80" s="20">
        <f>IF($B80="",0,SUMIFS('Sổ thu chi'!$I$5:$I$1979,'Sổ thu chi'!$B$5:$B$1979,DATE(NAM,F$3,1),'Sổ thu chi'!$C$5:$C$1979,"Chi",'Sổ thu chi'!$D$5:$D$1979,$B80))</f>
      </c>
      <c r="G80" s="20">
        <f>IF($B80="",0,SUMIFS('Sổ thu chi'!$I$5:$I$1979,'Sổ thu chi'!$B$5:$B$1979,DATE(NAM,G$3,1),'Sổ thu chi'!$C$5:$C$1979,"Chi",'Sổ thu chi'!$D$5:$D$1979,$B80))</f>
      </c>
      <c r="H80" s="20">
        <f>IF($B80="",0,SUMIFS('Sổ thu chi'!$I$5:$I$1979,'Sổ thu chi'!$B$5:$B$1979,DATE(NAM,H$3,1),'Sổ thu chi'!$C$5:$C$1979,"Chi",'Sổ thu chi'!$D$5:$D$1979,$B80))</f>
      </c>
      <c r="I80" s="20">
        <f>IF($B80="",0,SUMIFS('Sổ thu chi'!$I$5:$I$1979,'Sổ thu chi'!$B$5:$B$1979,DATE(NAM,I$3,1),'Sổ thu chi'!$C$5:$C$1979,"Chi",'Sổ thu chi'!$D$5:$D$1979,$B80))</f>
      </c>
      <c r="J80" s="20">
        <f>IF($B80="",0,SUMIFS('Sổ thu chi'!$I$5:$I$1979,'Sổ thu chi'!$B$5:$B$1979,DATE(NAM,J$3,1),'Sổ thu chi'!$C$5:$C$1979,"Chi",'Sổ thu chi'!$D$5:$D$1979,$B80))</f>
      </c>
      <c r="K80" s="20">
        <f>IF($B80="",0,SUMIFS('Sổ thu chi'!$I$5:$I$1979,'Sổ thu chi'!$B$5:$B$1979,DATE(NAM,K$3,1),'Sổ thu chi'!$C$5:$C$1979,"Chi",'Sổ thu chi'!$D$5:$D$1979,$B80))</f>
      </c>
      <c r="L80" s="20">
        <f>IF($B80="",0,SUMIFS('Sổ thu chi'!$I$5:$I$1979,'Sổ thu chi'!$B$5:$B$1979,DATE(NAM,L$3,1),'Sổ thu chi'!$C$5:$C$1979,"Chi",'Sổ thu chi'!$D$5:$D$1979,$B80))</f>
      </c>
      <c r="M80" s="20">
        <f>IF($B80="",0,SUMIFS('Sổ thu chi'!$I$5:$I$1979,'Sổ thu chi'!$B$5:$B$1979,DATE(NAM,M$3,1),'Sổ thu chi'!$C$5:$C$1979,"Chi",'Sổ thu chi'!$D$5:$D$1979,$B80))</f>
      </c>
      <c r="N80" s="20">
        <f>IF($B80="",0,SUMIFS('Sổ thu chi'!$I$5:$I$1979,'Sổ thu chi'!$B$5:$B$1979,DATE(NAM,N$3,1),'Sổ thu chi'!$C$5:$C$1979,"Chi",'Sổ thu chi'!$D$5:$D$1979,$B80))</f>
      </c>
      <c r="O80" s="20">
        <f>IF($B80="",0,SUMIFS('Sổ thu chi'!$I$5:$I$1979,'Sổ thu chi'!$B$5:$B$1979,DATE(NAM,O$3,1),'Sổ thu chi'!$C$5:$C$1979,"Chi",'Sổ thu chi'!$D$5:$D$1979,$B80))</f>
      </c>
      <c r="P80" s="21">
        <f t="shared" si="12"/>
      </c>
      <c r="Q80" s="22">
        <f t="shared" si="13"/>
      </c>
      <c r="R80" s="22">
        <f>IF(N('Danh mục'!E76)&gt;0,'Danh mục'!E76,"")</f>
      </c>
    </row>
    <row r="81" spans="1:18" x14ac:dyDescent="0.3">
      <c r="A81" s="19">
        <v>39</v>
      </c>
      <c r="B81" s="11">
        <f>IF('Danh mục'!A77="","",'Danh mục'!A77)</f>
      </c>
      <c r="C81" s="11">
        <f>'Danh mục'!B77&amp;""</f>
      </c>
      <c r="D81" s="20">
        <f>IF($B81="",0,SUMIFS('Sổ thu chi'!$I$5:$I$1979,'Sổ thu chi'!$B$5:$B$1979,DATE(NAM,D$3,1),'Sổ thu chi'!$C$5:$C$1979,"Chi",'Sổ thu chi'!$D$5:$D$1979,$B81))</f>
      </c>
      <c r="E81" s="20">
        <f>IF($B81="",0,SUMIFS('Sổ thu chi'!$I$5:$I$1979,'Sổ thu chi'!$B$5:$B$1979,DATE(NAM,E$3,1),'Sổ thu chi'!$C$5:$C$1979,"Chi",'Sổ thu chi'!$D$5:$D$1979,$B81))</f>
      </c>
      <c r="F81" s="20">
        <f>IF($B81="",0,SUMIFS('Sổ thu chi'!$I$5:$I$1979,'Sổ thu chi'!$B$5:$B$1979,DATE(NAM,F$3,1),'Sổ thu chi'!$C$5:$C$1979,"Chi",'Sổ thu chi'!$D$5:$D$1979,$B81))</f>
      </c>
      <c r="G81" s="20">
        <f>IF($B81="",0,SUMIFS('Sổ thu chi'!$I$5:$I$1979,'Sổ thu chi'!$B$5:$B$1979,DATE(NAM,G$3,1),'Sổ thu chi'!$C$5:$C$1979,"Chi",'Sổ thu chi'!$D$5:$D$1979,$B81))</f>
      </c>
      <c r="H81" s="20">
        <f>IF($B81="",0,SUMIFS('Sổ thu chi'!$I$5:$I$1979,'Sổ thu chi'!$B$5:$B$1979,DATE(NAM,H$3,1),'Sổ thu chi'!$C$5:$C$1979,"Chi",'Sổ thu chi'!$D$5:$D$1979,$B81))</f>
      </c>
      <c r="I81" s="20">
        <f>IF($B81="",0,SUMIFS('Sổ thu chi'!$I$5:$I$1979,'Sổ thu chi'!$B$5:$B$1979,DATE(NAM,I$3,1),'Sổ thu chi'!$C$5:$C$1979,"Chi",'Sổ thu chi'!$D$5:$D$1979,$B81))</f>
      </c>
      <c r="J81" s="20">
        <f>IF($B81="",0,SUMIFS('Sổ thu chi'!$I$5:$I$1979,'Sổ thu chi'!$B$5:$B$1979,DATE(NAM,J$3,1),'Sổ thu chi'!$C$5:$C$1979,"Chi",'Sổ thu chi'!$D$5:$D$1979,$B81))</f>
      </c>
      <c r="K81" s="20">
        <f>IF($B81="",0,SUMIFS('Sổ thu chi'!$I$5:$I$1979,'Sổ thu chi'!$B$5:$B$1979,DATE(NAM,K$3,1),'Sổ thu chi'!$C$5:$C$1979,"Chi",'Sổ thu chi'!$D$5:$D$1979,$B81))</f>
      </c>
      <c r="L81" s="20">
        <f>IF($B81="",0,SUMIFS('Sổ thu chi'!$I$5:$I$1979,'Sổ thu chi'!$B$5:$B$1979,DATE(NAM,L$3,1),'Sổ thu chi'!$C$5:$C$1979,"Chi",'Sổ thu chi'!$D$5:$D$1979,$B81))</f>
      </c>
      <c r="M81" s="20">
        <f>IF($B81="",0,SUMIFS('Sổ thu chi'!$I$5:$I$1979,'Sổ thu chi'!$B$5:$B$1979,DATE(NAM,M$3,1),'Sổ thu chi'!$C$5:$C$1979,"Chi",'Sổ thu chi'!$D$5:$D$1979,$B81))</f>
      </c>
      <c r="N81" s="20">
        <f>IF($B81="",0,SUMIFS('Sổ thu chi'!$I$5:$I$1979,'Sổ thu chi'!$B$5:$B$1979,DATE(NAM,N$3,1),'Sổ thu chi'!$C$5:$C$1979,"Chi",'Sổ thu chi'!$D$5:$D$1979,$B81))</f>
      </c>
      <c r="O81" s="20">
        <f>IF($B81="",0,SUMIFS('Sổ thu chi'!$I$5:$I$1979,'Sổ thu chi'!$B$5:$B$1979,DATE(NAM,O$3,1),'Sổ thu chi'!$C$5:$C$1979,"Chi",'Sổ thu chi'!$D$5:$D$1979,$B81))</f>
      </c>
      <c r="P81" s="21">
        <f t="shared" si="12"/>
      </c>
      <c r="Q81" s="22">
        <f t="shared" si="13"/>
      </c>
      <c r="R81" s="22">
        <f>IF(N('Danh mục'!E77)&gt;0,'Danh mục'!E77,"")</f>
      </c>
    </row>
    <row r="82" spans="1:18" x14ac:dyDescent="0.3">
      <c r="A82" s="19">
        <v>40</v>
      </c>
      <c r="B82" s="11">
        <f>IF('Danh mục'!A78="","",'Danh mục'!A78)</f>
      </c>
      <c r="C82" s="11">
        <f>'Danh mục'!B78&amp;""</f>
      </c>
      <c r="D82" s="20">
        <f>IF($B82="",0,SUMIFS('Sổ thu chi'!$I$5:$I$1979,'Sổ thu chi'!$B$5:$B$1979,DATE(NAM,D$3,1),'Sổ thu chi'!$C$5:$C$1979,"Chi",'Sổ thu chi'!$D$5:$D$1979,$B82))</f>
      </c>
      <c r="E82" s="20">
        <f>IF($B82="",0,SUMIFS('Sổ thu chi'!$I$5:$I$1979,'Sổ thu chi'!$B$5:$B$1979,DATE(NAM,E$3,1),'Sổ thu chi'!$C$5:$C$1979,"Chi",'Sổ thu chi'!$D$5:$D$1979,$B82))</f>
      </c>
      <c r="F82" s="20">
        <f>IF($B82="",0,SUMIFS('Sổ thu chi'!$I$5:$I$1979,'Sổ thu chi'!$B$5:$B$1979,DATE(NAM,F$3,1),'Sổ thu chi'!$C$5:$C$1979,"Chi",'Sổ thu chi'!$D$5:$D$1979,$B82))</f>
      </c>
      <c r="G82" s="20">
        <f>IF($B82="",0,SUMIFS('Sổ thu chi'!$I$5:$I$1979,'Sổ thu chi'!$B$5:$B$1979,DATE(NAM,G$3,1),'Sổ thu chi'!$C$5:$C$1979,"Chi",'Sổ thu chi'!$D$5:$D$1979,$B82))</f>
      </c>
      <c r="H82" s="20">
        <f>IF($B82="",0,SUMIFS('Sổ thu chi'!$I$5:$I$1979,'Sổ thu chi'!$B$5:$B$1979,DATE(NAM,H$3,1),'Sổ thu chi'!$C$5:$C$1979,"Chi",'Sổ thu chi'!$D$5:$D$1979,$B82))</f>
      </c>
      <c r="I82" s="20">
        <f>IF($B82="",0,SUMIFS('Sổ thu chi'!$I$5:$I$1979,'Sổ thu chi'!$B$5:$B$1979,DATE(NAM,I$3,1),'Sổ thu chi'!$C$5:$C$1979,"Chi",'Sổ thu chi'!$D$5:$D$1979,$B82))</f>
      </c>
      <c r="J82" s="20">
        <f>IF($B82="",0,SUMIFS('Sổ thu chi'!$I$5:$I$1979,'Sổ thu chi'!$B$5:$B$1979,DATE(NAM,J$3,1),'Sổ thu chi'!$C$5:$C$1979,"Chi",'Sổ thu chi'!$D$5:$D$1979,$B82))</f>
      </c>
      <c r="K82" s="20">
        <f>IF($B82="",0,SUMIFS('Sổ thu chi'!$I$5:$I$1979,'Sổ thu chi'!$B$5:$B$1979,DATE(NAM,K$3,1),'Sổ thu chi'!$C$5:$C$1979,"Chi",'Sổ thu chi'!$D$5:$D$1979,$B82))</f>
      </c>
      <c r="L82" s="20">
        <f>IF($B82="",0,SUMIFS('Sổ thu chi'!$I$5:$I$1979,'Sổ thu chi'!$B$5:$B$1979,DATE(NAM,L$3,1),'Sổ thu chi'!$C$5:$C$1979,"Chi",'Sổ thu chi'!$D$5:$D$1979,$B82))</f>
      </c>
      <c r="M82" s="20">
        <f>IF($B82="",0,SUMIFS('Sổ thu chi'!$I$5:$I$1979,'Sổ thu chi'!$B$5:$B$1979,DATE(NAM,M$3,1),'Sổ thu chi'!$C$5:$C$1979,"Chi",'Sổ thu chi'!$D$5:$D$1979,$B82))</f>
      </c>
      <c r="N82" s="20">
        <f>IF($B82="",0,SUMIFS('Sổ thu chi'!$I$5:$I$1979,'Sổ thu chi'!$B$5:$B$1979,DATE(NAM,N$3,1),'Sổ thu chi'!$C$5:$C$1979,"Chi",'Sổ thu chi'!$D$5:$D$1979,$B82))</f>
      </c>
      <c r="O82" s="20">
        <f>IF($B82="",0,SUMIFS('Sổ thu chi'!$I$5:$I$1979,'Sổ thu chi'!$B$5:$B$1979,DATE(NAM,O$3,1),'Sổ thu chi'!$C$5:$C$1979,"Chi",'Sổ thu chi'!$D$5:$D$1979,$B82))</f>
      </c>
      <c r="P82" s="21">
        <f t="shared" si="12"/>
      </c>
      <c r="Q82" s="22">
        <f t="shared" si="13"/>
      </c>
      <c r="R82" s="22">
        <f>IF(N('Danh mục'!E78)&gt;0,'Danh mục'!E78,"")</f>
      </c>
    </row>
    <row r="83" spans="1:18" x14ac:dyDescent="0.3">
      <c r="A83" s="23"/>
      <c r="B83" s="23" t="inlineStr">
        <is>
          <t xml:space="preserve">Tổng chi theo danh mục</t>
        </is>
      </c>
      <c r="C83" s="27">
        <f>IF(ROUND(P83-P40,0)=0,"✔ Khớp","⚠ Lệch – kiểm tra ô ? ở Sổ")</f>
      </c>
      <c r="D83" s="21">
        <f t="shared" ref="D83:O83" si="14">SUM(D43:D82)</f>
      </c>
      <c r="E83" s="21">
        <f t="shared" si="14"/>
      </c>
      <c r="F83" s="21">
        <f t="shared" si="14"/>
      </c>
      <c r="G83" s="21">
        <f t="shared" si="14"/>
      </c>
      <c r="H83" s="21">
        <f t="shared" si="14"/>
      </c>
      <c r="I83" s="21">
        <f t="shared" si="14"/>
      </c>
      <c r="J83" s="21">
        <f t="shared" si="14"/>
      </c>
      <c r="K83" s="21">
        <f t="shared" si="14"/>
      </c>
      <c r="L83" s="21">
        <f t="shared" si="14"/>
      </c>
      <c r="M83" s="21">
        <f t="shared" si="14"/>
      </c>
      <c r="N83" s="21">
        <f t="shared" si="14"/>
      </c>
      <c r="O83" s="21">
        <f t="shared" si="14"/>
      </c>
      <c r="P83" s="21">
        <f t="shared" si="12"/>
      </c>
      <c r="Q83" s="21">
        <f t="shared" si="13"/>
      </c>
    </row>
    <row r="85" spans="1:18" x14ac:dyDescent="0.3">
      <c r="A85" s="5" t="inlineStr">
        <is>
          <t xml:space="preserve">IV. CHỈ SỐ TÀI CHÍNH</t>
        </is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x14ac:dyDescent="0.3">
      <c r="A86" s="11"/>
      <c r="B86" s="11" t="inlineStr">
        <is>
          <t xml:space="preserve">Chi tiêu (không gồm tích lũy)</t>
        </is>
      </c>
      <c r="C86" s="11"/>
      <c r="D86" s="20">
        <f>SUMIFS('Sổ thu chi'!$I$5:$I$1979,'Sổ thu chi'!$B$5:$B$1979,DATE(NAM,D$3,1),'Sổ thu chi'!$C$5:$C$1979,"Chi",'Sổ thu chi'!$F$5:$F$1979,"Chi tiêu")</f>
      </c>
      <c r="E86" s="20">
        <f>SUMIFS('Sổ thu chi'!$I$5:$I$1979,'Sổ thu chi'!$B$5:$B$1979,DATE(NAM,E$3,1),'Sổ thu chi'!$C$5:$C$1979,"Chi",'Sổ thu chi'!$F$5:$F$1979,"Chi tiêu")</f>
      </c>
      <c r="F86" s="20">
        <f>SUMIFS('Sổ thu chi'!$I$5:$I$1979,'Sổ thu chi'!$B$5:$B$1979,DATE(NAM,F$3,1),'Sổ thu chi'!$C$5:$C$1979,"Chi",'Sổ thu chi'!$F$5:$F$1979,"Chi tiêu")</f>
      </c>
      <c r="G86" s="20">
        <f>SUMIFS('Sổ thu chi'!$I$5:$I$1979,'Sổ thu chi'!$B$5:$B$1979,DATE(NAM,G$3,1),'Sổ thu chi'!$C$5:$C$1979,"Chi",'Sổ thu chi'!$F$5:$F$1979,"Chi tiêu")</f>
      </c>
      <c r="H86" s="20">
        <f>SUMIFS('Sổ thu chi'!$I$5:$I$1979,'Sổ thu chi'!$B$5:$B$1979,DATE(NAM,H$3,1),'Sổ thu chi'!$C$5:$C$1979,"Chi",'Sổ thu chi'!$F$5:$F$1979,"Chi tiêu")</f>
      </c>
      <c r="I86" s="20">
        <f>SUMIFS('Sổ thu chi'!$I$5:$I$1979,'Sổ thu chi'!$B$5:$B$1979,DATE(NAM,I$3,1),'Sổ thu chi'!$C$5:$C$1979,"Chi",'Sổ thu chi'!$F$5:$F$1979,"Chi tiêu")</f>
      </c>
      <c r="J86" s="20">
        <f>SUMIFS('Sổ thu chi'!$I$5:$I$1979,'Sổ thu chi'!$B$5:$B$1979,DATE(NAM,J$3,1),'Sổ thu chi'!$C$5:$C$1979,"Chi",'Sổ thu chi'!$F$5:$F$1979,"Chi tiêu")</f>
      </c>
      <c r="K86" s="20">
        <f>SUMIFS('Sổ thu chi'!$I$5:$I$1979,'Sổ thu chi'!$B$5:$B$1979,DATE(NAM,K$3,1),'Sổ thu chi'!$C$5:$C$1979,"Chi",'Sổ thu chi'!$F$5:$F$1979,"Chi tiêu")</f>
      </c>
      <c r="L86" s="20">
        <f>SUMIFS('Sổ thu chi'!$I$5:$I$1979,'Sổ thu chi'!$B$5:$B$1979,DATE(NAM,L$3,1),'Sổ thu chi'!$C$5:$C$1979,"Chi",'Sổ thu chi'!$F$5:$F$1979,"Chi tiêu")</f>
      </c>
      <c r="M86" s="20">
        <f>SUMIFS('Sổ thu chi'!$I$5:$I$1979,'Sổ thu chi'!$B$5:$B$1979,DATE(NAM,M$3,1),'Sổ thu chi'!$C$5:$C$1979,"Chi",'Sổ thu chi'!$F$5:$F$1979,"Chi tiêu")</f>
      </c>
      <c r="N86" s="20">
        <f>SUMIFS('Sổ thu chi'!$I$5:$I$1979,'Sổ thu chi'!$B$5:$B$1979,DATE(NAM,N$3,1),'Sổ thu chi'!$C$5:$C$1979,"Chi",'Sổ thu chi'!$F$5:$F$1979,"Chi tiêu")</f>
      </c>
      <c r="O86" s="20">
        <f>SUMIFS('Sổ thu chi'!$I$5:$I$1979,'Sổ thu chi'!$B$5:$B$1979,DATE(NAM,O$3,1),'Sổ thu chi'!$C$5:$C$1979,"Chi",'Sổ thu chi'!$F$5:$F$1979,"Chi tiêu")</f>
      </c>
      <c r="P86" s="21">
        <f>SUM(D86:O86)</f>
      </c>
      <c r="Q86" s="22">
        <f>IFERROR(AVERAGEIF(D86:O86,"&lt;&gt;0"),0)</f>
      </c>
    </row>
    <row r="87" spans="1:18" x14ac:dyDescent="0.3">
      <c r="A87" s="11"/>
      <c r="B87" s="11" t="inlineStr">
        <is>
          <t xml:space="preserve">Tích lũy &amp; đầu tư</t>
        </is>
      </c>
      <c r="C87" s="11"/>
      <c r="D87" s="20">
        <f>SUMIFS('Sổ thu chi'!$I$5:$I$1979,'Sổ thu chi'!$B$5:$B$1979,DATE(NAM,D$3,1),'Sổ thu chi'!$C$5:$C$1979,"Chi",'Sổ thu chi'!$F$5:$F$1979,"Tích lũy")</f>
      </c>
      <c r="E87" s="20">
        <f>SUMIFS('Sổ thu chi'!$I$5:$I$1979,'Sổ thu chi'!$B$5:$B$1979,DATE(NAM,E$3,1),'Sổ thu chi'!$C$5:$C$1979,"Chi",'Sổ thu chi'!$F$5:$F$1979,"Tích lũy")</f>
      </c>
      <c r="F87" s="20">
        <f>SUMIFS('Sổ thu chi'!$I$5:$I$1979,'Sổ thu chi'!$B$5:$B$1979,DATE(NAM,F$3,1),'Sổ thu chi'!$C$5:$C$1979,"Chi",'Sổ thu chi'!$F$5:$F$1979,"Tích lũy")</f>
      </c>
      <c r="G87" s="20">
        <f>SUMIFS('Sổ thu chi'!$I$5:$I$1979,'Sổ thu chi'!$B$5:$B$1979,DATE(NAM,G$3,1),'Sổ thu chi'!$C$5:$C$1979,"Chi",'Sổ thu chi'!$F$5:$F$1979,"Tích lũy")</f>
      </c>
      <c r="H87" s="20">
        <f>SUMIFS('Sổ thu chi'!$I$5:$I$1979,'Sổ thu chi'!$B$5:$B$1979,DATE(NAM,H$3,1),'Sổ thu chi'!$C$5:$C$1979,"Chi",'Sổ thu chi'!$F$5:$F$1979,"Tích lũy")</f>
      </c>
      <c r="I87" s="20">
        <f>SUMIFS('Sổ thu chi'!$I$5:$I$1979,'Sổ thu chi'!$B$5:$B$1979,DATE(NAM,I$3,1),'Sổ thu chi'!$C$5:$C$1979,"Chi",'Sổ thu chi'!$F$5:$F$1979,"Tích lũy")</f>
      </c>
      <c r="J87" s="20">
        <f>SUMIFS('Sổ thu chi'!$I$5:$I$1979,'Sổ thu chi'!$B$5:$B$1979,DATE(NAM,J$3,1),'Sổ thu chi'!$C$5:$C$1979,"Chi",'Sổ thu chi'!$F$5:$F$1979,"Tích lũy")</f>
      </c>
      <c r="K87" s="20">
        <f>SUMIFS('Sổ thu chi'!$I$5:$I$1979,'Sổ thu chi'!$B$5:$B$1979,DATE(NAM,K$3,1),'Sổ thu chi'!$C$5:$C$1979,"Chi",'Sổ thu chi'!$F$5:$F$1979,"Tích lũy")</f>
      </c>
      <c r="L87" s="20">
        <f>SUMIFS('Sổ thu chi'!$I$5:$I$1979,'Sổ thu chi'!$B$5:$B$1979,DATE(NAM,L$3,1),'Sổ thu chi'!$C$5:$C$1979,"Chi",'Sổ thu chi'!$F$5:$F$1979,"Tích lũy")</f>
      </c>
      <c r="M87" s="20">
        <f>SUMIFS('Sổ thu chi'!$I$5:$I$1979,'Sổ thu chi'!$B$5:$B$1979,DATE(NAM,M$3,1),'Sổ thu chi'!$C$5:$C$1979,"Chi",'Sổ thu chi'!$F$5:$F$1979,"Tích lũy")</f>
      </c>
      <c r="N87" s="20">
        <f>SUMIFS('Sổ thu chi'!$I$5:$I$1979,'Sổ thu chi'!$B$5:$B$1979,DATE(NAM,N$3,1),'Sổ thu chi'!$C$5:$C$1979,"Chi",'Sổ thu chi'!$F$5:$F$1979,"Tích lũy")</f>
      </c>
      <c r="O87" s="20">
        <f>SUMIFS('Sổ thu chi'!$I$5:$I$1979,'Sổ thu chi'!$B$5:$B$1979,DATE(NAM,O$3,1),'Sổ thu chi'!$C$5:$C$1979,"Chi",'Sổ thu chi'!$F$5:$F$1979,"Tích lũy")</f>
      </c>
      <c r="P87" s="21">
        <f>SUM(D87:O87)</f>
      </c>
      <c r="Q87" s="22">
        <f>IFERROR(AVERAGEIF(D87:O87,"&lt;&gt;0"),0)</f>
      </c>
    </row>
    <row r="88" spans="1:18" x14ac:dyDescent="0.3">
      <c r="A88" s="23"/>
      <c r="B88" s="23" t="inlineStr">
        <is>
          <t xml:space="preserve">Dòng tiền ròng (Tổng thu − Tổng chi)</t>
        </is>
      </c>
      <c r="C88" s="23"/>
      <c r="D88" s="21">
        <f t="shared" ref="D88:O88" si="15">D18-D40</f>
      </c>
      <c r="E88" s="21">
        <f t="shared" si="15"/>
      </c>
      <c r="F88" s="21">
        <f t="shared" si="15"/>
      </c>
      <c r="G88" s="21">
        <f t="shared" si="15"/>
      </c>
      <c r="H88" s="21">
        <f t="shared" si="15"/>
      </c>
      <c r="I88" s="21">
        <f t="shared" si="15"/>
      </c>
      <c r="J88" s="21">
        <f t="shared" si="15"/>
      </c>
      <c r="K88" s="21">
        <f t="shared" si="15"/>
      </c>
      <c r="L88" s="21">
        <f t="shared" si="15"/>
      </c>
      <c r="M88" s="21">
        <f t="shared" si="15"/>
      </c>
      <c r="N88" s="21">
        <f t="shared" si="15"/>
      </c>
      <c r="O88" s="21">
        <f t="shared" si="15"/>
      </c>
      <c r="P88" s="21">
        <f>SUM(D88:O88)</f>
      </c>
      <c r="Q88" s="21">
        <f>IFERROR(AVERAGEIF(D88:O88,"&lt;&gt;0"),0)</f>
      </c>
    </row>
    <row r="89" spans="1:18" x14ac:dyDescent="0.3">
      <c r="A89" s="11"/>
      <c r="B89" s="11" t="inlineStr">
        <is>
          <t xml:space="preserve">Tỷ lệ tích lũy / thu nhập</t>
        </is>
      </c>
      <c r="C89" s="11" t="inlineStr">
        <is>
          <t xml:space="preserve">Nên ≥ 20%</t>
        </is>
      </c>
      <c r="D89" s="28">
        <f t="shared" ref="D89:P89" si="16">IFERROR(D87/D16,0)</f>
      </c>
      <c r="E89" s="28">
        <f t="shared" si="16"/>
      </c>
      <c r="F89" s="28">
        <f t="shared" si="16"/>
      </c>
      <c r="G89" s="28">
        <f t="shared" si="16"/>
      </c>
      <c r="H89" s="28">
        <f t="shared" si="16"/>
      </c>
      <c r="I89" s="28">
        <f t="shared" si="16"/>
      </c>
      <c r="J89" s="28">
        <f t="shared" si="16"/>
      </c>
      <c r="K89" s="28">
        <f t="shared" si="16"/>
      </c>
      <c r="L89" s="28">
        <f t="shared" si="16"/>
      </c>
      <c r="M89" s="28">
        <f t="shared" si="16"/>
      </c>
      <c r="N89" s="28">
        <f t="shared" si="16"/>
      </c>
      <c r="O89" s="28">
        <f t="shared" si="16"/>
      </c>
      <c r="P89" s="29">
        <f t="shared" si="16"/>
      </c>
      <c r="Q89" s="30"/>
    </row>
    <row r="90" spans="1:18" x14ac:dyDescent="0.3">
      <c r="A90" s="11"/>
      <c r="B90" s="11" t="inlineStr">
        <is>
          <t xml:space="preserve">Tỷ lệ chi Thiết yếu / thu nhập</t>
        </is>
      </c>
      <c r="C90" s="11" t="inlineStr">
        <is>
          <t xml:space="preserve">Nên ≤ 55%</t>
        </is>
      </c>
      <c r="D90" s="28">
        <f t="shared" ref="D90:P90" si="17">IFERROR(D23/D16,0)</f>
      </c>
      <c r="E90" s="28">
        <f t="shared" si="17"/>
      </c>
      <c r="F90" s="28">
        <f t="shared" si="17"/>
      </c>
      <c r="G90" s="28">
        <f t="shared" si="17"/>
      </c>
      <c r="H90" s="28">
        <f t="shared" si="17"/>
      </c>
      <c r="I90" s="28">
        <f t="shared" si="17"/>
      </c>
      <c r="J90" s="28">
        <f t="shared" si="17"/>
      </c>
      <c r="K90" s="28">
        <f t="shared" si="17"/>
      </c>
      <c r="L90" s="28">
        <f t="shared" si="17"/>
      </c>
      <c r="M90" s="28">
        <f t="shared" si="17"/>
      </c>
      <c r="N90" s="28">
        <f t="shared" si="17"/>
      </c>
      <c r="O90" s="28">
        <f t="shared" si="17"/>
      </c>
      <c r="P90" s="29">
        <f t="shared" si="17"/>
      </c>
      <c r="Q90" s="30"/>
    </row>
    <row r="91" spans="1:18" x14ac:dyDescent="0.3">
      <c r="A91" s="11"/>
      <c r="B91" s="11" t="inlineStr">
        <is>
          <t xml:space="preserve">Chi cho con</t>
        </is>
      </c>
      <c r="C91" s="11"/>
      <c r="D91" s="20">
        <f>SUMIFS('Sổ thu chi'!$I$5:$I$1979,'Sổ thu chi'!$B$5:$B$1979,DATE(NAM,D$3,1),'Sổ thu chi'!$C$5:$C$1979,"Chi",'Sổ thu chi'!$G$5:$G$1979,"Con cái")</f>
      </c>
      <c r="E91" s="20">
        <f>SUMIFS('Sổ thu chi'!$I$5:$I$1979,'Sổ thu chi'!$B$5:$B$1979,DATE(NAM,E$3,1),'Sổ thu chi'!$C$5:$C$1979,"Chi",'Sổ thu chi'!$G$5:$G$1979,"Con cái")</f>
      </c>
      <c r="F91" s="20">
        <f>SUMIFS('Sổ thu chi'!$I$5:$I$1979,'Sổ thu chi'!$B$5:$B$1979,DATE(NAM,F$3,1),'Sổ thu chi'!$C$5:$C$1979,"Chi",'Sổ thu chi'!$G$5:$G$1979,"Con cái")</f>
      </c>
      <c r="G91" s="20">
        <f>SUMIFS('Sổ thu chi'!$I$5:$I$1979,'Sổ thu chi'!$B$5:$B$1979,DATE(NAM,G$3,1),'Sổ thu chi'!$C$5:$C$1979,"Chi",'Sổ thu chi'!$G$5:$G$1979,"Con cái")</f>
      </c>
      <c r="H91" s="20">
        <f>SUMIFS('Sổ thu chi'!$I$5:$I$1979,'Sổ thu chi'!$B$5:$B$1979,DATE(NAM,H$3,1),'Sổ thu chi'!$C$5:$C$1979,"Chi",'Sổ thu chi'!$G$5:$G$1979,"Con cái")</f>
      </c>
      <c r="I91" s="20">
        <f>SUMIFS('Sổ thu chi'!$I$5:$I$1979,'Sổ thu chi'!$B$5:$B$1979,DATE(NAM,I$3,1),'Sổ thu chi'!$C$5:$C$1979,"Chi",'Sổ thu chi'!$G$5:$G$1979,"Con cái")</f>
      </c>
      <c r="J91" s="20">
        <f>SUMIFS('Sổ thu chi'!$I$5:$I$1979,'Sổ thu chi'!$B$5:$B$1979,DATE(NAM,J$3,1),'Sổ thu chi'!$C$5:$C$1979,"Chi",'Sổ thu chi'!$G$5:$G$1979,"Con cái")</f>
      </c>
      <c r="K91" s="20">
        <f>SUMIFS('Sổ thu chi'!$I$5:$I$1979,'Sổ thu chi'!$B$5:$B$1979,DATE(NAM,K$3,1),'Sổ thu chi'!$C$5:$C$1979,"Chi",'Sổ thu chi'!$G$5:$G$1979,"Con cái")</f>
      </c>
      <c r="L91" s="20">
        <f>SUMIFS('Sổ thu chi'!$I$5:$I$1979,'Sổ thu chi'!$B$5:$B$1979,DATE(NAM,L$3,1),'Sổ thu chi'!$C$5:$C$1979,"Chi",'Sổ thu chi'!$G$5:$G$1979,"Con cái")</f>
      </c>
      <c r="M91" s="20">
        <f>SUMIFS('Sổ thu chi'!$I$5:$I$1979,'Sổ thu chi'!$B$5:$B$1979,DATE(NAM,M$3,1),'Sổ thu chi'!$C$5:$C$1979,"Chi",'Sổ thu chi'!$G$5:$G$1979,"Con cái")</f>
      </c>
      <c r="N91" s="20">
        <f>SUMIFS('Sổ thu chi'!$I$5:$I$1979,'Sổ thu chi'!$B$5:$B$1979,DATE(NAM,N$3,1),'Sổ thu chi'!$C$5:$C$1979,"Chi",'Sổ thu chi'!$G$5:$G$1979,"Con cái")</f>
      </c>
      <c r="O91" s="20">
        <f>SUMIFS('Sổ thu chi'!$I$5:$I$1979,'Sổ thu chi'!$B$5:$B$1979,DATE(NAM,O$3,1),'Sổ thu chi'!$C$5:$C$1979,"Chi",'Sổ thu chi'!$G$5:$G$1979,"Con cái")</f>
      </c>
      <c r="P91" s="21">
        <f>SUM(D91:O91)</f>
      </c>
      <c r="Q91" s="22">
        <f>IFERROR(AVERAGEIF(D91:O91,"&lt;&gt;0"),0)</f>
      </c>
    </row>
  </sheetData>
  <conditionalFormatting sqref="D23:O23">
    <cfRule type="expression" dxfId="9" priority="2">
      <formula>AND(D23&gt;0,D23&gt;D22)</formula>
    </cfRule>
  </conditionalFormatting>
  <conditionalFormatting sqref="D26:O26">
    <cfRule type="expression" dxfId="8" priority="3">
      <formula>AND(D25&gt;0,D26&lt;D25)</formula>
    </cfRule>
  </conditionalFormatting>
  <conditionalFormatting sqref="D29:O29">
    <cfRule type="expression" dxfId="7" priority="4">
      <formula>AND(D28&gt;0,D29&lt;D28)</formula>
    </cfRule>
  </conditionalFormatting>
  <conditionalFormatting sqref="D32:O32">
    <cfRule type="expression" dxfId="6" priority="5">
      <formula>AND(D32&gt;0,D32&gt;D31)</formula>
    </cfRule>
  </conditionalFormatting>
  <conditionalFormatting sqref="D35:O35">
    <cfRule type="expression" dxfId="5" priority="6">
      <formula>AND(D35&gt;0,D35&gt;D34)</formula>
    </cfRule>
  </conditionalFormatting>
  <conditionalFormatting sqref="D38:O38">
    <cfRule type="expression" dxfId="4" priority="7">
      <formula>AND(D38&gt;0,D38&gt;D37)</formula>
    </cfRule>
  </conditionalFormatting>
  <conditionalFormatting sqref="D88:P88">
    <cfRule type="cellIs" dxfId="3" priority="9" operator="lessThan">
      <formula>0</formula>
    </cfRule>
  </conditionalFormatting>
  <conditionalFormatting sqref="D89:P89">
    <cfRule type="expression" dxfId="2" priority="10">
      <formula>AND(D16&gt;0,D89&lt;0.2)</formula>
    </cfRule>
  </conditionalFormatting>
  <conditionalFormatting sqref="D90:P90">
    <cfRule type="expression" dxfId="1" priority="11">
      <formula>AND(D16&gt;0,D90&gt;0.55)</formula>
    </cfRule>
  </conditionalFormatting>
  <conditionalFormatting sqref="D43:O82">
    <cfRule type="expression" dxfId="0" priority="8">
      <formula>AND(N($R43)&gt;0,D43&gt;$R43)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A1:G78"/>
  <sheetViews>
    <sheetView workbookViewId="0">
      <pane ySplit="3" topLeftCell="A4" activePane="bottomLeft" state="frozen"/>
      <selection pane="bottomLeft" activeCell="D76" sqref="D76"/>
    </sheetView>
  </sheetViews>
  <sheetFormatPr defaultColWidth="8.6640625" defaultRowHeight="14.4" x14ac:dyDescent="0.3"/>
  <cols>
    <col min="1" max="1" width="34" customWidth="1"/>
    <col min="2" max="2" width="20" customWidth="1"/>
    <col min="3" max="3" width="12" customWidth="1"/>
    <col min="4" max="4" width="18" customWidth="1"/>
    <col min="5" max="5" width="20" customWidth="1"/>
    <col min="6" max="6" width="3" customWidth="1"/>
    <col min="7" max="7" width="32" customWidth="1"/>
  </cols>
  <sheetData>
    <row r="1" spans="1:5" ht="21" x14ac:dyDescent="0.4">
      <c r="A1" s="1" t="inlineStr">
        <is>
          <t xml:space="preserve">DANH MỤC &amp; THIẾT LẬP</t>
        </is>
      </c>
    </row>
    <row r="2" spans="1:5" x14ac:dyDescent="0.3">
      <c r="A2" s="2" t="inlineStr">
        <is>
          <t xml:space="preserve">Ô vàng chữ xanh = được sửa. Ô xám = tự tính. Thêm danh mục: nhập liền nhau từ trên xuống, không bỏ trống ở giữa.</t>
        </is>
      </c>
    </row>
    <row r="3" spans="1:5" x14ac:dyDescent="0.3">
      <c r="A3" s="3" t="inlineStr">
        <is>
          <t xml:space="preserve">Năm theo dõi</t>
        </is>
      </c>
      <c r="C3" s="4">
        <v>2026</v>
      </c>
    </row>
    <row r="5" spans="1:5" x14ac:dyDescent="0.3">
      <c r="A5" s="5" t="inlineStr">
        <is>
          <t xml:space="preserve">1. TỶ LỆ 6 HŨ (phân bổ theo thu nhập tháng)</t>
        </is>
      </c>
      <c r="B5" s="6"/>
      <c r="C5" s="6"/>
      <c r="D5" s="6"/>
      <c r="E5" s="6"/>
    </row>
    <row r="6" spans="1:5" x14ac:dyDescent="0.3">
      <c r="A6" s="7" t="inlineStr">
        <is>
          <t xml:space="preserve">Mã</t>
        </is>
      </c>
      <c r="B6" s="7" t="inlineStr">
        <is>
          <t xml:space="preserve">Tên hũ</t>
        </is>
      </c>
      <c r="C6" s="7" t="inlineStr">
        <is>
          <t xml:space="preserve">Tỷ lệ</t>
        </is>
      </c>
      <c r="D6" s="7" t="inlineStr">
        <is>
          <t xml:space="preserve">Loại hũ</t>
        </is>
      </c>
      <c r="E6" s="7" t="inlineStr">
        <is>
          <t xml:space="preserve">Dùng cho</t>
        </is>
      </c>
    </row>
    <row r="7" spans="1:5" x14ac:dyDescent="0.3">
      <c r="A7" s="8" t="inlineStr">
        <is>
          <t xml:space="preserve">NEC</t>
        </is>
      </c>
      <c r="B7" s="9" t="inlineStr">
        <is>
          <t xml:space="preserve">Thiết yếu</t>
        </is>
      </c>
      <c r="C7" s="10">
        <v>0.55000000000000004</v>
      </c>
      <c r="D7" s="11" t="inlineStr">
        <is>
          <t xml:space="preserve">Chi tiêu</t>
        </is>
      </c>
      <c r="E7" s="12" t="inlineStr">
        <is>
          <t xml:space="preserve">Ăn uống, nhà ở, điện nước, đi lại, y tế, bảo hiểm, sữa bỉm &amp; học phí chính khóa của con</t>
        </is>
      </c>
    </row>
    <row r="8" spans="1:5" x14ac:dyDescent="0.3">
      <c r="A8" s="8" t="inlineStr">
        <is>
          <t xml:space="preserve">FFA</t>
        </is>
      </c>
      <c r="B8" s="9" t="inlineStr">
        <is>
          <t xml:space="preserve">Tự do tài chính</t>
        </is>
      </c>
      <c r="C8" s="10">
        <v>0.1</v>
      </c>
      <c r="D8" s="11" t="inlineStr">
        <is>
          <t xml:space="preserve">Tích lũy</t>
        </is>
      </c>
      <c r="E8" s="12" t="inlineStr">
        <is>
          <t xml:space="preserve">Đầu tư sinh lời: chứng khoán, CCQ, vàng, kinh doanh – không tiêu</t>
        </is>
      </c>
    </row>
    <row r="9" spans="1:5" x14ac:dyDescent="0.3">
      <c r="A9" s="8" t="inlineStr">
        <is>
          <t xml:space="preserve">LTSS</t>
        </is>
      </c>
      <c r="B9" s="9" t="inlineStr">
        <is>
          <t xml:space="preserve">Tiết kiệm dài hạn</t>
        </is>
      </c>
      <c r="C9" s="10">
        <v>0.1</v>
      </c>
      <c r="D9" s="11" t="inlineStr">
        <is>
          <t xml:space="preserve">Tích lũy</t>
        </is>
      </c>
      <c r="E9" s="12" t="inlineStr">
        <is>
          <t xml:space="preserve">Quỹ khẩn cấp (6 tháng chi thiết yếu), mua nhà, xe, quỹ học vấn cho con</t>
        </is>
      </c>
    </row>
    <row r="10" spans="1:5" x14ac:dyDescent="0.3">
      <c r="A10" s="8" t="inlineStr">
        <is>
          <t xml:space="preserve">EDU</t>
        </is>
      </c>
      <c r="B10" s="9" t="inlineStr">
        <is>
          <t xml:space="preserve">Giáo dục</t>
        </is>
      </c>
      <c r="C10" s="10">
        <v>0.1</v>
      </c>
      <c r="D10" s="11" t="inlineStr">
        <is>
          <t xml:space="preserve">Chi tiêu</t>
        </is>
      </c>
      <c r="E10" s="12" t="inlineStr">
        <is>
          <t xml:space="preserve">Sách, khóa học của bố mẹ; học thêm, năng khiếu của con</t>
        </is>
      </c>
    </row>
    <row r="11" spans="1:5" x14ac:dyDescent="0.3">
      <c r="A11" s="8" t="inlineStr">
        <is>
          <t xml:space="preserve">PLAY</t>
        </is>
      </c>
      <c r="B11" s="9" t="inlineStr">
        <is>
          <t xml:space="preserve">Hưởng thụ</t>
        </is>
      </c>
      <c r="C11" s="10">
        <v>0.1</v>
      </c>
      <c r="D11" s="11" t="inlineStr">
        <is>
          <t xml:space="preserve">Chi tiêu</t>
        </is>
      </c>
      <c r="E11" s="12" t="inlineStr">
        <is>
          <t xml:space="preserve">Du lịch, giải trí, nhà hàng, mua sắm cá nhân</t>
        </is>
      </c>
    </row>
    <row r="12" spans="1:5" x14ac:dyDescent="0.3">
      <c r="A12" s="8" t="inlineStr">
        <is>
          <t xml:space="preserve">GIVE</t>
        </is>
      </c>
      <c r="B12" s="9" t="inlineStr">
        <is>
          <t xml:space="preserve">Cho đi</t>
        </is>
      </c>
      <c r="C12" s="10">
        <v>0.05</v>
      </c>
      <c r="D12" s="11" t="inlineStr">
        <is>
          <t xml:space="preserve">Chi tiêu</t>
        </is>
      </c>
      <c r="E12" s="12" t="inlineStr">
        <is>
          <t xml:space="preserve">Biếu bố mẹ, hiếu hỷ, từ thiện, quà tặng</t>
        </is>
      </c>
    </row>
    <row r="13" spans="1:5" x14ac:dyDescent="0.3">
      <c r="B13" s="3" t="inlineStr">
        <is>
          <t xml:space="preserve">Tổng</t>
        </is>
      </c>
      <c r="C13" s="13">
        <f>SUM(C7:C12)</f>
      </c>
      <c r="D13" s="14">
        <f>IF(ROUND(C13,4)=1,"✔ Hợp lệ","⚠ Tổng phải = 100%")</f>
      </c>
    </row>
    <row r="15" spans="1:5" x14ac:dyDescent="0.3">
      <c r="A15" s="5" t="inlineStr">
        <is>
          <t xml:space="preserve">2. NGƯỜI THU/CHI &amp; HÌNH THỨC THANH TOÁN</t>
        </is>
      </c>
      <c r="B15" s="6"/>
      <c r="C15" s="6"/>
      <c r="D15" s="6"/>
      <c r="E15" s="6"/>
    </row>
    <row r="16" spans="1:5" x14ac:dyDescent="0.3">
      <c r="A16" s="7" t="inlineStr">
        <is>
          <t xml:space="preserve">Người</t>
        </is>
      </c>
      <c r="D16" s="7" t="inlineStr">
        <is>
          <t xml:space="preserve">Hình thức TT</t>
        </is>
      </c>
    </row>
    <row r="17" spans="1:7" x14ac:dyDescent="0.3">
      <c r="A17" s="9" t="inlineStr">
        <is>
          <t xml:space="preserve">Chồng</t>
        </is>
      </c>
      <c r="D17" s="9" t="inlineStr">
        <is>
          <t xml:space="preserve">Tiền mặt</t>
        </is>
      </c>
    </row>
    <row r="18" spans="1:7" x14ac:dyDescent="0.3">
      <c r="A18" s="9" t="inlineStr">
        <is>
          <t xml:space="preserve">Vợ</t>
        </is>
      </c>
      <c r="D18" s="9" t="inlineStr">
        <is>
          <t xml:space="preserve">Chuyển khoản</t>
        </is>
      </c>
    </row>
    <row r="19" spans="1:7" x14ac:dyDescent="0.3">
      <c r="A19" s="9" t="inlineStr">
        <is>
          <t xml:space="preserve">Con</t>
        </is>
      </c>
      <c r="D19" s="9" t="inlineStr">
        <is>
          <t xml:space="preserve">Thẻ tín dụng</t>
        </is>
      </c>
    </row>
    <row r="20" spans="1:7" x14ac:dyDescent="0.3">
      <c r="A20" s="9" t="inlineStr">
        <is>
          <t xml:space="preserve">Chung</t>
        </is>
      </c>
      <c r="D20" s="9" t="inlineStr">
        <is>
          <t xml:space="preserve">Ví điện tử</t>
        </is>
      </c>
    </row>
    <row r="21" spans="1:7" x14ac:dyDescent="0.3">
      <c r="A21" s="9"/>
      <c r="D21" s="9"/>
    </row>
    <row r="22" spans="1:7" x14ac:dyDescent="0.3">
      <c r="A22" s="9"/>
      <c r="D22" s="9"/>
    </row>
    <row r="24" spans="1:7" x14ac:dyDescent="0.3">
      <c r="A24" s="5" t="inlineStr">
        <is>
          <t xml:space="preserve">3. DANH MỤC THU</t>
        </is>
      </c>
      <c r="B24" s="6"/>
      <c r="C24" s="6"/>
      <c r="D24" s="6"/>
      <c r="E24" s="6"/>
    </row>
    <row r="25" spans="1:7" ht="30" customHeight="1" x14ac:dyDescent="0.3">
      <c r="A25" s="7" t="inlineStr">
        <is>
          <t xml:space="preserve">Danh mục thu</t>
        </is>
      </c>
      <c r="B25" s="7" t="inlineStr">
        <is>
          <t xml:space="preserve">Tính chất</t>
        </is>
      </c>
      <c r="C25" s="7" t="inlineStr">
        <is>
          <t xml:space="preserve">Ghi chú</t>
        </is>
      </c>
      <c r="G25" s="7" t="inlineStr">
        <is>
          <t xml:space="preserve">Nguồn dropdown Danh mục
(tự động, không sửa)</t>
        </is>
      </c>
    </row>
    <row r="26" spans="1:7" x14ac:dyDescent="0.3">
      <c r="A26" s="9" t="inlineStr">
        <is>
          <t xml:space="preserve">Lương</t>
        </is>
      </c>
      <c r="B26" s="9" t="inlineStr">
        <is>
          <t xml:space="preserve">Thu nhập</t>
        </is>
      </c>
      <c r="C26" s="12" t="inlineStr">
        <is>
          <t xml:space="preserve">Ghi riêng từng người ở cột 'Người'</t>
        </is>
      </c>
      <c r="G26" s="15">
        <f>IF(1&lt;=COUNTA($A$26:$A$35),INDEX($A$26:$A$35,1),IF(1-COUNTA($A$26:$A$35)&lt;=COUNTA($A$39:$A$78),INDEX($A$39:$A$78,1-COUNTA($A$26:$A$35)),""))</f>
      </c>
    </row>
    <row r="27" spans="1:7" x14ac:dyDescent="0.3">
      <c r="A27" s="9" t="inlineStr">
        <is>
          <t xml:space="preserve">Thưởng</t>
        </is>
      </c>
      <c r="B27" s="9" t="inlineStr">
        <is>
          <t xml:space="preserve">Thu nhập</t>
        </is>
      </c>
      <c r="C27" s="12"/>
      <c r="G27" s="15">
        <f>IF(2&lt;=COUNTA($A$26:$A$35),INDEX($A$26:$A$35,2),IF(2-COUNTA($A$26:$A$35)&lt;=COUNTA($A$39:$A$78),INDEX($A$39:$A$78,2-COUNTA($A$26:$A$35)),""))</f>
      </c>
    </row>
    <row r="28" spans="1:7" x14ac:dyDescent="0.3">
      <c r="A28" s="9" t="inlineStr">
        <is>
          <t xml:space="preserve">Làm thêm / kinh doanh</t>
        </is>
      </c>
      <c r="B28" s="9" t="inlineStr">
        <is>
          <t xml:space="preserve">Thu nhập</t>
        </is>
      </c>
      <c r="C28" s="12"/>
      <c r="G28" s="15">
        <f>IF(3&lt;=COUNTA($A$26:$A$35),INDEX($A$26:$A$35,3),IF(3-COUNTA($A$26:$A$35)&lt;=COUNTA($A$39:$A$78),INDEX($A$39:$A$78,3-COUNTA($A$26:$A$35)),""))</f>
      </c>
    </row>
    <row r="29" spans="1:7" x14ac:dyDescent="0.3">
      <c r="A29" s="9" t="inlineStr">
        <is>
          <t xml:space="preserve">Lãi tiết kiệm / cổ tức</t>
        </is>
      </c>
      <c r="B29" s="9" t="inlineStr">
        <is>
          <t xml:space="preserve">Thu nhập</t>
        </is>
      </c>
      <c r="C29" s="12"/>
      <c r="G29" s="15">
        <f>IF(4&lt;=COUNTA($A$26:$A$35),INDEX($A$26:$A$35,4),IF(4-COUNTA($A$26:$A$35)&lt;=COUNTA($A$39:$A$78),INDEX($A$39:$A$78,4-COUNTA($A$26:$A$35)),""))</f>
      </c>
    </row>
    <row r="30" spans="1:7" x14ac:dyDescent="0.3">
      <c r="A30" s="9" t="inlineStr">
        <is>
          <t xml:space="preserve">Được biếu / mừng</t>
        </is>
      </c>
      <c r="B30" s="9" t="inlineStr">
        <is>
          <t xml:space="preserve">Thu nhập</t>
        </is>
      </c>
      <c r="C30" s="12"/>
      <c r="G30" s="15">
        <f>IF(5&lt;=COUNTA($A$26:$A$35),INDEX($A$26:$A$35,5),IF(5-COUNTA($A$26:$A$35)&lt;=COUNTA($A$39:$A$78),INDEX($A$39:$A$78,5-COUNTA($A$26:$A$35)),""))</f>
      </c>
    </row>
    <row r="31" spans="1:7" x14ac:dyDescent="0.3">
      <c r="A31" s="9" t="inlineStr">
        <is>
          <t xml:space="preserve">Thu khác</t>
        </is>
      </c>
      <c r="B31" s="9" t="inlineStr">
        <is>
          <t xml:space="preserve">Thu nhập</t>
        </is>
      </c>
      <c r="C31" s="12"/>
      <c r="G31" s="15">
        <f>IF(6&lt;=COUNTA($A$26:$A$35),INDEX($A$26:$A$35,6),IF(6-COUNTA($A$26:$A$35)&lt;=COUNTA($A$39:$A$78),INDEX($A$39:$A$78,6-COUNTA($A$26:$A$35)),""))</f>
      </c>
    </row>
    <row r="32" spans="1:7" x14ac:dyDescent="0.3">
      <c r="A32" s="9" t="inlineStr">
        <is>
          <t xml:space="preserve">Rút tiền tiết kiệm</t>
        </is>
      </c>
      <c r="B32" s="9" t="inlineStr">
        <is>
          <t xml:space="preserve">Rút quỹ</t>
        </is>
      </c>
      <c r="C32" s="12" t="inlineStr">
        <is>
          <t xml:space="preserve">Không tính vào thu nhập để chia hũ</t>
        </is>
      </c>
      <c r="G32" s="15">
        <f>IF(7&lt;=COUNTA($A$26:$A$35),INDEX($A$26:$A$35,7),IF(7-COUNTA($A$26:$A$35)&lt;=COUNTA($A$39:$A$78),INDEX($A$39:$A$78,7-COUNTA($A$26:$A$35)),""))</f>
      </c>
    </row>
    <row r="33" spans="1:7" x14ac:dyDescent="0.3">
      <c r="A33" s="9" t="inlineStr">
        <is>
          <t xml:space="preserve">Điều chuyển nợ thẻ TD (không tính)</t>
        </is>
      </c>
      <c r="B33" s="9" t="inlineStr">
        <is>
          <t xml:space="preserve">Không tính</t>
        </is>
      </c>
      <c r="C33" s="12" t="inlineStr">
        <is>
          <t xml:space="preserve">Thanh toán thẻ, chuyển trả góp – không tính vào thu/chi</t>
        </is>
      </c>
      <c r="G33" s="15">
        <f>IF(8&lt;=COUNTA($A$26:$A$35),INDEX($A$26:$A$35,8),IF(8-COUNTA($A$26:$A$35)&lt;=COUNTA($A$39:$A$78),INDEX($A$39:$A$78,8-COUNTA($A$26:$A$35)),""))</f>
      </c>
    </row>
    <row r="34" spans="1:7" x14ac:dyDescent="0.3">
      <c r="A34" s="9"/>
      <c r="B34" s="9"/>
      <c r="C34" s="12"/>
      <c r="G34" s="15">
        <f>IF(9&lt;=COUNTA($A$26:$A$35),INDEX($A$26:$A$35,9),IF(9-COUNTA($A$26:$A$35)&lt;=COUNTA($A$39:$A$78),INDEX($A$39:$A$78,9-COUNTA($A$26:$A$35)),""))</f>
      </c>
    </row>
    <row r="35" spans="1:7" x14ac:dyDescent="0.3">
      <c r="A35" s="9"/>
      <c r="B35" s="9"/>
      <c r="C35" s="12"/>
      <c r="G35" s="15">
        <f>IF(10&lt;=COUNTA($A$26:$A$35),INDEX($A$26:$A$35,10),IF(10-COUNTA($A$26:$A$35)&lt;=COUNTA($A$39:$A$78),INDEX($A$39:$A$78,10-COUNTA($A$26:$A$35)),""))</f>
      </c>
    </row>
    <row r="36" spans="1:7" x14ac:dyDescent="0.3">
      <c r="G36" s="15">
        <f>IF(11&lt;=COUNTA($A$26:$A$35),INDEX($A$26:$A$35,11),IF(11-COUNTA($A$26:$A$35)&lt;=COUNTA($A$39:$A$78),INDEX($A$39:$A$78,11-COUNTA($A$26:$A$35)),""))</f>
      </c>
    </row>
    <row r="37" spans="1:7" x14ac:dyDescent="0.3">
      <c r="A37" s="5" t="inlineStr">
        <is>
          <t xml:space="preserve">4. DANH MỤC CHI</t>
        </is>
      </c>
      <c r="B37" s="6"/>
      <c r="C37" s="6"/>
      <c r="D37" s="6"/>
      <c r="E37" s="6"/>
      <c r="G37" s="15">
        <f>IF(12&lt;=COUNTA($A$26:$A$35),INDEX($A$26:$A$35,12),IF(12-COUNTA($A$26:$A$35)&lt;=COUNTA($A$39:$A$78),INDEX($A$39:$A$78,12-COUNTA($A$26:$A$35)),""))</f>
      </c>
    </row>
    <row r="38" spans="1:7" ht="26.4" x14ac:dyDescent="0.3">
      <c r="A38" s="7" t="inlineStr">
        <is>
          <t xml:space="preserve">Danh mục chi</t>
        </is>
      </c>
      <c r="B38" s="7" t="inlineStr">
        <is>
          <t xml:space="preserve">Hũ</t>
        </is>
      </c>
      <c r="C38" s="7" t="inlineStr">
        <is>
          <t xml:space="preserve">Nhóm</t>
        </is>
      </c>
      <c r="D38" s="7" t="inlineStr">
        <is>
          <t xml:space="preserve">Tính chất (tự động)</t>
        </is>
      </c>
      <c r="E38" s="7" t="inlineStr">
        <is>
          <t xml:space="preserve">Hạn mức/tháng (tùy chọn)</t>
        </is>
      </c>
      <c r="G38" s="15">
        <f>IF(13&lt;=COUNTA($A$26:$A$35),INDEX($A$26:$A$35,13),IF(13-COUNTA($A$26:$A$35)&lt;=COUNTA($A$39:$A$78),INDEX($A$39:$A$78,13-COUNTA($A$26:$A$35)),""))</f>
      </c>
    </row>
    <row r="39" spans="1:7" x14ac:dyDescent="0.3">
      <c r="A39" s="9" t="inlineStr">
        <is>
          <t xml:space="preserve">Đi chợ, ăn uống tại nhà</t>
        </is>
      </c>
      <c r="B39" s="9" t="inlineStr">
        <is>
          <t xml:space="preserve">Thiết yếu</t>
        </is>
      </c>
      <c r="C39" s="9" t="inlineStr">
        <is>
          <t xml:space="preserve">Gia đình</t>
        </is>
      </c>
      <c r="D39" s="16">
        <f t="shared" ref="D39:D78" si="0">IF(A39="","",IFERROR(INDEX($D$7:$D$12,MATCH(B39,$B$7:$B$12,0)),"?"))</f>
      </c>
      <c r="E39" s="17"/>
      <c r="G39" s="15">
        <f>IF(14&lt;=COUNTA($A$26:$A$35),INDEX($A$26:$A$35,14),IF(14-COUNTA($A$26:$A$35)&lt;=COUNTA($A$39:$A$78),INDEX($A$39:$A$78,14-COUNTA($A$26:$A$35)),""))</f>
      </c>
    </row>
    <row r="40" spans="1:7" x14ac:dyDescent="0.3">
      <c r="A40" s="9" t="inlineStr">
        <is>
          <t xml:space="preserve">Ăn sáng, ăn trưa đi làm</t>
        </is>
      </c>
      <c r="B40" s="9" t="inlineStr">
        <is>
          <t xml:space="preserve">Thiết yếu</t>
        </is>
      </c>
      <c r="C40" s="9" t="inlineStr">
        <is>
          <t xml:space="preserve">Gia đình</t>
        </is>
      </c>
      <c r="D40" s="16">
        <f t="shared" si="0"/>
      </c>
      <c r="E40" s="17"/>
      <c r="G40" s="15">
        <f>IF(15&lt;=COUNTA($A$26:$A$35),INDEX($A$26:$A$35,15),IF(15-COUNTA($A$26:$A$35)&lt;=COUNTA($A$39:$A$78),INDEX($A$39:$A$78,15-COUNTA($A$26:$A$35)),""))</f>
      </c>
    </row>
    <row r="41" spans="1:7" x14ac:dyDescent="0.3">
      <c r="A41" s="9" t="inlineStr">
        <is>
          <t xml:space="preserve">Điện</t>
        </is>
      </c>
      <c r="B41" s="9" t="inlineStr">
        <is>
          <t xml:space="preserve">Thiết yếu</t>
        </is>
      </c>
      <c r="C41" s="9" t="inlineStr">
        <is>
          <t xml:space="preserve">Gia đình</t>
        </is>
      </c>
      <c r="D41" s="16">
        <f t="shared" si="0"/>
      </c>
      <c r="E41" s="17"/>
      <c r="G41" s="15">
        <f>IF(16&lt;=COUNTA($A$26:$A$35),INDEX($A$26:$A$35,16),IF(16-COUNTA($A$26:$A$35)&lt;=COUNTA($A$39:$A$78),INDEX($A$39:$A$78,16-COUNTA($A$26:$A$35)),""))</f>
      </c>
    </row>
    <row r="42" spans="1:7" x14ac:dyDescent="0.3">
      <c r="A42" s="9" t="inlineStr">
        <is>
          <t xml:space="preserve">Nước</t>
        </is>
      </c>
      <c r="B42" s="9" t="inlineStr">
        <is>
          <t xml:space="preserve">Thiết yếu</t>
        </is>
      </c>
      <c r="C42" s="9" t="inlineStr">
        <is>
          <t xml:space="preserve">Gia đình</t>
        </is>
      </c>
      <c r="D42" s="16">
        <f t="shared" si="0"/>
      </c>
      <c r="E42" s="17"/>
      <c r="G42" s="15">
        <f>IF(17&lt;=COUNTA($A$26:$A$35),INDEX($A$26:$A$35,17),IF(17-COUNTA($A$26:$A$35)&lt;=COUNTA($A$39:$A$78),INDEX($A$39:$A$78,17-COUNTA($A$26:$A$35)),""))</f>
      </c>
    </row>
    <row r="43" spans="1:7" x14ac:dyDescent="0.3">
      <c r="A43" s="9" t="inlineStr">
        <is>
          <t xml:space="preserve">Internet, điện thoại, truyền hình</t>
        </is>
      </c>
      <c r="B43" s="9" t="inlineStr">
        <is>
          <t xml:space="preserve">Thiết yếu</t>
        </is>
      </c>
      <c r="C43" s="9" t="inlineStr">
        <is>
          <t xml:space="preserve">Gia đình</t>
        </is>
      </c>
      <c r="D43" s="16">
        <f t="shared" si="0"/>
      </c>
      <c r="E43" s="17"/>
      <c r="G43" s="15">
        <f>IF(18&lt;=COUNTA($A$26:$A$35),INDEX($A$26:$A$35,18),IF(18-COUNTA($A$26:$A$35)&lt;=COUNTA($A$39:$A$78),INDEX($A$39:$A$78,18-COUNTA($A$26:$A$35)),""))</f>
      </c>
    </row>
    <row r="44" spans="1:7" x14ac:dyDescent="0.3">
      <c r="A44" s="9" t="inlineStr">
        <is>
          <t xml:space="preserve">Gas, đồ dùng sinh hoạt</t>
        </is>
      </c>
      <c r="B44" s="9" t="inlineStr">
        <is>
          <t xml:space="preserve">Thiết yếu</t>
        </is>
      </c>
      <c r="C44" s="9" t="inlineStr">
        <is>
          <t xml:space="preserve">Gia đình</t>
        </is>
      </c>
      <c r="D44" s="16">
        <f t="shared" si="0"/>
      </c>
      <c r="E44" s="17"/>
      <c r="G44" s="15">
        <f>IF(19&lt;=COUNTA($A$26:$A$35),INDEX($A$26:$A$35,19),IF(19-COUNTA($A$26:$A$35)&lt;=COUNTA($A$39:$A$78),INDEX($A$39:$A$78,19-COUNTA($A$26:$A$35)),""))</f>
      </c>
    </row>
    <row r="45" spans="1:7" x14ac:dyDescent="0.3">
      <c r="A45" s="9" t="inlineStr">
        <is>
          <t xml:space="preserve">Xăng xe, gửi xe, đi lại</t>
        </is>
      </c>
      <c r="B45" s="9" t="inlineStr">
        <is>
          <t xml:space="preserve">Thiết yếu</t>
        </is>
      </c>
      <c r="C45" s="9" t="inlineStr">
        <is>
          <t xml:space="preserve">Gia đình</t>
        </is>
      </c>
      <c r="D45" s="16">
        <f t="shared" si="0"/>
      </c>
      <c r="E45" s="17"/>
      <c r="G45" s="15">
        <f>IF(20&lt;=COUNTA($A$26:$A$35),INDEX($A$26:$A$35,20),IF(20-COUNTA($A$26:$A$35)&lt;=COUNTA($A$39:$A$78),INDEX($A$39:$A$78,20-COUNTA($A$26:$A$35)),""))</f>
      </c>
    </row>
    <row r="46" spans="1:7" x14ac:dyDescent="0.3">
      <c r="A46" s="9" t="inlineStr">
        <is>
          <t xml:space="preserve">Bảo dưỡng, sửa chữa nhà/xe</t>
        </is>
      </c>
      <c r="B46" s="9" t="inlineStr">
        <is>
          <t xml:space="preserve">Thiết yếu</t>
        </is>
      </c>
      <c r="C46" s="9" t="inlineStr">
        <is>
          <t xml:space="preserve">Gia đình</t>
        </is>
      </c>
      <c r="D46" s="16">
        <f t="shared" si="0"/>
      </c>
      <c r="E46" s="17"/>
      <c r="G46" s="15">
        <f>IF(21&lt;=COUNTA($A$26:$A$35),INDEX($A$26:$A$35,21),IF(21-COUNTA($A$26:$A$35)&lt;=COUNTA($A$39:$A$78),INDEX($A$39:$A$78,21-COUNTA($A$26:$A$35)),""))</f>
      </c>
    </row>
    <row r="47" spans="1:7" x14ac:dyDescent="0.3">
      <c r="A47" s="9" t="inlineStr">
        <is>
          <t xml:space="preserve">Y tế, thuốc men</t>
        </is>
      </c>
      <c r="B47" s="9" t="inlineStr">
        <is>
          <t xml:space="preserve">Thiết yếu</t>
        </is>
      </c>
      <c r="C47" s="9" t="inlineStr">
        <is>
          <t xml:space="preserve">Gia đình</t>
        </is>
      </c>
      <c r="D47" s="16">
        <f t="shared" si="0"/>
      </c>
      <c r="E47" s="17"/>
      <c r="G47" s="15">
        <f>IF(22&lt;=COUNTA($A$26:$A$35),INDEX($A$26:$A$35,22),IF(22-COUNTA($A$26:$A$35)&lt;=COUNTA($A$39:$A$78),INDEX($A$39:$A$78,22-COUNTA($A$26:$A$35)),""))</f>
      </c>
    </row>
    <row r="48" spans="1:7" x14ac:dyDescent="0.3">
      <c r="A48" s="9" t="inlineStr">
        <is>
          <t xml:space="preserve">Bảo hiểm (sức khỏe, nhân thọ)</t>
        </is>
      </c>
      <c r="B48" s="9" t="inlineStr">
        <is>
          <t xml:space="preserve">Thiết yếu</t>
        </is>
      </c>
      <c r="C48" s="9" t="inlineStr">
        <is>
          <t xml:space="preserve">Gia đình</t>
        </is>
      </c>
      <c r="D48" s="16">
        <f t="shared" si="0"/>
      </c>
      <c r="E48" s="17"/>
      <c r="G48" s="15">
        <f>IF(23&lt;=COUNTA($A$26:$A$35),INDEX($A$26:$A$35,23),IF(23-COUNTA($A$26:$A$35)&lt;=COUNTA($A$39:$A$78),INDEX($A$39:$A$78,23-COUNTA($A$26:$A$35)),""))</f>
      </c>
    </row>
    <row r="49" spans="1:7" x14ac:dyDescent="0.3">
      <c r="A49" s="9" t="inlineStr">
        <is>
          <t xml:space="preserve">Quần áo cần thiết</t>
        </is>
      </c>
      <c r="B49" s="9" t="inlineStr">
        <is>
          <t xml:space="preserve">Thiết yếu</t>
        </is>
      </c>
      <c r="C49" s="9" t="inlineStr">
        <is>
          <t xml:space="preserve">Gia đình</t>
        </is>
      </c>
      <c r="D49" s="16">
        <f t="shared" si="0"/>
      </c>
      <c r="E49" s="17"/>
      <c r="G49" s="15">
        <f>IF(24&lt;=COUNTA($A$26:$A$35),INDEX($A$26:$A$35,24),IF(24-COUNTA($A$26:$A$35)&lt;=COUNTA($A$39:$A$78),INDEX($A$39:$A$78,24-COUNTA($A$26:$A$35)),""))</f>
      </c>
    </row>
    <row r="50" spans="1:7" x14ac:dyDescent="0.3">
      <c r="A50" s="9" t="inlineStr">
        <is>
          <t xml:space="preserve">Con – Sữa, bỉm, ăn dặm</t>
        </is>
      </c>
      <c r="B50" s="9" t="inlineStr">
        <is>
          <t xml:space="preserve">Thiết yếu</t>
        </is>
      </c>
      <c r="C50" s="9" t="inlineStr">
        <is>
          <t xml:space="preserve">Con cái</t>
        </is>
      </c>
      <c r="D50" s="16">
        <f t="shared" si="0"/>
      </c>
      <c r="E50" s="17"/>
      <c r="G50" s="15">
        <f>IF(25&lt;=COUNTA($A$26:$A$35),INDEX($A$26:$A$35,25),IF(25-COUNTA($A$26:$A$35)&lt;=COUNTA($A$39:$A$78),INDEX($A$39:$A$78,25-COUNTA($A$26:$A$35)),""))</f>
      </c>
    </row>
    <row r="51" spans="1:7" x14ac:dyDescent="0.3">
      <c r="A51" s="9" t="inlineStr">
        <is>
          <t xml:space="preserve">Con – Học phí chính khóa, bán trú</t>
        </is>
      </c>
      <c r="B51" s="9" t="inlineStr">
        <is>
          <t xml:space="preserve">Thiết yếu</t>
        </is>
      </c>
      <c r="C51" s="9" t="inlineStr">
        <is>
          <t xml:space="preserve">Con cái</t>
        </is>
      </c>
      <c r="D51" s="16">
        <f t="shared" si="0"/>
      </c>
      <c r="E51" s="17"/>
      <c r="G51" s="15">
        <f>IF(26&lt;=COUNTA($A$26:$A$35),INDEX($A$26:$A$35,26),IF(26-COUNTA($A$26:$A$35)&lt;=COUNTA($A$39:$A$78),INDEX($A$39:$A$78,26-COUNTA($A$26:$A$35)),""))</f>
      </c>
    </row>
    <row r="52" spans="1:7" x14ac:dyDescent="0.3">
      <c r="A52" s="9" t="inlineStr">
        <is>
          <t xml:space="preserve">Con – Y tế, vắc-xin</t>
        </is>
      </c>
      <c r="B52" s="9" t="inlineStr">
        <is>
          <t xml:space="preserve">Thiết yếu</t>
        </is>
      </c>
      <c r="C52" s="9" t="inlineStr">
        <is>
          <t xml:space="preserve">Con cái</t>
        </is>
      </c>
      <c r="D52" s="16">
        <f t="shared" si="0"/>
      </c>
      <c r="E52" s="17"/>
      <c r="G52" s="15">
        <f>IF(27&lt;=COUNTA($A$26:$A$35),INDEX($A$26:$A$35,27),IF(27-COUNTA($A$26:$A$35)&lt;=COUNTA($A$39:$A$78),INDEX($A$39:$A$78,27-COUNTA($A$26:$A$35)),""))</f>
      </c>
    </row>
    <row r="53" spans="1:7" x14ac:dyDescent="0.3">
      <c r="A53" s="9" t="inlineStr">
        <is>
          <t xml:space="preserve">Con – Người giữ trẻ</t>
        </is>
      </c>
      <c r="B53" s="9" t="inlineStr">
        <is>
          <t xml:space="preserve">Thiết yếu</t>
        </is>
      </c>
      <c r="C53" s="9" t="inlineStr">
        <is>
          <t xml:space="preserve">Con cái</t>
        </is>
      </c>
      <c r="D53" s="16">
        <f t="shared" si="0"/>
      </c>
      <c r="E53" s="17"/>
      <c r="G53" s="15">
        <f>IF(28&lt;=COUNTA($A$26:$A$35),INDEX($A$26:$A$35,28),IF(28-COUNTA($A$26:$A$35)&lt;=COUNTA($A$39:$A$78),INDEX($A$39:$A$78,28-COUNTA($A$26:$A$35)),""))</f>
      </c>
    </row>
    <row r="54" spans="1:7" x14ac:dyDescent="0.3">
      <c r="A54" s="9" t="inlineStr">
        <is>
          <t xml:space="preserve">Chi khác (thiết yếu)</t>
        </is>
      </c>
      <c r="B54" s="9" t="inlineStr">
        <is>
          <t xml:space="preserve">Thiết yếu</t>
        </is>
      </c>
      <c r="C54" s="9" t="inlineStr">
        <is>
          <t xml:space="preserve">Gia đình</t>
        </is>
      </c>
      <c r="D54" s="16">
        <f t="shared" si="0"/>
      </c>
      <c r="E54" s="17"/>
      <c r="G54" s="15">
        <f>IF(29&lt;=COUNTA($A$26:$A$35),INDEX($A$26:$A$35,29),IF(29-COUNTA($A$26:$A$35)&lt;=COUNTA($A$39:$A$78),INDEX($A$39:$A$78,29-COUNTA($A$26:$A$35)),""))</f>
      </c>
    </row>
    <row r="55" spans="1:7" x14ac:dyDescent="0.3">
      <c r="A55" s="9" t="inlineStr">
        <is>
          <t xml:space="preserve">Mua sắm online (Shopee, TikTok)</t>
        </is>
      </c>
      <c r="B55" s="9" t="inlineStr">
        <is>
          <t xml:space="preserve">Thiết yếu</t>
        </is>
      </c>
      <c r="C55" s="9" t="inlineStr">
        <is>
          <t xml:space="preserve">Gia đình</t>
        </is>
      </c>
      <c r="D55" s="16">
        <f t="shared" si="0"/>
      </c>
      <c r="E55" s="17"/>
      <c r="G55" s="15">
        <f>IF(30&lt;=COUNTA($A$26:$A$35),INDEX($A$26:$A$35,30),IF(30-COUNTA($A$26:$A$35)&lt;=COUNTA($A$39:$A$78),INDEX($A$39:$A$78,30-COUNTA($A$26:$A$35)),""))</f>
      </c>
    </row>
    <row r="56" spans="1:7" x14ac:dyDescent="0.3">
      <c r="A56" s="9" t="inlineStr">
        <is>
          <t xml:space="preserve">Phí ngân hàng, phí thẻ</t>
        </is>
      </c>
      <c r="B56" s="9" t="inlineStr">
        <is>
          <t xml:space="preserve">Thiết yếu</t>
        </is>
      </c>
      <c r="C56" s="9" t="inlineStr">
        <is>
          <t xml:space="preserve">Gia đình</t>
        </is>
      </c>
      <c r="D56" s="16">
        <f t="shared" si="0"/>
      </c>
      <c r="E56" s="17"/>
      <c r="G56" s="15">
        <f>IF(31&lt;=COUNTA($A$26:$A$35),INDEX($A$26:$A$35,31),IF(31-COUNTA($A$26:$A$35)&lt;=COUNTA($A$39:$A$78),INDEX($A$39:$A$78,31-COUNTA($A$26:$A$35)),""))</f>
      </c>
    </row>
    <row r="57" spans="1:7" x14ac:dyDescent="0.3">
      <c r="A57" s="9" t="inlineStr">
        <is>
          <t xml:space="preserve">Trả góp thẻ tín dụng</t>
        </is>
      </c>
      <c r="B57" s="9" t="inlineStr">
        <is>
          <t xml:space="preserve">Thiết yếu</t>
        </is>
      </c>
      <c r="C57" s="9" t="inlineStr">
        <is>
          <t xml:space="preserve">Gia đình</t>
        </is>
      </c>
      <c r="D57" s="16">
        <f t="shared" si="0"/>
      </c>
      <c r="E57" s="17"/>
      <c r="G57" s="15">
        <f>IF(32&lt;=COUNTA($A$26:$A$35),INDEX($A$26:$A$35,32),IF(32-COUNTA($A$26:$A$35)&lt;=COUNTA($A$39:$A$78),INDEX($A$39:$A$78,32-COUNTA($A$26:$A$35)),""))</f>
      </c>
    </row>
    <row r="58" spans="1:7" x14ac:dyDescent="0.3">
      <c r="A58" s="9" t="inlineStr">
        <is>
          <t xml:space="preserve">Đầu tư chứng khoán / CCQ</t>
        </is>
      </c>
      <c r="B58" s="9" t="inlineStr">
        <is>
          <t xml:space="preserve">Tự do tài chính</t>
        </is>
      </c>
      <c r="C58" s="9" t="inlineStr">
        <is>
          <t xml:space="preserve">Gia đình</t>
        </is>
      </c>
      <c r="D58" s="16">
        <f t="shared" si="0"/>
      </c>
      <c r="E58" s="17"/>
      <c r="G58" s="15">
        <f>IF(33&lt;=COUNTA($A$26:$A$35),INDEX($A$26:$A$35,33),IF(33-COUNTA($A$26:$A$35)&lt;=COUNTA($A$39:$A$78),INDEX($A$39:$A$78,33-COUNTA($A$26:$A$35)),""))</f>
      </c>
    </row>
    <row r="59" spans="1:7" x14ac:dyDescent="0.3">
      <c r="A59" s="9" t="inlineStr">
        <is>
          <t xml:space="preserve">Mua vàng tích trữ</t>
        </is>
      </c>
      <c r="B59" s="9" t="inlineStr">
        <is>
          <t xml:space="preserve">Tự do tài chính</t>
        </is>
      </c>
      <c r="C59" s="9" t="inlineStr">
        <is>
          <t xml:space="preserve">Gia đình</t>
        </is>
      </c>
      <c r="D59" s="16">
        <f t="shared" si="0"/>
      </c>
      <c r="E59" s="17"/>
      <c r="G59" s="15">
        <f>IF(34&lt;=COUNTA($A$26:$A$35),INDEX($A$26:$A$35,34),IF(34-COUNTA($A$26:$A$35)&lt;=COUNTA($A$39:$A$78),INDEX($A$39:$A$78,34-COUNTA($A$26:$A$35)),""))</f>
      </c>
    </row>
    <row r="60" spans="1:7" x14ac:dyDescent="0.3">
      <c r="A60" s="9" t="inlineStr">
        <is>
          <t xml:space="preserve">Đầu tư kinh doanh</t>
        </is>
      </c>
      <c r="B60" s="9" t="inlineStr">
        <is>
          <t xml:space="preserve">Tự do tài chính</t>
        </is>
      </c>
      <c r="C60" s="9" t="inlineStr">
        <is>
          <t xml:space="preserve">Gia đình</t>
        </is>
      </c>
      <c r="D60" s="16">
        <f t="shared" si="0"/>
      </c>
      <c r="E60" s="17"/>
      <c r="G60" s="15">
        <f>IF(35&lt;=COUNTA($A$26:$A$35),INDEX($A$26:$A$35,35),IF(35-COUNTA($A$26:$A$35)&lt;=COUNTA($A$39:$A$78),INDEX($A$39:$A$78,35-COUNTA($A$26:$A$35)),""))</f>
      </c>
    </row>
    <row r="61" spans="1:7" x14ac:dyDescent="0.3">
      <c r="A61" s="9" t="inlineStr">
        <is>
          <t xml:space="preserve">Gửi quỹ khẩn cấp</t>
        </is>
      </c>
      <c r="B61" s="9" t="inlineStr">
        <is>
          <t xml:space="preserve">Tiết kiệm dài hạn</t>
        </is>
      </c>
      <c r="C61" s="9" t="inlineStr">
        <is>
          <t xml:space="preserve">Gia đình</t>
        </is>
      </c>
      <c r="D61" s="16">
        <f t="shared" si="0"/>
      </c>
      <c r="E61" s="17"/>
      <c r="G61" s="15">
        <f>IF(36&lt;=COUNTA($A$26:$A$35),INDEX($A$26:$A$35,36),IF(36-COUNTA($A$26:$A$35)&lt;=COUNTA($A$39:$A$78),INDEX($A$39:$A$78,36-COUNTA($A$26:$A$35)),""))</f>
      </c>
    </row>
    <row r="62" spans="1:7" x14ac:dyDescent="0.3">
      <c r="A62" s="9" t="inlineStr">
        <is>
          <t xml:space="preserve">Gửi tiết kiệm mục tiêu</t>
        </is>
      </c>
      <c r="B62" s="9" t="inlineStr">
        <is>
          <t xml:space="preserve">Tiết kiệm dài hạn</t>
        </is>
      </c>
      <c r="C62" s="9" t="inlineStr">
        <is>
          <t xml:space="preserve">Gia đình</t>
        </is>
      </c>
      <c r="D62" s="16">
        <f t="shared" si="0"/>
      </c>
      <c r="E62" s="17"/>
      <c r="G62" s="15">
        <f>IF(37&lt;=COUNTA($A$26:$A$35),INDEX($A$26:$A$35,37),IF(37-COUNTA($A$26:$A$35)&lt;=COUNTA($A$39:$A$78),INDEX($A$39:$A$78,37-COUNTA($A$26:$A$35)),""))</f>
      </c>
    </row>
    <row r="63" spans="1:7" x14ac:dyDescent="0.3">
      <c r="A63" s="9" t="inlineStr">
        <is>
          <t xml:space="preserve">Sách, khóa học của bố mẹ</t>
        </is>
      </c>
      <c r="B63" s="9" t="inlineStr">
        <is>
          <t xml:space="preserve">Giáo dục</t>
        </is>
      </c>
      <c r="C63" s="9" t="inlineStr">
        <is>
          <t xml:space="preserve">Gia đình</t>
        </is>
      </c>
      <c r="D63" s="16">
        <f t="shared" si="0"/>
      </c>
      <c r="E63" s="17"/>
      <c r="G63" s="15">
        <f>IF(38&lt;=COUNTA($A$26:$A$35),INDEX($A$26:$A$35,38),IF(38-COUNTA($A$26:$A$35)&lt;=COUNTA($A$39:$A$78),INDEX($A$39:$A$78,38-COUNTA($A$26:$A$35)),""))</f>
      </c>
    </row>
    <row r="64" spans="1:7" x14ac:dyDescent="0.3">
      <c r="A64" s="9" t="inlineStr">
        <is>
          <t xml:space="preserve">Con – Học thêm, năng khiếu</t>
        </is>
      </c>
      <c r="B64" s="9" t="inlineStr">
        <is>
          <t xml:space="preserve">Giáo dục</t>
        </is>
      </c>
      <c r="C64" s="9" t="inlineStr">
        <is>
          <t xml:space="preserve">Con cái</t>
        </is>
      </c>
      <c r="D64" s="16">
        <f t="shared" si="0"/>
      </c>
      <c r="E64" s="17"/>
      <c r="G64" s="15">
        <f>IF(39&lt;=COUNTA($A$26:$A$35),INDEX($A$26:$A$35,39),IF(39-COUNTA($A$26:$A$35)&lt;=COUNTA($A$39:$A$78),INDEX($A$39:$A$78,39-COUNTA($A$26:$A$35)),""))</f>
      </c>
    </row>
    <row r="65" spans="1:7" x14ac:dyDescent="0.3">
      <c r="A65" s="9" t="inlineStr">
        <is>
          <t xml:space="preserve">Con – Sách vở, đồ dùng học tập</t>
        </is>
      </c>
      <c r="B65" s="9" t="inlineStr">
        <is>
          <t xml:space="preserve">Giáo dục</t>
        </is>
      </c>
      <c r="C65" s="9" t="inlineStr">
        <is>
          <t xml:space="preserve">Con cái</t>
        </is>
      </c>
      <c r="D65" s="16">
        <f t="shared" si="0"/>
      </c>
      <c r="E65" s="17"/>
      <c r="G65" s="15">
        <f>IF(40&lt;=COUNTA($A$26:$A$35),INDEX($A$26:$A$35,40),IF(40-COUNTA($A$26:$A$35)&lt;=COUNTA($A$39:$A$78),INDEX($A$39:$A$78,40-COUNTA($A$26:$A$35)),""))</f>
      </c>
    </row>
    <row r="66" spans="1:7" x14ac:dyDescent="0.3">
      <c r="A66" s="9" t="inlineStr">
        <is>
          <t xml:space="preserve">Ăn nhà hàng, cafe</t>
        </is>
      </c>
      <c r="B66" s="9" t="inlineStr">
        <is>
          <t xml:space="preserve">Hưởng thụ</t>
        </is>
      </c>
      <c r="C66" s="9" t="inlineStr">
        <is>
          <t xml:space="preserve">Gia đình</t>
        </is>
      </c>
      <c r="D66" s="16">
        <f t="shared" si="0"/>
      </c>
      <c r="E66" s="17"/>
      <c r="G66" s="15">
        <f>IF(41&lt;=COUNTA($A$26:$A$35),INDEX($A$26:$A$35,41),IF(41-COUNTA($A$26:$A$35)&lt;=COUNTA($A$39:$A$78),INDEX($A$39:$A$78,41-COUNTA($A$26:$A$35)),""))</f>
      </c>
    </row>
    <row r="67" spans="1:7" x14ac:dyDescent="0.3">
      <c r="A67" s="9" t="inlineStr">
        <is>
          <t xml:space="preserve">Du lịch, dã ngoại</t>
        </is>
      </c>
      <c r="B67" s="9" t="inlineStr">
        <is>
          <t xml:space="preserve">Hưởng thụ</t>
        </is>
      </c>
      <c r="C67" s="9" t="inlineStr">
        <is>
          <t xml:space="preserve">Gia đình</t>
        </is>
      </c>
      <c r="D67" s="16">
        <f t="shared" si="0"/>
      </c>
      <c r="E67" s="17"/>
      <c r="G67" s="15">
        <f>IF(42&lt;=COUNTA($A$26:$A$35),INDEX($A$26:$A$35,42),IF(42-COUNTA($A$26:$A$35)&lt;=COUNTA($A$39:$A$78),INDEX($A$39:$A$78,42-COUNTA($A$26:$A$35)),""))</f>
      </c>
    </row>
    <row r="68" spans="1:7" x14ac:dyDescent="0.3">
      <c r="A68" s="9" t="inlineStr">
        <is>
          <t xml:space="preserve">Giải trí, xem phim, thể thao</t>
        </is>
      </c>
      <c r="B68" s="9" t="inlineStr">
        <is>
          <t xml:space="preserve">Hưởng thụ</t>
        </is>
      </c>
      <c r="C68" s="9" t="inlineStr">
        <is>
          <t xml:space="preserve">Gia đình</t>
        </is>
      </c>
      <c r="D68" s="16">
        <f t="shared" si="0"/>
      </c>
      <c r="E68" s="17"/>
      <c r="G68" s="15">
        <f>IF(43&lt;=COUNTA($A$26:$A$35),INDEX($A$26:$A$35,43),IF(43-COUNTA($A$26:$A$35)&lt;=COUNTA($A$39:$A$78),INDEX($A$39:$A$78,43-COUNTA($A$26:$A$35)),""))</f>
      </c>
    </row>
    <row r="69" spans="1:7" x14ac:dyDescent="0.3">
      <c r="A69" s="9" t="inlineStr">
        <is>
          <t xml:space="preserve">Mua sắm cá nhân, làm đẹp</t>
        </is>
      </c>
      <c r="B69" s="9" t="inlineStr">
        <is>
          <t xml:space="preserve">Hưởng thụ</t>
        </is>
      </c>
      <c r="C69" s="9" t="inlineStr">
        <is>
          <t xml:space="preserve">Gia đình</t>
        </is>
      </c>
      <c r="D69" s="16">
        <f t="shared" si="0"/>
      </c>
      <c r="E69" s="17"/>
      <c r="G69" s="15">
        <f>IF(44&lt;=COUNTA($A$26:$A$35),INDEX($A$26:$A$35,44),IF(44-COUNTA($A$26:$A$35)&lt;=COUNTA($A$39:$A$78),INDEX($A$39:$A$78,44-COUNTA($A$26:$A$35)),""))</f>
      </c>
    </row>
    <row r="70" spans="1:7" x14ac:dyDescent="0.3">
      <c r="A70" s="9" t="inlineStr">
        <is>
          <t xml:space="preserve">Con – Đồ chơi, vui chơi</t>
        </is>
      </c>
      <c r="B70" s="9" t="inlineStr">
        <is>
          <t xml:space="preserve">Hưởng thụ</t>
        </is>
      </c>
      <c r="C70" s="9" t="inlineStr">
        <is>
          <t xml:space="preserve">Con cái</t>
        </is>
      </c>
      <c r="D70" s="16">
        <f t="shared" si="0"/>
      </c>
      <c r="E70" s="17"/>
      <c r="G70" s="15">
        <f>IF(45&lt;=COUNTA($A$26:$A$35),INDEX($A$26:$A$35,45),IF(45-COUNTA($A$26:$A$35)&lt;=COUNTA($A$39:$A$78),INDEX($A$39:$A$78,45-COUNTA($A$26:$A$35)),""))</f>
      </c>
    </row>
    <row r="71" spans="1:7" x14ac:dyDescent="0.3">
      <c r="A71" s="9" t="inlineStr">
        <is>
          <t xml:space="preserve">Biếu bố mẹ hai bên</t>
        </is>
      </c>
      <c r="B71" s="9" t="inlineStr">
        <is>
          <t xml:space="preserve">Cho đi</t>
        </is>
      </c>
      <c r="C71" s="9" t="inlineStr">
        <is>
          <t xml:space="preserve">Gia đình</t>
        </is>
      </c>
      <c r="D71" s="16">
        <f t="shared" si="0"/>
      </c>
      <c r="E71" s="17"/>
      <c r="G71" s="15">
        <f>IF(46&lt;=COUNTA($A$26:$A$35),INDEX($A$26:$A$35,46),IF(46-COUNTA($A$26:$A$35)&lt;=COUNTA($A$39:$A$78),INDEX($A$39:$A$78,46-COUNTA($A$26:$A$35)),""))</f>
      </c>
    </row>
    <row r="72" spans="1:7" x14ac:dyDescent="0.3">
      <c r="A72" s="9" t="inlineStr">
        <is>
          <t xml:space="preserve">Hiếu hỷ (cưới, ma, sinh nhật)</t>
        </is>
      </c>
      <c r="B72" s="9" t="inlineStr">
        <is>
          <t xml:space="preserve">Cho đi</t>
        </is>
      </c>
      <c r="C72" s="9" t="inlineStr">
        <is>
          <t xml:space="preserve">Gia đình</t>
        </is>
      </c>
      <c r="D72" s="16">
        <f t="shared" si="0"/>
      </c>
      <c r="E72" s="17"/>
      <c r="G72" s="15">
        <f>IF(47&lt;=COUNTA($A$26:$A$35),INDEX($A$26:$A$35,47),IF(47-COUNTA($A$26:$A$35)&lt;=COUNTA($A$39:$A$78),INDEX($A$39:$A$78,47-COUNTA($A$26:$A$35)),""))</f>
      </c>
    </row>
    <row r="73" spans="1:7" x14ac:dyDescent="0.3">
      <c r="A73" s="9" t="inlineStr">
        <is>
          <t xml:space="preserve">Từ thiện, quà tặng</t>
        </is>
      </c>
      <c r="B73" s="9" t="inlineStr">
        <is>
          <t xml:space="preserve">Cho đi</t>
        </is>
      </c>
      <c r="C73" s="9" t="inlineStr">
        <is>
          <t xml:space="preserve">Gia đình</t>
        </is>
      </c>
      <c r="D73" s="16">
        <f t="shared" si="0"/>
      </c>
      <c r="E73" s="17"/>
      <c r="G73" s="15">
        <f>IF(48&lt;=COUNTA($A$26:$A$35),INDEX($A$26:$A$35,48),IF(48-COUNTA($A$26:$A$35)&lt;=COUNTA($A$39:$A$78),INDEX($A$39:$A$78,48-COUNTA($A$26:$A$35)),""))</f>
      </c>
    </row>
    <row r="74" spans="1:7" x14ac:dyDescent="0.3">
      <c r="A74" s="9"/>
      <c r="B74" s="9"/>
      <c r="C74" s="9"/>
      <c r="D74" s="16">
        <f t="shared" si="0"/>
      </c>
      <c r="E74" s="17"/>
      <c r="G74" s="15">
        <f>IF(49&lt;=COUNTA($A$26:$A$35),INDEX($A$26:$A$35,49),IF(49-COUNTA($A$26:$A$35)&lt;=COUNTA($A$39:$A$78),INDEX($A$39:$A$78,49-COUNTA($A$26:$A$35)),""))</f>
      </c>
    </row>
    <row r="75" spans="1:7" x14ac:dyDescent="0.3">
      <c r="A75" s="9"/>
      <c r="B75" s="9"/>
      <c r="C75" s="9"/>
      <c r="D75" s="16">
        <f t="shared" si="0"/>
      </c>
      <c r="E75" s="17"/>
      <c r="G75" s="15">
        <f>IF(50&lt;=COUNTA($A$26:$A$35),INDEX($A$26:$A$35,50),IF(50-COUNTA($A$26:$A$35)&lt;=COUNTA($A$39:$A$78),INDEX($A$39:$A$78,50-COUNTA($A$26:$A$35)),""))</f>
      </c>
    </row>
    <row r="76" spans="1:7" x14ac:dyDescent="0.3">
      <c r="A76" s="9"/>
      <c r="B76" s="9"/>
      <c r="C76" s="9"/>
      <c r="D76" s="16">
        <f t="shared" si="0"/>
      </c>
      <c r="E76" s="17"/>
    </row>
    <row r="77" spans="1:7" x14ac:dyDescent="0.3">
      <c r="A77" s="9"/>
      <c r="B77" s="9"/>
      <c r="C77" s="9"/>
      <c r="D77" s="16">
        <f t="shared" si="0"/>
      </c>
      <c r="E77" s="17"/>
    </row>
    <row r="78" spans="1:7" x14ac:dyDescent="0.3">
      <c r="A78" s="9"/>
      <c r="B78" s="9"/>
      <c r="C78" s="9"/>
      <c r="D78" s="16">
        <f t="shared" si="0"/>
      </c>
      <c r="E78" s="17"/>
    </row>
  </sheetData>
  <dataValidations count="3">
    <dataValidation type="list" allowBlank="1" sqref="B26:B35" xr:uid="{00000000-0002-0000-0300-000000000000}">
      <formula1>"Thu nhập,Rút quỹ"</formula1>
    </dataValidation>
    <dataValidation type="list" allowBlank="1" sqref="B39:B78" xr:uid="{00000000-0002-0000-0300-000001000000}">
      <formula1>$B$7:$B$12</formula1>
    </dataValidation>
    <dataValidation type="list" allowBlank="1" sqref="C39:C78" xr:uid="{00000000-0002-0000-0300-000002000000}">
      <formula1>"Gia đình,Con cái"</formula1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Tổng quan</vt:lpstr>
      <vt:lpstr>Sổ thu chi</vt:lpstr>
      <vt:lpstr>Báo cáo năm</vt:lpstr>
      <vt:lpstr>Danh mục</vt:lpstr>
      <vt:lpstr>NAM</vt:lpstr>
      <vt:lpstr>THANG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Thu Chi</dc:creator>
  <cp:lastModifiedBy>So Thu Chi</cp:lastModifiedBy>
  <cp:revision>1</cp:revision>
  <dcterms:created xsi:type="dcterms:W3CDTF">2026-10-11T14:33:00Z</dcterms:created>
  <dcterms:modified xsi:type="dcterms:W3CDTF">2026-10-25T15:24:51Z</dcterms:modified>
</cp:coreProperties>
</file>